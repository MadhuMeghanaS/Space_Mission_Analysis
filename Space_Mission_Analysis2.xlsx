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charts/chart6.xml" ContentType="application/vnd.openxmlformats-officedocument.drawingml.chart+xml"/>
  <Default Extension="png" ContentType="image/png"/>
  <Override PartName="/xl/charts/chart7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4" r:id="rId3"/>
  </sheets>
  <definedNames>
    <definedName name="Global_Space_Exploration_Dataset" localSheetId="0">Sheet1!$A$1:$L$3001</definedName>
  </definedNames>
  <calcPr calcId="124519"/>
  <pivotCaches>
    <pivotCache cacheId="0" r:id="rId4"/>
  </pivotCaches>
</workbook>
</file>

<file path=xl/calcChain.xml><?xml version="1.0" encoding="utf-8"?>
<calcChain xmlns="http://schemas.openxmlformats.org/spreadsheetml/2006/main">
  <c r="D17" i="4"/>
  <c r="D19"/>
  <c r="D18"/>
  <c r="D16"/>
  <c r="M28" i="1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"/>
</calcChain>
</file>

<file path=xl/connections.xml><?xml version="1.0" encoding="utf-8"?>
<connections xmlns="http://schemas.openxmlformats.org/spreadsheetml/2006/main">
  <connection id="1" name="Global_Space_Exploration_Dataset" type="6" refreshedVersion="3" background="1" saveData="1">
    <textPr codePage="437" sourceFile="C:\Users\rgukt\Documents\MYPROJECTS\Space_Mission_Analysis\Global_Space_Exploration_Dataset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<sst xmlns="http://schemas.openxmlformats.org/spreadsheetml/2006/main" count="24090" uniqueCount="6377">
  <si>
    <t>Country</t>
  </si>
  <si>
    <t>Year</t>
  </si>
  <si>
    <t>Mission Name</t>
  </si>
  <si>
    <t>Mission Type</t>
  </si>
  <si>
    <t>Launch Site</t>
  </si>
  <si>
    <t>Satellite Type</t>
  </si>
  <si>
    <t>Budget (in Billion $)</t>
  </si>
  <si>
    <t>Success Rate (%)</t>
  </si>
  <si>
    <t>Technology Used</t>
  </si>
  <si>
    <t>Environmental Impact</t>
  </si>
  <si>
    <t>Collaborating Countries</t>
  </si>
  <si>
    <t>Duration (in Days)</t>
  </si>
  <si>
    <t>China</t>
  </si>
  <si>
    <t>Sharable tertiary superstructure</t>
  </si>
  <si>
    <t>Manned</t>
  </si>
  <si>
    <t>Sheilatown</t>
  </si>
  <si>
    <t>Communication</t>
  </si>
  <si>
    <t>Nuclear Propulsion</t>
  </si>
  <si>
    <t>Medium</t>
  </si>
  <si>
    <t>France, UK, Russia</t>
  </si>
  <si>
    <t>Japan</t>
  </si>
  <si>
    <t>Re-engineered composite flexibility</t>
  </si>
  <si>
    <t>New Ericfurt</t>
  </si>
  <si>
    <t>Solar Propulsion</t>
  </si>
  <si>
    <t>High</t>
  </si>
  <si>
    <t>Germany, Israel</t>
  </si>
  <si>
    <t>Israel</t>
  </si>
  <si>
    <t>Reactive disintermediate projection</t>
  </si>
  <si>
    <t>Port Kaitlynstad</t>
  </si>
  <si>
    <t>AI Navigation</t>
  </si>
  <si>
    <t>China, Israel, USA</t>
  </si>
  <si>
    <t>UAE</t>
  </si>
  <si>
    <t>Grass-roots 6thgeneration implementation</t>
  </si>
  <si>
    <t>Unmanned</t>
  </si>
  <si>
    <t>Mariastad</t>
  </si>
  <si>
    <t>Spy</t>
  </si>
  <si>
    <t>Traditional Rocket</t>
  </si>
  <si>
    <t>Low</t>
  </si>
  <si>
    <t>USA</t>
  </si>
  <si>
    <t>India</t>
  </si>
  <si>
    <t>Balanced discrete orchestration</t>
  </si>
  <si>
    <t>North Jasonborough</t>
  </si>
  <si>
    <t>Weather</t>
  </si>
  <si>
    <t>Israel, China, India</t>
  </si>
  <si>
    <t>Down-sized holistic methodology</t>
  </si>
  <si>
    <t>North Kevin</t>
  </si>
  <si>
    <t>Research</t>
  </si>
  <si>
    <t>France</t>
  </si>
  <si>
    <t>Germany</t>
  </si>
  <si>
    <t>Adaptive coherent definition</t>
  </si>
  <si>
    <t>Wilsonburgh</t>
  </si>
  <si>
    <t>Japan, Russia, India</t>
  </si>
  <si>
    <t>Innovative 6thgeneration algorithm</t>
  </si>
  <si>
    <t>South William</t>
  </si>
  <si>
    <t>India, UK, China</t>
  </si>
  <si>
    <t>Business-focused exuding contingency</t>
  </si>
  <si>
    <t>Edwardstad</t>
  </si>
  <si>
    <t>Navigation</t>
  </si>
  <si>
    <t>France, China</t>
  </si>
  <si>
    <t>Cross-group incremental function</t>
  </si>
  <si>
    <t>Port Carla</t>
  </si>
  <si>
    <t>Reusable Rocket</t>
  </si>
  <si>
    <t>Reactive heuristic pricing structure</t>
  </si>
  <si>
    <t>South Sarahton</t>
  </si>
  <si>
    <t>India, China</t>
  </si>
  <si>
    <t>UK</t>
  </si>
  <si>
    <t>Innovative client-server matrix</t>
  </si>
  <si>
    <t>Marcusborough</t>
  </si>
  <si>
    <t>Russia</t>
  </si>
  <si>
    <t>Up-sized bifurcated conglomeration</t>
  </si>
  <si>
    <t>North Shannon</t>
  </si>
  <si>
    <t>Public-key disintermediate matrix</t>
  </si>
  <si>
    <t>Kathrynmouth</t>
  </si>
  <si>
    <t>Israel, USA, Germany</t>
  </si>
  <si>
    <t>Vision-oriented fresh-thinking pricing structure</t>
  </si>
  <si>
    <t>Whiteside</t>
  </si>
  <si>
    <t>Enterprise-wide heuristic knowledge user</t>
  </si>
  <si>
    <t>Rodriguezshire</t>
  </si>
  <si>
    <t>Israel, France</t>
  </si>
  <si>
    <t>Innovative zero tolerance workforce</t>
  </si>
  <si>
    <t>West Katherineville</t>
  </si>
  <si>
    <t>Germany, India</t>
  </si>
  <si>
    <t>Digitized intangible encryption</t>
  </si>
  <si>
    <t>New Cassandraside</t>
  </si>
  <si>
    <t>Japan, USA</t>
  </si>
  <si>
    <t>Organic tertiary access</t>
  </si>
  <si>
    <t>Lamville</t>
  </si>
  <si>
    <t>Phased context-sensitive intranet</t>
  </si>
  <si>
    <t>Popehaven</t>
  </si>
  <si>
    <t>Israel, Germany, USA</t>
  </si>
  <si>
    <t>Persevering holistic open architecture</t>
  </si>
  <si>
    <t>Barbarahaven</t>
  </si>
  <si>
    <t>Exclusive actuating conglomeration</t>
  </si>
  <si>
    <t>Zacharyberg</t>
  </si>
  <si>
    <t>UAE, Japan</t>
  </si>
  <si>
    <t>Cross-group bandwidth-monitored help-desk</t>
  </si>
  <si>
    <t>Maldonadofort</t>
  </si>
  <si>
    <t>India, Russia</t>
  </si>
  <si>
    <t>Quality-focused discrete implementation</t>
  </si>
  <si>
    <t>North Alexanderview</t>
  </si>
  <si>
    <t>India, USA, Russia</t>
  </si>
  <si>
    <t>De-engineered mission-critical time-frame</t>
  </si>
  <si>
    <t>Dunnfort</t>
  </si>
  <si>
    <t>Exclusive object-oriented adapter</t>
  </si>
  <si>
    <t>Lake Susan</t>
  </si>
  <si>
    <t>Streamlined 4thgeneration middleware</t>
  </si>
  <si>
    <t>New Kelly</t>
  </si>
  <si>
    <t>France, Israel, Japan</t>
  </si>
  <si>
    <t>Versatile 4thgeneration Local Area Network</t>
  </si>
  <si>
    <t>Woodburgh</t>
  </si>
  <si>
    <t>Balanced multimedia challenge</t>
  </si>
  <si>
    <t>Lake Meghan</t>
  </si>
  <si>
    <t>Front-line even-keeled help-desk</t>
  </si>
  <si>
    <t>West Pamelaton</t>
  </si>
  <si>
    <t>UK, Germany</t>
  </si>
  <si>
    <t>Optimized zero administration project</t>
  </si>
  <si>
    <t>East Andrewtown</t>
  </si>
  <si>
    <t>Russia, Germany, USA</t>
  </si>
  <si>
    <t>Virtual homogeneous analyzer</t>
  </si>
  <si>
    <t>New Rebecca</t>
  </si>
  <si>
    <t>Germany, USA, China</t>
  </si>
  <si>
    <t>Programmable global ability</t>
  </si>
  <si>
    <t>Williamsburgh</t>
  </si>
  <si>
    <t>Japan, UK</t>
  </si>
  <si>
    <t>Open-source logistical hierarchy</t>
  </si>
  <si>
    <t>West Susan</t>
  </si>
  <si>
    <t>India, China, France</t>
  </si>
  <si>
    <t>Ergonomic systematic access</t>
  </si>
  <si>
    <t>North Scottville</t>
  </si>
  <si>
    <t>Russia, Germany</t>
  </si>
  <si>
    <t>Face-to-face homogeneous circuit</t>
  </si>
  <si>
    <t>North Brandon</t>
  </si>
  <si>
    <t>Advanced client-driven budgetary management</t>
  </si>
  <si>
    <t>South Sherri</t>
  </si>
  <si>
    <t>China, France, UK</t>
  </si>
  <si>
    <t>Implemented didactic middleware</t>
  </si>
  <si>
    <t>Chavezstad</t>
  </si>
  <si>
    <t>Down-sized systemic leverage</t>
  </si>
  <si>
    <t>Lake Hannah</t>
  </si>
  <si>
    <t>UK, China</t>
  </si>
  <si>
    <t>Open-source bi-directional benchmark</t>
  </si>
  <si>
    <t>New Georgeport</t>
  </si>
  <si>
    <t>Business-focused grid-enabled success</t>
  </si>
  <si>
    <t>West Richard</t>
  </si>
  <si>
    <t>Programmable demand-driven knowledge user</t>
  </si>
  <si>
    <t>South Makayla</t>
  </si>
  <si>
    <t>Germany, France, India</t>
  </si>
  <si>
    <t>Decentralized leadingedge standardization</t>
  </si>
  <si>
    <t>Benjaminfurt</t>
  </si>
  <si>
    <t>Reduced local capability</t>
  </si>
  <si>
    <t>Jeffreyfort</t>
  </si>
  <si>
    <t>Germany, Japan</t>
  </si>
  <si>
    <t>Centralized multi-tasking monitoring</t>
  </si>
  <si>
    <t>Elizabethside</t>
  </si>
  <si>
    <t>India, Germany, Russia</t>
  </si>
  <si>
    <t>Distributed responsive system engine</t>
  </si>
  <si>
    <t>West Haleyton</t>
  </si>
  <si>
    <t>USA, France</t>
  </si>
  <si>
    <t>Synergized fault-tolerant portal</t>
  </si>
  <si>
    <t>Smithbury</t>
  </si>
  <si>
    <t>Upgradable zero tolerance collaboration</t>
  </si>
  <si>
    <t>New Jennifer</t>
  </si>
  <si>
    <t>USA, China, India</t>
  </si>
  <si>
    <t>Cloned mobile policy</t>
  </si>
  <si>
    <t>Reillyborough</t>
  </si>
  <si>
    <t>User-friendly optimizing array</t>
  </si>
  <si>
    <t>Adamsstad</t>
  </si>
  <si>
    <t>USA, Russia, India</t>
  </si>
  <si>
    <t>Implemented value-added complexity</t>
  </si>
  <si>
    <t>Stephaniehaven</t>
  </si>
  <si>
    <t>Russia, Germany, UK</t>
  </si>
  <si>
    <t>Managed actuating definition</t>
  </si>
  <si>
    <t>Kochshire</t>
  </si>
  <si>
    <t>Russia, China</t>
  </si>
  <si>
    <t>Polarized motivating project</t>
  </si>
  <si>
    <t>Darrenfurt</t>
  </si>
  <si>
    <t>China, USA, Russia</t>
  </si>
  <si>
    <t>Customizable fault-tolerant secured line</t>
  </si>
  <si>
    <t>Monitored impactful architecture</t>
  </si>
  <si>
    <t>Buchananfort</t>
  </si>
  <si>
    <t>Managed actuating emulation</t>
  </si>
  <si>
    <t>Schroederfurt</t>
  </si>
  <si>
    <t>Vision-oriented modular website</t>
  </si>
  <si>
    <t>Jamesfurt</t>
  </si>
  <si>
    <t>India, Japan</t>
  </si>
  <si>
    <t>Inverse mission-critical task-force</t>
  </si>
  <si>
    <t>Greenport</t>
  </si>
  <si>
    <t>Fundamental mission-critical knowledge user</t>
  </si>
  <si>
    <t>Port Mariah</t>
  </si>
  <si>
    <t>Distributed coherent workforce</t>
  </si>
  <si>
    <t>Webbtown</t>
  </si>
  <si>
    <t>Implemented actuating info-mediaries</t>
  </si>
  <si>
    <t>Mossfort</t>
  </si>
  <si>
    <t>Proactive context-sensitive utilization</t>
  </si>
  <si>
    <t>Deanmouth</t>
  </si>
  <si>
    <t>China, UAE, India</t>
  </si>
  <si>
    <t>Up-sized clear-thinking alliance</t>
  </si>
  <si>
    <t>Janetstad</t>
  </si>
  <si>
    <t>UAE, Israel, UK</t>
  </si>
  <si>
    <t>Re-engineered needs-based approach</t>
  </si>
  <si>
    <t>Bergerborough</t>
  </si>
  <si>
    <t>China, Israel</t>
  </si>
  <si>
    <t>Front-line context-sensitive encryption</t>
  </si>
  <si>
    <t>New Robertborough</t>
  </si>
  <si>
    <t>Optional dedicated implementation</t>
  </si>
  <si>
    <t>West Jeffrey</t>
  </si>
  <si>
    <t>China, France, India</t>
  </si>
  <si>
    <t>Reduced solution-oriented migration</t>
  </si>
  <si>
    <t>Georgestad</t>
  </si>
  <si>
    <t>France, Germany</t>
  </si>
  <si>
    <t>Synchronized user-facing Local Area Network</t>
  </si>
  <si>
    <t>West Pamelaville</t>
  </si>
  <si>
    <t>UAE, Israel, Germany</t>
  </si>
  <si>
    <t>Down-sized empowering circuit</t>
  </si>
  <si>
    <t>East Christopher</t>
  </si>
  <si>
    <t>Front-line client-driven Internet solution</t>
  </si>
  <si>
    <t>East Brianside</t>
  </si>
  <si>
    <t>Japan, India, China</t>
  </si>
  <si>
    <t>Self-enabling encompassing neural-net</t>
  </si>
  <si>
    <t>New Mary</t>
  </si>
  <si>
    <t>UAE, China</t>
  </si>
  <si>
    <t>Total foreground contingency</t>
  </si>
  <si>
    <t>Deborahville</t>
  </si>
  <si>
    <t>Innovative directional collaboration</t>
  </si>
  <si>
    <t>Richardchester</t>
  </si>
  <si>
    <t>Optional web-enabled secured line</t>
  </si>
  <si>
    <t>Port Miguelberg</t>
  </si>
  <si>
    <t>Advanced encompassing contingency</t>
  </si>
  <si>
    <t>Ericberg</t>
  </si>
  <si>
    <t>Israel, China, USA</t>
  </si>
  <si>
    <t>Right-sized high-level help-desk</t>
  </si>
  <si>
    <t>Ericaton</t>
  </si>
  <si>
    <t>USA, Japan</t>
  </si>
  <si>
    <t>Reduced optimizing artificial intelligence</t>
  </si>
  <si>
    <t>South Emily</t>
  </si>
  <si>
    <t>UK, USA, China</t>
  </si>
  <si>
    <t>Mandatory homogeneous success</t>
  </si>
  <si>
    <t>North Troy</t>
  </si>
  <si>
    <t>Profound actuating customer loyalty</t>
  </si>
  <si>
    <t>Martinezburgh</t>
  </si>
  <si>
    <t>Japan, Russia, Germany</t>
  </si>
  <si>
    <t>Expanded homogeneous concept</t>
  </si>
  <si>
    <t>Lake Monique</t>
  </si>
  <si>
    <t>Mandatory next generation strategy</t>
  </si>
  <si>
    <t>Lake Marie</t>
  </si>
  <si>
    <t>Secured asymmetric array</t>
  </si>
  <si>
    <t>Sarahfort</t>
  </si>
  <si>
    <t>Object-based reciprocal data-warehouse</t>
  </si>
  <si>
    <t>New Kevinberg</t>
  </si>
  <si>
    <t>Japan, China, France</t>
  </si>
  <si>
    <t>Fully-configurable analyzing database</t>
  </si>
  <si>
    <t>Ericton</t>
  </si>
  <si>
    <t>Seamless local utilization</t>
  </si>
  <si>
    <t>Port Michaelview</t>
  </si>
  <si>
    <t>UAE, Israel</t>
  </si>
  <si>
    <t>Universal static open architecture</t>
  </si>
  <si>
    <t>Morrisport</t>
  </si>
  <si>
    <t>Reactive dynamic moderator</t>
  </si>
  <si>
    <t>Wardside</t>
  </si>
  <si>
    <t>India, Israel</t>
  </si>
  <si>
    <t>Cross-platform modular website</t>
  </si>
  <si>
    <t>West Michaelborough</t>
  </si>
  <si>
    <t>USA, UAE, China</t>
  </si>
  <si>
    <t>Diverse exuding matrices</t>
  </si>
  <si>
    <t>Jessicashire</t>
  </si>
  <si>
    <t>Persistent homogeneous infrastructure</t>
  </si>
  <si>
    <t>Susanmouth</t>
  </si>
  <si>
    <t>Focused needs-based open architecture</t>
  </si>
  <si>
    <t>Veronicamouth</t>
  </si>
  <si>
    <t>Japan, Israel, India</t>
  </si>
  <si>
    <t>Fundamental intermediate standardization</t>
  </si>
  <si>
    <t>New Judith</t>
  </si>
  <si>
    <t>Visionary next generation firmware</t>
  </si>
  <si>
    <t>West Leetown</t>
  </si>
  <si>
    <t>Versatile regional application</t>
  </si>
  <si>
    <t>Kiaraton</t>
  </si>
  <si>
    <t>China, Japan, Germany</t>
  </si>
  <si>
    <t>Synergized radical orchestration</t>
  </si>
  <si>
    <t>Armstrongview</t>
  </si>
  <si>
    <t>Russia, Israel</t>
  </si>
  <si>
    <t>Exclusive 24hour Local Area Network</t>
  </si>
  <si>
    <t>Lake Michaelmouth</t>
  </si>
  <si>
    <t>Assimilated leadingedge adapter</t>
  </si>
  <si>
    <t>Erinhaven</t>
  </si>
  <si>
    <t>Public-key systematic access</t>
  </si>
  <si>
    <t>Pittmanmouth</t>
  </si>
  <si>
    <t>France, Japan</t>
  </si>
  <si>
    <t>Public-key actuating capacity</t>
  </si>
  <si>
    <t>Patelside</t>
  </si>
  <si>
    <t>India, UAE, Germany</t>
  </si>
  <si>
    <t>Inverse contextually-based capability</t>
  </si>
  <si>
    <t>Aprilview</t>
  </si>
  <si>
    <t>Israel, Russia</t>
  </si>
  <si>
    <t>Innovative intangible interface</t>
  </si>
  <si>
    <t>Lake Alexander</t>
  </si>
  <si>
    <t>Germany, UAE, France</t>
  </si>
  <si>
    <t>Automated mission-critical Graphical User Interface</t>
  </si>
  <si>
    <t>New Leslie</t>
  </si>
  <si>
    <t>UAE, Germany</t>
  </si>
  <si>
    <t>Implemented systematic flexibility</t>
  </si>
  <si>
    <t>Lauraside</t>
  </si>
  <si>
    <t>Balanced motivating algorithm</t>
  </si>
  <si>
    <t>Leonview</t>
  </si>
  <si>
    <t>Multi-tiered global attitude</t>
  </si>
  <si>
    <t>Lake Dalton</t>
  </si>
  <si>
    <t>UK, Japan</t>
  </si>
  <si>
    <t>Open-architected leadingedge structure</t>
  </si>
  <si>
    <t>West Jose</t>
  </si>
  <si>
    <t>China, France</t>
  </si>
  <si>
    <t>Diverse context-sensitive strategy</t>
  </si>
  <si>
    <t>West Laurashire</t>
  </si>
  <si>
    <t>UAE, USA</t>
  </si>
  <si>
    <t>Reduced modular focus group</t>
  </si>
  <si>
    <t>Robbinshaven</t>
  </si>
  <si>
    <t>Japan, China</t>
  </si>
  <si>
    <t>Programmable transitional architecture</t>
  </si>
  <si>
    <t>Longland</t>
  </si>
  <si>
    <t>UK, Israel</t>
  </si>
  <si>
    <t>Re-engineered impactful application</t>
  </si>
  <si>
    <t>Websterhaven</t>
  </si>
  <si>
    <t>Japan, Israel</t>
  </si>
  <si>
    <t>Synergistic reciprocal methodology</t>
  </si>
  <si>
    <t>South Logan</t>
  </si>
  <si>
    <t>Russia, France</t>
  </si>
  <si>
    <t>Expanded multimedia initiative</t>
  </si>
  <si>
    <t>West Virginia</t>
  </si>
  <si>
    <t>Automated 3rdgeneration encoding</t>
  </si>
  <si>
    <t>North Mackenzie</t>
  </si>
  <si>
    <t>Stand-alone context-sensitive algorithm</t>
  </si>
  <si>
    <t>New Dannyberg</t>
  </si>
  <si>
    <t>China, UAE, Germany</t>
  </si>
  <si>
    <t>Pre-emptive exuding interface</t>
  </si>
  <si>
    <t>Kendramouth</t>
  </si>
  <si>
    <t>Monitored national system engine</t>
  </si>
  <si>
    <t>Rachelbury</t>
  </si>
  <si>
    <t>China, Germany</t>
  </si>
  <si>
    <t>Mandatory global structure</t>
  </si>
  <si>
    <t>Davidfurt</t>
  </si>
  <si>
    <t>Devolved modular utilization</t>
  </si>
  <si>
    <t>New Stephenside</t>
  </si>
  <si>
    <t>Russia, Japan, Israel</t>
  </si>
  <si>
    <t>Reduced 5thgeneration paradigm</t>
  </si>
  <si>
    <t>North Brittanyside</t>
  </si>
  <si>
    <t>India, Russia, China</t>
  </si>
  <si>
    <t>Assimilated tangible monitoring</t>
  </si>
  <si>
    <t>Morganbury</t>
  </si>
  <si>
    <t>Re-engineered bottom-line algorithm</t>
  </si>
  <si>
    <t>Mooreville</t>
  </si>
  <si>
    <t>Japan, Germany</t>
  </si>
  <si>
    <t>Robust background methodology</t>
  </si>
  <si>
    <t>North Michelle</t>
  </si>
  <si>
    <t>Russia, UK, India</t>
  </si>
  <si>
    <t>Multi-layered static focus group</t>
  </si>
  <si>
    <t>Marytown</t>
  </si>
  <si>
    <t>Triple-buffered foreground middleware</t>
  </si>
  <si>
    <t>Crystalstad</t>
  </si>
  <si>
    <t>UAE, USA, Russia</t>
  </si>
  <si>
    <t>User-centric dedicated data-warehouse</t>
  </si>
  <si>
    <t>West Erin</t>
  </si>
  <si>
    <t>UAE, Israel, Japan</t>
  </si>
  <si>
    <t>Assimilated 4thgeneration archive</t>
  </si>
  <si>
    <t>Christinashire</t>
  </si>
  <si>
    <t>Inverse directional parallelism</t>
  </si>
  <si>
    <t>West Michelle</t>
  </si>
  <si>
    <t>Down-sized bottom-line hierarchy</t>
  </si>
  <si>
    <t>New Luis</t>
  </si>
  <si>
    <t>Russia, Israel, Japan</t>
  </si>
  <si>
    <t>Exclusive 4thgeneration Graphical User Interface</t>
  </si>
  <si>
    <t>Arianaport</t>
  </si>
  <si>
    <t>Mandatory user-facing definition</t>
  </si>
  <si>
    <t>New Rachel</t>
  </si>
  <si>
    <t>Japan, UK, UAE</t>
  </si>
  <si>
    <t>Managed exuding benchmark</t>
  </si>
  <si>
    <t>Port Tiffany</t>
  </si>
  <si>
    <t>France, Russia, Israel</t>
  </si>
  <si>
    <t>Visionary bi-directional project</t>
  </si>
  <si>
    <t>Briantown</t>
  </si>
  <si>
    <t>Centralized 5thgeneration core</t>
  </si>
  <si>
    <t>New Richardmouth</t>
  </si>
  <si>
    <t>Pre-emptive user-facing support</t>
  </si>
  <si>
    <t>West Madelinechester</t>
  </si>
  <si>
    <t>Optional motivating flexibility</t>
  </si>
  <si>
    <t>New Brookeshire</t>
  </si>
  <si>
    <t>Centralized tertiary migration</t>
  </si>
  <si>
    <t>New Robert</t>
  </si>
  <si>
    <t>Synergized clear-thinking encoding</t>
  </si>
  <si>
    <t>Lake Kyle</t>
  </si>
  <si>
    <t>UK, Germany, UAE</t>
  </si>
  <si>
    <t>Proactive web-enabled conglomeration</t>
  </si>
  <si>
    <t>Randychester</t>
  </si>
  <si>
    <t>Optional responsive moderator</t>
  </si>
  <si>
    <t>Nelsonmouth</t>
  </si>
  <si>
    <t>UAE, India, China</t>
  </si>
  <si>
    <t>Proactive bi-directional complexity</t>
  </si>
  <si>
    <t>South Adamview</t>
  </si>
  <si>
    <t>China, Germany, USA</t>
  </si>
  <si>
    <t>Configurable coherent ability</t>
  </si>
  <si>
    <t>Lake Juanfurt</t>
  </si>
  <si>
    <t>UAE, France</t>
  </si>
  <si>
    <t>Quality-focused non-volatile alliance</t>
  </si>
  <si>
    <t>Bautistaland</t>
  </si>
  <si>
    <t>Germany, China, UK</t>
  </si>
  <si>
    <t>Future-proofed systemic website</t>
  </si>
  <si>
    <t>West Johnton</t>
  </si>
  <si>
    <t>Russia, China, USA</t>
  </si>
  <si>
    <t>Advanced executive leverage</t>
  </si>
  <si>
    <t>Jenningsfort</t>
  </si>
  <si>
    <t>UK, France, Israel</t>
  </si>
  <si>
    <t>Persistent content-based emulation</t>
  </si>
  <si>
    <t>New Patrickstad</t>
  </si>
  <si>
    <t>Japan, Germany, UAE</t>
  </si>
  <si>
    <t>Vision-oriented optimizing policy</t>
  </si>
  <si>
    <t>Richardberg</t>
  </si>
  <si>
    <t>Ergonomic homogeneous initiative</t>
  </si>
  <si>
    <t>Thomasshire</t>
  </si>
  <si>
    <t>Self-enabling cohesive synergy</t>
  </si>
  <si>
    <t>Lowemouth</t>
  </si>
  <si>
    <t>USA, Israel, UAE</t>
  </si>
  <si>
    <t>Seamless heuristic throughput</t>
  </si>
  <si>
    <t>Port Amber</t>
  </si>
  <si>
    <t>Germany, Russia</t>
  </si>
  <si>
    <t>Quality-focused holistic model</t>
  </si>
  <si>
    <t>Lake Andrewstad</t>
  </si>
  <si>
    <t>Upgradable asymmetric customer loyalty</t>
  </si>
  <si>
    <t>South Colin</t>
  </si>
  <si>
    <t>Profound modular Local Area Network</t>
  </si>
  <si>
    <t>Port Krystal</t>
  </si>
  <si>
    <t>China, Japan, UAE</t>
  </si>
  <si>
    <t>Future-proofed foreground middleware</t>
  </si>
  <si>
    <t>New Renee</t>
  </si>
  <si>
    <t>USA, India</t>
  </si>
  <si>
    <t>Profound transitional Local Area Network</t>
  </si>
  <si>
    <t>Steventown</t>
  </si>
  <si>
    <t>Israel, USA</t>
  </si>
  <si>
    <t>Reduced zero tolerance info-mediaries</t>
  </si>
  <si>
    <t>South Melissa</t>
  </si>
  <si>
    <t>France, Russia, India</t>
  </si>
  <si>
    <t>Public-key needs-based attitude</t>
  </si>
  <si>
    <t>New Jeremy</t>
  </si>
  <si>
    <t>Multi-tiered didactic access</t>
  </si>
  <si>
    <t>Karaton</t>
  </si>
  <si>
    <t>Germany, UAE, UK</t>
  </si>
  <si>
    <t>Synergistic 4thgeneration portal</t>
  </si>
  <si>
    <t>New Michelle</t>
  </si>
  <si>
    <t>Triple-buffered neutral circuit</t>
  </si>
  <si>
    <t>UK, Israel, Russia</t>
  </si>
  <si>
    <t>Networked high-level attitude</t>
  </si>
  <si>
    <t>Lynchhaven</t>
  </si>
  <si>
    <t>Monitored intangible infrastructure</t>
  </si>
  <si>
    <t>Port Michael</t>
  </si>
  <si>
    <t>Phased radical utilization</t>
  </si>
  <si>
    <t>South Miguel</t>
  </si>
  <si>
    <t>Vision-oriented web-enabled open architecture</t>
  </si>
  <si>
    <t>East Lindsey</t>
  </si>
  <si>
    <t>Israel, UAE, USA</t>
  </si>
  <si>
    <t>Fundamental tangible website</t>
  </si>
  <si>
    <t>New Victor</t>
  </si>
  <si>
    <t>Russia, UK</t>
  </si>
  <si>
    <t>Optional contextually-based monitoring</t>
  </si>
  <si>
    <t>Sarahmouth</t>
  </si>
  <si>
    <t>UAE, UK, China</t>
  </si>
  <si>
    <t>User-centric next generation product</t>
  </si>
  <si>
    <t>South Johnnyburgh</t>
  </si>
  <si>
    <t>Multi-lateral tertiary matrices</t>
  </si>
  <si>
    <t>Lake Timothy</t>
  </si>
  <si>
    <t>China, UK</t>
  </si>
  <si>
    <t>Object-based disintermediate benchmark</t>
  </si>
  <si>
    <t>Brandonton</t>
  </si>
  <si>
    <t>Object-based mobile circuit</t>
  </si>
  <si>
    <t>North Thomasberg</t>
  </si>
  <si>
    <t>Streamlined mobile matrix</t>
  </si>
  <si>
    <t>Choifort</t>
  </si>
  <si>
    <t>Sharable discrete Local Area Network</t>
  </si>
  <si>
    <t>Moralesburgh</t>
  </si>
  <si>
    <t>Germany, France, UAE</t>
  </si>
  <si>
    <t>Enterprise-wide maximized paradigm</t>
  </si>
  <si>
    <t>Mcphersonmouth</t>
  </si>
  <si>
    <t>Robust web-enabled solution</t>
  </si>
  <si>
    <t>East April</t>
  </si>
  <si>
    <t>Streamlined multi-tasking capacity</t>
  </si>
  <si>
    <t>Ramosport</t>
  </si>
  <si>
    <t>Optimized zero administration benchmark</t>
  </si>
  <si>
    <t>West Courtneyton</t>
  </si>
  <si>
    <t>Stand-alone bottom-line monitoring</t>
  </si>
  <si>
    <t>West Elizabethshire</t>
  </si>
  <si>
    <t>Russia, UAE, Germany</t>
  </si>
  <si>
    <t>Cross-platform dynamic middleware</t>
  </si>
  <si>
    <t>West Marktown</t>
  </si>
  <si>
    <t>UAE, UK, India</t>
  </si>
  <si>
    <t>Business-focused needs-based knowledgebase</t>
  </si>
  <si>
    <t>Port Lindseyfort</t>
  </si>
  <si>
    <t>Fully-configurable solution-oriented productivity</t>
  </si>
  <si>
    <t>Lake Melissaborough</t>
  </si>
  <si>
    <t>Japan, China, Germany</t>
  </si>
  <si>
    <t>Reduced 24hour hardware</t>
  </si>
  <si>
    <t>South Kennethhaven</t>
  </si>
  <si>
    <t>User-centric asynchronous interface</t>
  </si>
  <si>
    <t>Lambertbury</t>
  </si>
  <si>
    <t>UAE, China, Israel</t>
  </si>
  <si>
    <t>Reactive executive utilization</t>
  </si>
  <si>
    <t>New Amy</t>
  </si>
  <si>
    <t>Decentralized holistic functionalities</t>
  </si>
  <si>
    <t>Kleintown</t>
  </si>
  <si>
    <t>Integrated object-oriented throughput</t>
  </si>
  <si>
    <t>Carlosstad</t>
  </si>
  <si>
    <t>China, USA</t>
  </si>
  <si>
    <t>Intuitive exuding process improvement</t>
  </si>
  <si>
    <t>Smithton</t>
  </si>
  <si>
    <t>Japan, Russia</t>
  </si>
  <si>
    <t>Integrated mission-critical circuit</t>
  </si>
  <si>
    <t>Mitchellberg</t>
  </si>
  <si>
    <t>Cross-platform local capacity</t>
  </si>
  <si>
    <t>Christianburgh</t>
  </si>
  <si>
    <t>China, India</t>
  </si>
  <si>
    <t>Reverse-engineered 24hour firmware</t>
  </si>
  <si>
    <t>Richardland</t>
  </si>
  <si>
    <t>Devolved client-driven paradigm</t>
  </si>
  <si>
    <t>Lawrenceside</t>
  </si>
  <si>
    <t>Reduced grid-enabled forecast</t>
  </si>
  <si>
    <t>Kimberlyside</t>
  </si>
  <si>
    <t>Optimized homogeneous frame</t>
  </si>
  <si>
    <t>Melissaview</t>
  </si>
  <si>
    <t>Grass-roots local methodology</t>
  </si>
  <si>
    <t>Jamesmouth</t>
  </si>
  <si>
    <t>China, France, Germany</t>
  </si>
  <si>
    <t>Re-engineered fault-tolerant challenge</t>
  </si>
  <si>
    <t>West Lorraineton</t>
  </si>
  <si>
    <t>Sharable client-server flexibility</t>
  </si>
  <si>
    <t>Allisonshire</t>
  </si>
  <si>
    <t>Japan, France, India</t>
  </si>
  <si>
    <t>Polarized regional archive</t>
  </si>
  <si>
    <t>North Devin</t>
  </si>
  <si>
    <t>Right-sized actuating task-force</t>
  </si>
  <si>
    <t>Gonzalesfort</t>
  </si>
  <si>
    <t>China, Russia, Japan</t>
  </si>
  <si>
    <t>Future-proofed 4thgeneration challenge</t>
  </si>
  <si>
    <t>Rowefort</t>
  </si>
  <si>
    <t>USA, Germany</t>
  </si>
  <si>
    <t>Total multimedia architecture</t>
  </si>
  <si>
    <t>South Brandon</t>
  </si>
  <si>
    <t>Germany, India, France</t>
  </si>
  <si>
    <t>Cross-group demand-driven instruction set</t>
  </si>
  <si>
    <t>Port Scottbury</t>
  </si>
  <si>
    <t>Implemented fault-tolerant open system</t>
  </si>
  <si>
    <t>Brooksland</t>
  </si>
  <si>
    <t>France, USA, China</t>
  </si>
  <si>
    <t>Decentralized modular model</t>
  </si>
  <si>
    <t>New Deannatown</t>
  </si>
  <si>
    <t>USA, India, UAE</t>
  </si>
  <si>
    <t>Synchronized zero administration policy</t>
  </si>
  <si>
    <t>Lake Christina</t>
  </si>
  <si>
    <t>Phased methodical moderator</t>
  </si>
  <si>
    <t>Lopezside</t>
  </si>
  <si>
    <t>Networked encompassing groupware</t>
  </si>
  <si>
    <t>South Kenneth</t>
  </si>
  <si>
    <t>Israel, UK, China</t>
  </si>
  <si>
    <t>Cross-platform uniform benchmark</t>
  </si>
  <si>
    <t>New Heather</t>
  </si>
  <si>
    <t>Grass-roots maximized definition</t>
  </si>
  <si>
    <t>West Cory</t>
  </si>
  <si>
    <t>India, Germany, UAE</t>
  </si>
  <si>
    <t>Optional reciprocal artificial intelligence</t>
  </si>
  <si>
    <t>New Julieville</t>
  </si>
  <si>
    <t>Open-architected uniform flexibility</t>
  </si>
  <si>
    <t>Port Jennifer</t>
  </si>
  <si>
    <t>Total hybrid policy</t>
  </si>
  <si>
    <t>Salinasbury</t>
  </si>
  <si>
    <t>Seamless analyzing policy</t>
  </si>
  <si>
    <t>New Sandra</t>
  </si>
  <si>
    <t>Future-proofed heuristic database</t>
  </si>
  <si>
    <t>East Lisa</t>
  </si>
  <si>
    <t>France, Russia, UAE</t>
  </si>
  <si>
    <t>Profit-focused incremental website</t>
  </si>
  <si>
    <t>New Brandonhaven</t>
  </si>
  <si>
    <t>Russia, Japan, UAE</t>
  </si>
  <si>
    <t>Down-sized encompassing circuit</t>
  </si>
  <si>
    <t>Lake Jorge</t>
  </si>
  <si>
    <t>USA, UAE, Israel</t>
  </si>
  <si>
    <t>Secured reciprocal concept</t>
  </si>
  <si>
    <t>North Christopher</t>
  </si>
  <si>
    <t>Russia, Japan</t>
  </si>
  <si>
    <t>Fully-configurable tertiary array</t>
  </si>
  <si>
    <t>Cooperfort</t>
  </si>
  <si>
    <t>Operative upward-trending utilization</t>
  </si>
  <si>
    <t>New Mark</t>
  </si>
  <si>
    <t>Centralized eco-centric instruction set</t>
  </si>
  <si>
    <t>Joshuatown</t>
  </si>
  <si>
    <t>Russia, UAE, USA</t>
  </si>
  <si>
    <t>Virtual interactive groupware</t>
  </si>
  <si>
    <t>North Mariahside</t>
  </si>
  <si>
    <t>Centralized 24/7 matrix</t>
  </si>
  <si>
    <t>Kochmouth</t>
  </si>
  <si>
    <t>France, India, USA</t>
  </si>
  <si>
    <t>Multi-tiered bottom-line productivity</t>
  </si>
  <si>
    <t>Michaelside</t>
  </si>
  <si>
    <t>France, India, Japan</t>
  </si>
  <si>
    <t>Assimilated even-keeled protocol</t>
  </si>
  <si>
    <t>Organized responsive secured line</t>
  </si>
  <si>
    <t>Lake Kimberly</t>
  </si>
  <si>
    <t>Optimized stable toolset</t>
  </si>
  <si>
    <t>Port Heather</t>
  </si>
  <si>
    <t>Germany, Russia, UK</t>
  </si>
  <si>
    <t>Synergized actuating contingency</t>
  </si>
  <si>
    <t>East Amyview</t>
  </si>
  <si>
    <t>France, India, Israel</t>
  </si>
  <si>
    <t>Ergonomic methodical algorithm</t>
  </si>
  <si>
    <t>Gonzaleztown</t>
  </si>
  <si>
    <t>Germany, USA</t>
  </si>
  <si>
    <t>Up-sized 4thgeneration extranet</t>
  </si>
  <si>
    <t>South Leah</t>
  </si>
  <si>
    <t>China, Japan</t>
  </si>
  <si>
    <t>Secured transitional alliance</t>
  </si>
  <si>
    <t>Josephfort</t>
  </si>
  <si>
    <t>Profound background synergy</t>
  </si>
  <si>
    <t>North William</t>
  </si>
  <si>
    <t>USA, Israel</t>
  </si>
  <si>
    <t>Versatile upward-trending instruction set</t>
  </si>
  <si>
    <t>Guzmantown</t>
  </si>
  <si>
    <t>Upgradable global concept</t>
  </si>
  <si>
    <t>Cooperland</t>
  </si>
  <si>
    <t>Seamless next generation success</t>
  </si>
  <si>
    <t>Heatherfurt</t>
  </si>
  <si>
    <t>Ameliorated maximized Local Area Network</t>
  </si>
  <si>
    <t>Lake Rebecca</t>
  </si>
  <si>
    <t>France, Israel</t>
  </si>
  <si>
    <t>Face-to-face even-keeled archive</t>
  </si>
  <si>
    <t>Richardborough</t>
  </si>
  <si>
    <t>France, USA, UK</t>
  </si>
  <si>
    <t>Expanded actuating solution</t>
  </si>
  <si>
    <t>East Janebury</t>
  </si>
  <si>
    <t>Enhanced fault-tolerant solution</t>
  </si>
  <si>
    <t>South Samantha</t>
  </si>
  <si>
    <t>Optional national throughput</t>
  </si>
  <si>
    <t>North David</t>
  </si>
  <si>
    <t>User-centric discrete info-mediaries</t>
  </si>
  <si>
    <t>Amandashire</t>
  </si>
  <si>
    <t>Israel, Germany</t>
  </si>
  <si>
    <t>Automated 24hour matrix</t>
  </si>
  <si>
    <t>Lake Kristinshire</t>
  </si>
  <si>
    <t>Streamlined explicit Graphical User Interface</t>
  </si>
  <si>
    <t>Port Bonnieport</t>
  </si>
  <si>
    <t>Enterprise-wide object-oriented policy</t>
  </si>
  <si>
    <t>Port Zacharyton</t>
  </si>
  <si>
    <t>Re-contextualized mobile database</t>
  </si>
  <si>
    <t>West Davidfurt</t>
  </si>
  <si>
    <t>Networked leadingedge utilization</t>
  </si>
  <si>
    <t>North Sarahfurt</t>
  </si>
  <si>
    <t>Secured non-volatile policy</t>
  </si>
  <si>
    <t>East Xavierborough</t>
  </si>
  <si>
    <t>Innovative uniform complexity</t>
  </si>
  <si>
    <t>Port Jenna</t>
  </si>
  <si>
    <t>India, USA, UAE</t>
  </si>
  <si>
    <t>Enterprise-wide 24hour data-warehouse</t>
  </si>
  <si>
    <t>South Nancy</t>
  </si>
  <si>
    <t>Managed radical info-mediaries</t>
  </si>
  <si>
    <t>Richardsonfurt</t>
  </si>
  <si>
    <t>Japan, India</t>
  </si>
  <si>
    <t>Optimized logistical collaboration</t>
  </si>
  <si>
    <t>Lake Jeffrey</t>
  </si>
  <si>
    <t>Israel, UK, Germany</t>
  </si>
  <si>
    <t>Vision-oriented scalable flexibility</t>
  </si>
  <si>
    <t>Mirandaberg</t>
  </si>
  <si>
    <t>Cross-platform neutral implementation</t>
  </si>
  <si>
    <t>Natalieborough</t>
  </si>
  <si>
    <t>UAE, Israel, China</t>
  </si>
  <si>
    <t>Down-sized bottom-line parallelism</t>
  </si>
  <si>
    <t>Kimberlybury</t>
  </si>
  <si>
    <t>USA, China</t>
  </si>
  <si>
    <t>Integrated content-based flexibility</t>
  </si>
  <si>
    <t>Murrayfort</t>
  </si>
  <si>
    <t>Progressive web-enabled hierarchy</t>
  </si>
  <si>
    <t>Perezstad</t>
  </si>
  <si>
    <t>Fundamental intermediate algorithm</t>
  </si>
  <si>
    <t>West James</t>
  </si>
  <si>
    <t>Advanced explicit archive</t>
  </si>
  <si>
    <t>Reynoldsmouth</t>
  </si>
  <si>
    <t>Versatile empowering initiative</t>
  </si>
  <si>
    <t>South Ryan</t>
  </si>
  <si>
    <t>UK, France, China</t>
  </si>
  <si>
    <t>Cross-group directional neural-net</t>
  </si>
  <si>
    <t>Thompsonton</t>
  </si>
  <si>
    <t>De-engineered cohesive process improvement</t>
  </si>
  <si>
    <t>Alvaradohaven</t>
  </si>
  <si>
    <t>Balanced optimizing leverage</t>
  </si>
  <si>
    <t>Deanchester</t>
  </si>
  <si>
    <t>Triple-buffered explicit collaboration</t>
  </si>
  <si>
    <t>West Jaclynfort</t>
  </si>
  <si>
    <t>China, Russia</t>
  </si>
  <si>
    <t>Adaptive 24hour utilization</t>
  </si>
  <si>
    <t>Hinesbury</t>
  </si>
  <si>
    <t>India, UK, UAE</t>
  </si>
  <si>
    <t>Diverse human-resource extranet</t>
  </si>
  <si>
    <t>Port Joshuaville</t>
  </si>
  <si>
    <t>Germany, Russia, UAE</t>
  </si>
  <si>
    <t>Reduced dedicated matrices</t>
  </si>
  <si>
    <t>South Eric</t>
  </si>
  <si>
    <t>Sharable 24/7 superstructure</t>
  </si>
  <si>
    <t>West Jesus</t>
  </si>
  <si>
    <t>UAE, UK, France</t>
  </si>
  <si>
    <t>Optimized actuating hierarchy</t>
  </si>
  <si>
    <t>West Angela</t>
  </si>
  <si>
    <t>Team-oriented scalable task-force</t>
  </si>
  <si>
    <t>Port Rebecca</t>
  </si>
  <si>
    <t>Inverse mission-critical open system</t>
  </si>
  <si>
    <t>Daviston</t>
  </si>
  <si>
    <t>Germany, UAE</t>
  </si>
  <si>
    <t>User-centric 6thgeneration challenge</t>
  </si>
  <si>
    <t>Webbbury</t>
  </si>
  <si>
    <t>Germany, Israel, UK</t>
  </si>
  <si>
    <t>Implemented maximized capability</t>
  </si>
  <si>
    <t>Mccartytown</t>
  </si>
  <si>
    <t>Persevering zero administration support</t>
  </si>
  <si>
    <t>New Gary</t>
  </si>
  <si>
    <t>Business-focused transitional task-force</t>
  </si>
  <si>
    <t>Lake Erikamouth</t>
  </si>
  <si>
    <t>Future-proofed hybrid extranet</t>
  </si>
  <si>
    <t>Port Hannahside</t>
  </si>
  <si>
    <t>Expanded explicit superstructure</t>
  </si>
  <si>
    <t>New Brianmouth</t>
  </si>
  <si>
    <t>Universal multimedia intranet</t>
  </si>
  <si>
    <t>South Ana</t>
  </si>
  <si>
    <t>Ameliorated client-driven software</t>
  </si>
  <si>
    <t>Paulaberg</t>
  </si>
  <si>
    <t>Switchable high-level benchmark</t>
  </si>
  <si>
    <t>Davidton</t>
  </si>
  <si>
    <t>Fully-configurable disintermediate adapter</t>
  </si>
  <si>
    <t>New Cynthiaport</t>
  </si>
  <si>
    <t>Re-engineered demand-driven protocol</t>
  </si>
  <si>
    <t>Lake Nicholas</t>
  </si>
  <si>
    <t>Reactive 3rdgeneration Local Area Network</t>
  </si>
  <si>
    <t>Russia, India, China</t>
  </si>
  <si>
    <t>Integrated multi-tasking definition</t>
  </si>
  <si>
    <t>Parkborough</t>
  </si>
  <si>
    <t>USA, Israel, France</t>
  </si>
  <si>
    <t>Multi-lateral composite budgetary management</t>
  </si>
  <si>
    <t>Amandastad</t>
  </si>
  <si>
    <t>UK, Germany, China</t>
  </si>
  <si>
    <t>Up-sized system-worthy encryption</t>
  </si>
  <si>
    <t>South Sierraport</t>
  </si>
  <si>
    <t>China, Russia, UAE</t>
  </si>
  <si>
    <t>Ameliorated heuristic projection</t>
  </si>
  <si>
    <t>Port Justin</t>
  </si>
  <si>
    <t>India, Israel, UAE</t>
  </si>
  <si>
    <t>Synergized multi-tasking hardware</t>
  </si>
  <si>
    <t>Nguyenton</t>
  </si>
  <si>
    <t>Ergonomic upward-trending approach</t>
  </si>
  <si>
    <t>Ballmouth</t>
  </si>
  <si>
    <t>De-engineered attitude-oriented frame</t>
  </si>
  <si>
    <t>Carterberg</t>
  </si>
  <si>
    <t>Japan, USA, France</t>
  </si>
  <si>
    <t>Profound neutral system engine</t>
  </si>
  <si>
    <t>West Charles</t>
  </si>
  <si>
    <t>France, UK</t>
  </si>
  <si>
    <t>Total heuristic hardware</t>
  </si>
  <si>
    <t>South Jamesstad</t>
  </si>
  <si>
    <t>Vision-oriented user-facing software</t>
  </si>
  <si>
    <t>Stephenburgh</t>
  </si>
  <si>
    <t>UK, India, Russia</t>
  </si>
  <si>
    <t>Enterprise-wide zero administration data-warehouse</t>
  </si>
  <si>
    <t>West Maryshire</t>
  </si>
  <si>
    <t>Germany, Japan, France</t>
  </si>
  <si>
    <t>Exclusive homogeneous ability</t>
  </si>
  <si>
    <t>South Micheleville</t>
  </si>
  <si>
    <t>Israel, Japan, China</t>
  </si>
  <si>
    <t>Down-sized background ability</t>
  </si>
  <si>
    <t>Alexanderchester</t>
  </si>
  <si>
    <t>France, Germany, USA</t>
  </si>
  <si>
    <t>Compatible fresh-thinking data-warehouse</t>
  </si>
  <si>
    <t>East Michaeltown</t>
  </si>
  <si>
    <t>Russia, USA, Germany</t>
  </si>
  <si>
    <t>Re-engineered impactful implementation</t>
  </si>
  <si>
    <t>West Jennifer</t>
  </si>
  <si>
    <t>Israel, USA, China</t>
  </si>
  <si>
    <t>Ameliorated dynamic support</t>
  </si>
  <si>
    <t>Lammouth</t>
  </si>
  <si>
    <t>Implemented object-oriented policy</t>
  </si>
  <si>
    <t>West Elizabeth</t>
  </si>
  <si>
    <t>Face-to-face needs-based migration</t>
  </si>
  <si>
    <t>Lake Pamelabury</t>
  </si>
  <si>
    <t>Russia, Japan, China</t>
  </si>
  <si>
    <t>Virtual incremental approach</t>
  </si>
  <si>
    <t>Port Deniseburgh</t>
  </si>
  <si>
    <t>Open-source contextually-based core</t>
  </si>
  <si>
    <t>Sotoland</t>
  </si>
  <si>
    <t>Compatible actuating circuit</t>
  </si>
  <si>
    <t>West Bradleyside</t>
  </si>
  <si>
    <t>UK, Japan, India</t>
  </si>
  <si>
    <t>Progressive well-modulated Graphical User Interface</t>
  </si>
  <si>
    <t>Andersonbury</t>
  </si>
  <si>
    <t>Germany, France, China</t>
  </si>
  <si>
    <t>Virtual executive core</t>
  </si>
  <si>
    <t>Callahanstad</t>
  </si>
  <si>
    <t>USA, Russia, Japan</t>
  </si>
  <si>
    <t>Realigned zero tolerance core</t>
  </si>
  <si>
    <t>North Michael</t>
  </si>
  <si>
    <t>France, UAE</t>
  </si>
  <si>
    <t>Polarized static customer loyalty</t>
  </si>
  <si>
    <t>Stuartfurt</t>
  </si>
  <si>
    <t>Persistent impactful software</t>
  </si>
  <si>
    <t>Connieberg</t>
  </si>
  <si>
    <t>Public-key full-range data-warehouse</t>
  </si>
  <si>
    <t>South Jeffreyland</t>
  </si>
  <si>
    <t>Israel, USA, Japan</t>
  </si>
  <si>
    <t>Fundamental full-range structure</t>
  </si>
  <si>
    <t>Lake Raymondville</t>
  </si>
  <si>
    <t>Persistent heuristic process improvement</t>
  </si>
  <si>
    <t>Fischerfort</t>
  </si>
  <si>
    <t>India, Germany, China</t>
  </si>
  <si>
    <t>Ameliorated object-oriented framework</t>
  </si>
  <si>
    <t>North Troystad</t>
  </si>
  <si>
    <t>Quality-focused incremental moderator</t>
  </si>
  <si>
    <t>North Richardbury</t>
  </si>
  <si>
    <t>Progressive even-keeled matrices</t>
  </si>
  <si>
    <t>Jennifermouth</t>
  </si>
  <si>
    <t>Cross-group bandwidth-monitored core</t>
  </si>
  <si>
    <t>Nicolebury</t>
  </si>
  <si>
    <t>India, Russia, Israel</t>
  </si>
  <si>
    <t>Profit-focused secondary frame</t>
  </si>
  <si>
    <t>Michaelburgh</t>
  </si>
  <si>
    <t>Japan, Israel, France</t>
  </si>
  <si>
    <t>Organic actuating attitude</t>
  </si>
  <si>
    <t>North Brandi</t>
  </si>
  <si>
    <t>Adaptive local structure</t>
  </si>
  <si>
    <t>Richardshaven</t>
  </si>
  <si>
    <t>Israel, Russia, USA</t>
  </si>
  <si>
    <t>Synergized hybrid hardware</t>
  </si>
  <si>
    <t>West Yolanda</t>
  </si>
  <si>
    <t>Integrated grid-enabled project</t>
  </si>
  <si>
    <t>Lake Zoefurt</t>
  </si>
  <si>
    <t>Extended global collaboration</t>
  </si>
  <si>
    <t>Hornstad</t>
  </si>
  <si>
    <t>UK, India</t>
  </si>
  <si>
    <t>Synchronized clear-thinking functionalities</t>
  </si>
  <si>
    <t>Nicolemouth</t>
  </si>
  <si>
    <t>Cross-platform clear-thinking circuit</t>
  </si>
  <si>
    <t>Bowmanmouth</t>
  </si>
  <si>
    <t>Russia, China, France</t>
  </si>
  <si>
    <t>De-engineered value-added extranet</t>
  </si>
  <si>
    <t>Port Andreston</t>
  </si>
  <si>
    <t>Germany, France, USA</t>
  </si>
  <si>
    <t>Multi-channeled methodical paradigm</t>
  </si>
  <si>
    <t>Lake Margaret</t>
  </si>
  <si>
    <t>Open-source radical encryption</t>
  </si>
  <si>
    <t>Walkerborough</t>
  </si>
  <si>
    <t>Re-contextualized uniform implementation</t>
  </si>
  <si>
    <t>Annamouth</t>
  </si>
  <si>
    <t>Japan, USA, China</t>
  </si>
  <si>
    <t>Secured hybrid forecast</t>
  </si>
  <si>
    <t>Port William</t>
  </si>
  <si>
    <t>Grass-roots bi-directional utilization</t>
  </si>
  <si>
    <t>Port Emily</t>
  </si>
  <si>
    <t>Exclusive static orchestration</t>
  </si>
  <si>
    <t>New Jeremiah</t>
  </si>
  <si>
    <t>UK, India, Israel</t>
  </si>
  <si>
    <t>Focused 4thgeneration access</t>
  </si>
  <si>
    <t>South Jacqueline</t>
  </si>
  <si>
    <t>India, USA, Israel</t>
  </si>
  <si>
    <t>Seamless impactful model</t>
  </si>
  <si>
    <t>Simonborough</t>
  </si>
  <si>
    <t>Decentralized uniform implementation</t>
  </si>
  <si>
    <t>Nielsenside</t>
  </si>
  <si>
    <t>Front-line intangible monitoring</t>
  </si>
  <si>
    <t>North Maryhaven</t>
  </si>
  <si>
    <t>Customizable grid-enabled function</t>
  </si>
  <si>
    <t>East Deannatown</t>
  </si>
  <si>
    <t>Ameliorated global concept</t>
  </si>
  <si>
    <t>Walkertown</t>
  </si>
  <si>
    <t>UK, UAE, India</t>
  </si>
  <si>
    <t>Visionary client-driven core</t>
  </si>
  <si>
    <t>Jessicastad</t>
  </si>
  <si>
    <t>Vision-oriented systemic challenge</t>
  </si>
  <si>
    <t>Jacquelinefurt</t>
  </si>
  <si>
    <t>Fully-configurable executive matrices</t>
  </si>
  <si>
    <t>Janetport</t>
  </si>
  <si>
    <t>Pre-emptive 5thgeneration benchmark</t>
  </si>
  <si>
    <t>Lake Erika</t>
  </si>
  <si>
    <t>USA, UAE, Germany</t>
  </si>
  <si>
    <t>Enterprise-wide cohesive hierarchy</t>
  </si>
  <si>
    <t>Walshstad</t>
  </si>
  <si>
    <t>Persevering full-range open architecture</t>
  </si>
  <si>
    <t>South Donna</t>
  </si>
  <si>
    <t>UK, Russia, Israel</t>
  </si>
  <si>
    <t>Automated dynamic frame</t>
  </si>
  <si>
    <t>Greenbury</t>
  </si>
  <si>
    <t>Streamlined human-resource infrastructure</t>
  </si>
  <si>
    <t>Simmonsborough</t>
  </si>
  <si>
    <t>Self-enabling stable open architecture</t>
  </si>
  <si>
    <t>Robertfort</t>
  </si>
  <si>
    <t>UK, UAE, China</t>
  </si>
  <si>
    <t>Compatible 4thgeneration benchmark</t>
  </si>
  <si>
    <t>Ochoatown</t>
  </si>
  <si>
    <t>Implemented leadingedge capability</t>
  </si>
  <si>
    <t>Sotoborough</t>
  </si>
  <si>
    <t>Distributed explicit open architecture</t>
  </si>
  <si>
    <t>Ryanshire</t>
  </si>
  <si>
    <t>USA, Israel, Germany</t>
  </si>
  <si>
    <t>Reverse-engineered homogeneous attitude</t>
  </si>
  <si>
    <t>Mendozaland</t>
  </si>
  <si>
    <t>Persevering empowering methodology</t>
  </si>
  <si>
    <t>Lake Danielview</t>
  </si>
  <si>
    <t>Programmable 4thgeneration portal</t>
  </si>
  <si>
    <t>New Shawn</t>
  </si>
  <si>
    <t>Germany, India, Israel</t>
  </si>
  <si>
    <t>Cloned bandwidth-monitored firmware</t>
  </si>
  <si>
    <t>Amandaborough</t>
  </si>
  <si>
    <t>Customizable global customer loyalty</t>
  </si>
  <si>
    <t>East Holly</t>
  </si>
  <si>
    <t>Triple-buffered leadingedge complexity</t>
  </si>
  <si>
    <t>Michelleborough</t>
  </si>
  <si>
    <t>UAE, UK, Japan</t>
  </si>
  <si>
    <t>Focused value-added definition</t>
  </si>
  <si>
    <t>Port Michelleland</t>
  </si>
  <si>
    <t>Germany, France</t>
  </si>
  <si>
    <t>Operative uniform archive</t>
  </si>
  <si>
    <t>Lake Thomas</t>
  </si>
  <si>
    <t>USA, China, Russia</t>
  </si>
  <si>
    <t>Public-key 3rdgeneration database</t>
  </si>
  <si>
    <t>West Caleb</t>
  </si>
  <si>
    <t>Customizable dynamic open system</t>
  </si>
  <si>
    <t>Patrickfort</t>
  </si>
  <si>
    <t>Assimilated human-resource groupware</t>
  </si>
  <si>
    <t>Teresaview</t>
  </si>
  <si>
    <t>Function-based well-modulated time-frame</t>
  </si>
  <si>
    <t>Port Zachary</t>
  </si>
  <si>
    <t>Organic reciprocal middleware</t>
  </si>
  <si>
    <t>South Trevorberg</t>
  </si>
  <si>
    <t>USA, UAE</t>
  </si>
  <si>
    <t>Face-to-face methodical Internet solution</t>
  </si>
  <si>
    <t>Russellville</t>
  </si>
  <si>
    <t>Down-sized high-level analyzer</t>
  </si>
  <si>
    <t>Port Gary</t>
  </si>
  <si>
    <t>Germany, China</t>
  </si>
  <si>
    <t>Organized executive capability</t>
  </si>
  <si>
    <t>Port Jeffrey</t>
  </si>
  <si>
    <t>Cross-platform 5thgeneration productivity</t>
  </si>
  <si>
    <t>Sharonfort</t>
  </si>
  <si>
    <t>Self-enabling 6thgeneration data-warehouse</t>
  </si>
  <si>
    <t>Tuckerview</t>
  </si>
  <si>
    <t>De-engineered non-volatile algorithm</t>
  </si>
  <si>
    <t>East Thomas</t>
  </si>
  <si>
    <t>Centralized reciprocal complexity</t>
  </si>
  <si>
    <t>South Dianeview</t>
  </si>
  <si>
    <t>India, Germany</t>
  </si>
  <si>
    <t>Multi-lateral 5thgeneration system engine</t>
  </si>
  <si>
    <t>New Brendaport</t>
  </si>
  <si>
    <t>Mandatory motivating Local Area Network</t>
  </si>
  <si>
    <t>Steeleborough</t>
  </si>
  <si>
    <t>Upgradable human-resource system engine</t>
  </si>
  <si>
    <t>Kennedyville</t>
  </si>
  <si>
    <t>Germany, UK, USA</t>
  </si>
  <si>
    <t>Switchable exuding throughput</t>
  </si>
  <si>
    <t>North Anna</t>
  </si>
  <si>
    <t>Adaptive heuristic alliance</t>
  </si>
  <si>
    <t>New Richardfort</t>
  </si>
  <si>
    <t>De-engineered mission-critical capability</t>
  </si>
  <si>
    <t>Brettchester</t>
  </si>
  <si>
    <t>UAE, UK</t>
  </si>
  <si>
    <t>User-friendly solution-oriented strategy</t>
  </si>
  <si>
    <t>Deanton</t>
  </si>
  <si>
    <t>Israel, Japan, India</t>
  </si>
  <si>
    <t>Secured neutral conglomeration</t>
  </si>
  <si>
    <t>North Sarah</t>
  </si>
  <si>
    <t>Adaptive mobile emulation</t>
  </si>
  <si>
    <t>Vanessaland</t>
  </si>
  <si>
    <t>UAE, Germany, Israel</t>
  </si>
  <si>
    <t>Upgradable interactive open system</t>
  </si>
  <si>
    <t>West Tyronefort</t>
  </si>
  <si>
    <t>Profound content-based help-desk</t>
  </si>
  <si>
    <t>Diazside</t>
  </si>
  <si>
    <t>Progressive radical encryption</t>
  </si>
  <si>
    <t>Lake Stephanieborough</t>
  </si>
  <si>
    <t>Extended tertiary instruction set</t>
  </si>
  <si>
    <t>Patelview</t>
  </si>
  <si>
    <t>Germany, France, Israel</t>
  </si>
  <si>
    <t>Synchronized dedicated array</t>
  </si>
  <si>
    <t>Lake Elizabethland</t>
  </si>
  <si>
    <t>Optimized zero tolerance circuit</t>
  </si>
  <si>
    <t>South Lisafurt</t>
  </si>
  <si>
    <t>Re-contextualized needs-based support</t>
  </si>
  <si>
    <t>East Valerieland</t>
  </si>
  <si>
    <t>Virtual secondary database</t>
  </si>
  <si>
    <t>New Kevinhaven</t>
  </si>
  <si>
    <t>Germany, India, UK</t>
  </si>
  <si>
    <t>Customizable regional infrastructure</t>
  </si>
  <si>
    <t>Polarized leadingedge archive</t>
  </si>
  <si>
    <t>West Cassandra</t>
  </si>
  <si>
    <t>India, UAE</t>
  </si>
  <si>
    <t>Implemented even-keeled archive</t>
  </si>
  <si>
    <t>Berrybury</t>
  </si>
  <si>
    <t>Stand-alone incremental hardware</t>
  </si>
  <si>
    <t>South David</t>
  </si>
  <si>
    <t>Automated regional product</t>
  </si>
  <si>
    <t>West Sarahland</t>
  </si>
  <si>
    <t>USA, China, France</t>
  </si>
  <si>
    <t>Customer-focused heuristic Local Area Network</t>
  </si>
  <si>
    <t>Guerraview</t>
  </si>
  <si>
    <t>Germany, USA, Japan</t>
  </si>
  <si>
    <t>Ameliorated mission-critical open architecture</t>
  </si>
  <si>
    <t>North Nicholas</t>
  </si>
  <si>
    <t>Optimized zero-defect matrix</t>
  </si>
  <si>
    <t>Lake Catherine</t>
  </si>
  <si>
    <t>Sharable 6thgeneration complexity</t>
  </si>
  <si>
    <t>Frankport</t>
  </si>
  <si>
    <t>Exclusive fresh-thinking moratorium</t>
  </si>
  <si>
    <t>Burnstown</t>
  </si>
  <si>
    <t>UK, Germany, USA</t>
  </si>
  <si>
    <t>Public-key foreground software</t>
  </si>
  <si>
    <t>West Darinberg</t>
  </si>
  <si>
    <t>Multi-layered optimizing workforce</t>
  </si>
  <si>
    <t>East Paul</t>
  </si>
  <si>
    <t>Programmable leadingedge emulation</t>
  </si>
  <si>
    <t>Jeffreychester</t>
  </si>
  <si>
    <t>UAE, USA, China</t>
  </si>
  <si>
    <t>Intuitive user-facing moratorium</t>
  </si>
  <si>
    <t>Thomaschester</t>
  </si>
  <si>
    <t>Streamlined bottom-line policy</t>
  </si>
  <si>
    <t>South Jacob</t>
  </si>
  <si>
    <t>Monitored holistic Graphic Interface</t>
  </si>
  <si>
    <t>Julieside</t>
  </si>
  <si>
    <t>India, France</t>
  </si>
  <si>
    <t>Down-sized hybrid frame</t>
  </si>
  <si>
    <t>Israel, France, Russia</t>
  </si>
  <si>
    <t>Reduced user-facing instruction set</t>
  </si>
  <si>
    <t>West Kevinport</t>
  </si>
  <si>
    <t>Visionary zero-defect contingency</t>
  </si>
  <si>
    <t>East Jennifer</t>
  </si>
  <si>
    <t>Devolved secondary access</t>
  </si>
  <si>
    <t>Parktown</t>
  </si>
  <si>
    <t>Optimized impactful circuit</t>
  </si>
  <si>
    <t>Jamiebury</t>
  </si>
  <si>
    <t>Public-key even-keeled algorithm</t>
  </si>
  <si>
    <t>South Rebecca</t>
  </si>
  <si>
    <t>Japan, France</t>
  </si>
  <si>
    <t>Up-sized coherent info-mediaries</t>
  </si>
  <si>
    <t>South Sarah</t>
  </si>
  <si>
    <t>Business-focused zero tolerance function</t>
  </si>
  <si>
    <t>Lake Natalieside</t>
  </si>
  <si>
    <t>Germany, USA, France</t>
  </si>
  <si>
    <t>Vision-oriented executive focus group</t>
  </si>
  <si>
    <t>Johnstad</t>
  </si>
  <si>
    <t>Reduced even-keeled Internet solution</t>
  </si>
  <si>
    <t>Stewartburgh</t>
  </si>
  <si>
    <t>USA, France, Germany</t>
  </si>
  <si>
    <t>Open-architected multimedia utilization</t>
  </si>
  <si>
    <t>West Brian</t>
  </si>
  <si>
    <t>Digitized system-worthy hierarchy</t>
  </si>
  <si>
    <t>West Wayneport</t>
  </si>
  <si>
    <t>Upgradable tangible secured line</t>
  </si>
  <si>
    <t>North Paulside</t>
  </si>
  <si>
    <t>USA, France, Japan</t>
  </si>
  <si>
    <t>Seamless foreground toolset</t>
  </si>
  <si>
    <t>Lake Christinaburgh</t>
  </si>
  <si>
    <t>Programmable exuding standardization</t>
  </si>
  <si>
    <t>Caitlinstad</t>
  </si>
  <si>
    <t>Organized solution-oriented project</t>
  </si>
  <si>
    <t>Lake Maria</t>
  </si>
  <si>
    <t>Fundamental dedicated workforce</t>
  </si>
  <si>
    <t>Williamstad</t>
  </si>
  <si>
    <t>Japan, Russia, UK</t>
  </si>
  <si>
    <t>Innovative global frame</t>
  </si>
  <si>
    <t>New Timothyberg</t>
  </si>
  <si>
    <t>Japan, Russia, UAE</t>
  </si>
  <si>
    <t>Versatile local utilization</t>
  </si>
  <si>
    <t>Eddiestad</t>
  </si>
  <si>
    <t>India, USA</t>
  </si>
  <si>
    <t>Profit-focused impactful open architecture</t>
  </si>
  <si>
    <t>Port Christine</t>
  </si>
  <si>
    <t>Future-proofed analyzing challenge</t>
  </si>
  <si>
    <t>New Christopherstad</t>
  </si>
  <si>
    <t>Cloned analyzing utilization</t>
  </si>
  <si>
    <t>North Williamstad</t>
  </si>
  <si>
    <t>Seamless tangible projection</t>
  </si>
  <si>
    <t>Samanthaberg</t>
  </si>
  <si>
    <t>Adaptive system-worthy leverage</t>
  </si>
  <si>
    <t>Marcofort</t>
  </si>
  <si>
    <t>Inverse 24hour emulation</t>
  </si>
  <si>
    <t>Hendrickshaven</t>
  </si>
  <si>
    <t>Persevering foreground moratorium</t>
  </si>
  <si>
    <t>North Saraview</t>
  </si>
  <si>
    <t>Optional 5thgeneration strategy</t>
  </si>
  <si>
    <t>Martinezshire</t>
  </si>
  <si>
    <t>Face-to-face coherent customer loyalty</t>
  </si>
  <si>
    <t>West Michael</t>
  </si>
  <si>
    <t>Function-based human-resource hierarchy</t>
  </si>
  <si>
    <t>Laurastad</t>
  </si>
  <si>
    <t>Triple-buffered full-range collaboration</t>
  </si>
  <si>
    <t>Lake Jamiemouth</t>
  </si>
  <si>
    <t>Devolved 3rdgeneration data-warehouse</t>
  </si>
  <si>
    <t>Tabithaport</t>
  </si>
  <si>
    <t>Front-line system-worthy process improvement</t>
  </si>
  <si>
    <t>Brockchester</t>
  </si>
  <si>
    <t>Customer-focused cohesive circuit</t>
  </si>
  <si>
    <t>Lambury</t>
  </si>
  <si>
    <t>Exclusive multi-tasking contingency</t>
  </si>
  <si>
    <t>Clarkfurt</t>
  </si>
  <si>
    <t>Progressive even-keeled forecast</t>
  </si>
  <si>
    <t>Ryanburgh</t>
  </si>
  <si>
    <t>Open-source content-based Graphical User Interface</t>
  </si>
  <si>
    <t>South Matthew</t>
  </si>
  <si>
    <t>Compatible local matrices</t>
  </si>
  <si>
    <t>Knoxland</t>
  </si>
  <si>
    <t>Devolved leadingedge framework</t>
  </si>
  <si>
    <t>New Ronald</t>
  </si>
  <si>
    <t>Persevering maximized core</t>
  </si>
  <si>
    <t>Ellisonbury</t>
  </si>
  <si>
    <t>Customer-focused leadingedge emulation</t>
  </si>
  <si>
    <t>South Suzannechester</t>
  </si>
  <si>
    <t>Total radical groupware</t>
  </si>
  <si>
    <t>New Kevinmouth</t>
  </si>
  <si>
    <t>Enhanced cohesive framework</t>
  </si>
  <si>
    <t>Ashleymouth</t>
  </si>
  <si>
    <t>Automated bandwidth-monitored Graphic Interface</t>
  </si>
  <si>
    <t>Jasonshire</t>
  </si>
  <si>
    <t>Future-proofed bi-directional open architecture</t>
  </si>
  <si>
    <t>Trujilloborough</t>
  </si>
  <si>
    <t>Integrated solution-oriented solution</t>
  </si>
  <si>
    <t>Jamesbury</t>
  </si>
  <si>
    <t>Assimilated local customer loyalty</t>
  </si>
  <si>
    <t>Acostashire</t>
  </si>
  <si>
    <t>User-centric leadingedge productivity</t>
  </si>
  <si>
    <t>Port Kimberly</t>
  </si>
  <si>
    <t>India, Russia, Germany</t>
  </si>
  <si>
    <t>Advanced incremental system engine</t>
  </si>
  <si>
    <t>East Nancyside</t>
  </si>
  <si>
    <t>Face-to-face intangible utilization</t>
  </si>
  <si>
    <t>Fernandohaven</t>
  </si>
  <si>
    <t>Germany, Russia, China</t>
  </si>
  <si>
    <t>Seamless stable orchestration</t>
  </si>
  <si>
    <t>New Brittanyburgh</t>
  </si>
  <si>
    <t>Configurable logistical hierarchy</t>
  </si>
  <si>
    <t>New Jared</t>
  </si>
  <si>
    <t>UAE, India</t>
  </si>
  <si>
    <t>Persistent bottom-line ability</t>
  </si>
  <si>
    <t>New Jason</t>
  </si>
  <si>
    <t>Diverse incremental task-force</t>
  </si>
  <si>
    <t>Jeffreytown</t>
  </si>
  <si>
    <t>France, Israel, USA</t>
  </si>
  <si>
    <t>Cross-platform web-enabled application</t>
  </si>
  <si>
    <t>Kellyhaven</t>
  </si>
  <si>
    <t>Phased transitional framework</t>
  </si>
  <si>
    <t>Porterfurt</t>
  </si>
  <si>
    <t>China, Japan, France</t>
  </si>
  <si>
    <t>Advanced multi-tasking access</t>
  </si>
  <si>
    <t>West Nathan</t>
  </si>
  <si>
    <t>Exclusive tertiary application</t>
  </si>
  <si>
    <t>West Alexandramouth</t>
  </si>
  <si>
    <t>Synergistic national matrix</t>
  </si>
  <si>
    <t>Lake Erin</t>
  </si>
  <si>
    <t>Innovative scalable focus group</t>
  </si>
  <si>
    <t>North Susanbury</t>
  </si>
  <si>
    <t>Virtual methodical Graphical User Interface</t>
  </si>
  <si>
    <t>Lake Christopherfurt</t>
  </si>
  <si>
    <t>Multi-lateral zero-defect time-frame</t>
  </si>
  <si>
    <t>East Beth</t>
  </si>
  <si>
    <t>Horizontal next generation access</t>
  </si>
  <si>
    <t>New Stephaniehaven</t>
  </si>
  <si>
    <t>USA, China, Japan</t>
  </si>
  <si>
    <t>Public-key composite challenge</t>
  </si>
  <si>
    <t>Christianville</t>
  </si>
  <si>
    <t>Germany, Israel, India</t>
  </si>
  <si>
    <t>Mandatory demand-driven moderator</t>
  </si>
  <si>
    <t>Lake Amanda</t>
  </si>
  <si>
    <t>Quality-focused multi-state database</t>
  </si>
  <si>
    <t>East Christopherview</t>
  </si>
  <si>
    <t>Vision-oriented context-sensitive capability</t>
  </si>
  <si>
    <t>Grossview</t>
  </si>
  <si>
    <t>Profit-focused actuating time-frame</t>
  </si>
  <si>
    <t>Porterchester</t>
  </si>
  <si>
    <t>Monitored even-keeled solution</t>
  </si>
  <si>
    <t>Samuelshire</t>
  </si>
  <si>
    <t>Distributed tangible moratorium</t>
  </si>
  <si>
    <t>South Christine</t>
  </si>
  <si>
    <t>Israel, Japan</t>
  </si>
  <si>
    <t>Compatible hybrid encryption</t>
  </si>
  <si>
    <t>Flynnland</t>
  </si>
  <si>
    <t>Multi-channeled systemic process improvement</t>
  </si>
  <si>
    <t>Henrytown</t>
  </si>
  <si>
    <t>UAE, France, Germany</t>
  </si>
  <si>
    <t>Expanded disintermediate framework</t>
  </si>
  <si>
    <t>East Patricia</t>
  </si>
  <si>
    <t>UAE, Russia, Germany</t>
  </si>
  <si>
    <t>Optimized grid-enabled hardware</t>
  </si>
  <si>
    <t>Port Charles</t>
  </si>
  <si>
    <t>Cross-platform composite toolset</t>
  </si>
  <si>
    <t>Anthonystad</t>
  </si>
  <si>
    <t>Digitized client-driven analyzer</t>
  </si>
  <si>
    <t>Lisaburgh</t>
  </si>
  <si>
    <t>Realigned 4thgeneration synergy</t>
  </si>
  <si>
    <t>Burnsfort</t>
  </si>
  <si>
    <t>France, India</t>
  </si>
  <si>
    <t>Operative web-enabled toolset</t>
  </si>
  <si>
    <t>Orozcoview</t>
  </si>
  <si>
    <t>UAE, Japan, Russia</t>
  </si>
  <si>
    <t>Integrated dedicated alliance</t>
  </si>
  <si>
    <t>Port Beverly</t>
  </si>
  <si>
    <t>Vision-oriented even-keeled groupware</t>
  </si>
  <si>
    <t>New Karinastad</t>
  </si>
  <si>
    <t>Japan, Israel, USA</t>
  </si>
  <si>
    <t>Cloned fault-tolerant secured line</t>
  </si>
  <si>
    <t>West Gerald</t>
  </si>
  <si>
    <t>Seamless client-driven Graphical User Interface</t>
  </si>
  <si>
    <t>Jessicaview</t>
  </si>
  <si>
    <t>Robust zero tolerance flexibility</t>
  </si>
  <si>
    <t>East Trevor</t>
  </si>
  <si>
    <t>Quality-focused homogeneous utilization</t>
  </si>
  <si>
    <t>Karenmouth</t>
  </si>
  <si>
    <t>Diverse dynamic hierarchy</t>
  </si>
  <si>
    <t>Whitehaven</t>
  </si>
  <si>
    <t>Balanced system-worthy knowledgebase</t>
  </si>
  <si>
    <t>Larryport</t>
  </si>
  <si>
    <t>Cross-group leadingedge knowledgebase</t>
  </si>
  <si>
    <t>Lake Maryfurt</t>
  </si>
  <si>
    <t>Vision-oriented high-level Internet solution</t>
  </si>
  <si>
    <t>South Ericaview</t>
  </si>
  <si>
    <t>Israel, USA, India</t>
  </si>
  <si>
    <t>Team-oriented eco-centric policy</t>
  </si>
  <si>
    <t>New Peterside</t>
  </si>
  <si>
    <t>Re-contextualized optimizing knowledge user</t>
  </si>
  <si>
    <t>West Anthony</t>
  </si>
  <si>
    <t>Germany, UK, Russia</t>
  </si>
  <si>
    <t>Proactive optimizing alliance</t>
  </si>
  <si>
    <t>Marshallside</t>
  </si>
  <si>
    <t>Proactive background matrices</t>
  </si>
  <si>
    <t>Kellyside</t>
  </si>
  <si>
    <t>Fundamental intangible concept</t>
  </si>
  <si>
    <t>West Julie</t>
  </si>
  <si>
    <t>USA, China, UAE</t>
  </si>
  <si>
    <t>Persistent zero administration infrastructure</t>
  </si>
  <si>
    <t>Robust heuristic leverage</t>
  </si>
  <si>
    <t>Port Kyle</t>
  </si>
  <si>
    <t>Horizontal system-worthy toolset</t>
  </si>
  <si>
    <t>Lesliefurt</t>
  </si>
  <si>
    <t>Enhanced bi-directional installation</t>
  </si>
  <si>
    <t>West Cynthiaberg</t>
  </si>
  <si>
    <t>USA, UK, Germany</t>
  </si>
  <si>
    <t>Grass-roots motivating paradigm</t>
  </si>
  <si>
    <t>Humphreytown</t>
  </si>
  <si>
    <t>Russia, Germany, Japan</t>
  </si>
  <si>
    <t>Right-sized transitional knowledgebase</t>
  </si>
  <si>
    <t>North Justinstad</t>
  </si>
  <si>
    <t>Reverse-engineered multi-tasking moderator</t>
  </si>
  <si>
    <t>Lake Sabrina</t>
  </si>
  <si>
    <t>Customizable secondary benchmark</t>
  </si>
  <si>
    <t>East Dianaton</t>
  </si>
  <si>
    <t>UAE, India, Israel</t>
  </si>
  <si>
    <t>Switchable static matrix</t>
  </si>
  <si>
    <t>East Zacharyland</t>
  </si>
  <si>
    <t>Up-sized zero administration open architecture</t>
  </si>
  <si>
    <t>New Edwardfurt</t>
  </si>
  <si>
    <t>USA, China, Germany</t>
  </si>
  <si>
    <t>Multi-layered transitional benchmark</t>
  </si>
  <si>
    <t>Port Christopherborough</t>
  </si>
  <si>
    <t>Streamlined eco-centric infrastructure</t>
  </si>
  <si>
    <t>Robinsonbury</t>
  </si>
  <si>
    <t>Business-focused optimal protocol</t>
  </si>
  <si>
    <t>Aprilfurt</t>
  </si>
  <si>
    <t>Total 4thgeneration Internet solution</t>
  </si>
  <si>
    <t>Lake William</t>
  </si>
  <si>
    <t>Business-focused executive forecast</t>
  </si>
  <si>
    <t>West Melissa</t>
  </si>
  <si>
    <t>China, USA, France</t>
  </si>
  <si>
    <t>Mandatory well-modulated array</t>
  </si>
  <si>
    <t>Port Kristen</t>
  </si>
  <si>
    <t>Streamlined regional monitoring</t>
  </si>
  <si>
    <t>Lake Eileenberg</t>
  </si>
  <si>
    <t>Russia, UAE, UK</t>
  </si>
  <si>
    <t>Ameliorated intermediate attitude</t>
  </si>
  <si>
    <t>North Toddside</t>
  </si>
  <si>
    <t>Devolved full-range budgetary management</t>
  </si>
  <si>
    <t>New Kristinastad</t>
  </si>
  <si>
    <t>Mandatory secondary instruction set</t>
  </si>
  <si>
    <t>New Lorishire</t>
  </si>
  <si>
    <t>Focused methodical focus group</t>
  </si>
  <si>
    <t>North Angela</t>
  </si>
  <si>
    <t>Reverse-engineered mission-critical structure</t>
  </si>
  <si>
    <t>Lake Mary</t>
  </si>
  <si>
    <t>China, India, France</t>
  </si>
  <si>
    <t>Cross-platform 3rdgeneration website</t>
  </si>
  <si>
    <t>Lanceshire</t>
  </si>
  <si>
    <t>Future-proofed fault-tolerant benchmark</t>
  </si>
  <si>
    <t>Kathleenburgh</t>
  </si>
  <si>
    <t>Inverse high-level approach</t>
  </si>
  <si>
    <t>North Ericville</t>
  </si>
  <si>
    <t>UAE, Russia</t>
  </si>
  <si>
    <t>Seamless mission-critical secured line</t>
  </si>
  <si>
    <t>Israel, Germany, India</t>
  </si>
  <si>
    <t>Down-sized scalable open system</t>
  </si>
  <si>
    <t>Maddoxport</t>
  </si>
  <si>
    <t>Advanced multimedia definition</t>
  </si>
  <si>
    <t>Annafort</t>
  </si>
  <si>
    <t>Team-oriented national benchmark</t>
  </si>
  <si>
    <t>South Danielle</t>
  </si>
  <si>
    <t>UK, France</t>
  </si>
  <si>
    <t>Synergized global analyzer</t>
  </si>
  <si>
    <t>Morrisside</t>
  </si>
  <si>
    <t>Future-proofed object-oriented core</t>
  </si>
  <si>
    <t>West Leah</t>
  </si>
  <si>
    <t>Israel, China, Russia</t>
  </si>
  <si>
    <t>Multi-lateral contextually-based challenge</t>
  </si>
  <si>
    <t>East Donna</t>
  </si>
  <si>
    <t>Assimilated non-volatile task-force</t>
  </si>
  <si>
    <t>Knightport</t>
  </si>
  <si>
    <t>User-friendly user-facing projection</t>
  </si>
  <si>
    <t>West Thomas</t>
  </si>
  <si>
    <t>Automated interactive protocol</t>
  </si>
  <si>
    <t>Johnsonmouth</t>
  </si>
  <si>
    <t>Switchable methodical open architecture</t>
  </si>
  <si>
    <t>New Erin</t>
  </si>
  <si>
    <t>Networked fault-tolerant success</t>
  </si>
  <si>
    <t>New Thomas</t>
  </si>
  <si>
    <t>Universal exuding contingency</t>
  </si>
  <si>
    <t>North Latoya</t>
  </si>
  <si>
    <t>USA, UAE, France</t>
  </si>
  <si>
    <t>Networked context-sensitive monitoring</t>
  </si>
  <si>
    <t>North Tracybury</t>
  </si>
  <si>
    <t>Object-based hybrid forecast</t>
  </si>
  <si>
    <t>New Melissashire</t>
  </si>
  <si>
    <t>Russia, China, Japan</t>
  </si>
  <si>
    <t>Devolved encompassing emulation</t>
  </si>
  <si>
    <t>Staceyville</t>
  </si>
  <si>
    <t>India, UK</t>
  </si>
  <si>
    <t>Automated demand-driven pricing structure</t>
  </si>
  <si>
    <t>West Lisaside</t>
  </si>
  <si>
    <t>France, USA, Russia</t>
  </si>
  <si>
    <t>Vision-oriented cohesive success</t>
  </si>
  <si>
    <t>North Kristy</t>
  </si>
  <si>
    <t>Japan, Germany, Israel</t>
  </si>
  <si>
    <t>Persevering system-worthy functionalities</t>
  </si>
  <si>
    <t>Paulmouth</t>
  </si>
  <si>
    <t>Japan, UK, France</t>
  </si>
  <si>
    <t>Balanced radical ability</t>
  </si>
  <si>
    <t>Gallaghermouth</t>
  </si>
  <si>
    <t>Advanced non-volatile capacity</t>
  </si>
  <si>
    <t>Tanyahaven</t>
  </si>
  <si>
    <t>Public-key dynamic capability</t>
  </si>
  <si>
    <t>Port Lisa</t>
  </si>
  <si>
    <t>Open-source national implementation</t>
  </si>
  <si>
    <t>Extended high-level support</t>
  </si>
  <si>
    <t>Port Johnbury</t>
  </si>
  <si>
    <t>User-friendly modular hardware</t>
  </si>
  <si>
    <t>Santosville</t>
  </si>
  <si>
    <t>Object-based 6thgeneration utilization</t>
  </si>
  <si>
    <t>New Faith</t>
  </si>
  <si>
    <t>Multi-tiered system-worthy matrices</t>
  </si>
  <si>
    <t>Rachelfurt</t>
  </si>
  <si>
    <t>Assimilated 6thgeneration middleware</t>
  </si>
  <si>
    <t>East Susan</t>
  </si>
  <si>
    <t>Advanced intermediate application</t>
  </si>
  <si>
    <t>East Amber</t>
  </si>
  <si>
    <t>Quality-focused user-facing benchmark</t>
  </si>
  <si>
    <t>Lake Brooke</t>
  </si>
  <si>
    <t>Automated discrete capacity</t>
  </si>
  <si>
    <t>Port Dianaborough</t>
  </si>
  <si>
    <t>Total asymmetric Local Area Network</t>
  </si>
  <si>
    <t>Lake Teresamouth</t>
  </si>
  <si>
    <t>Front-line 24hour benchmark</t>
  </si>
  <si>
    <t>Davidfort</t>
  </si>
  <si>
    <t>Robust context-sensitive utilization</t>
  </si>
  <si>
    <t>Kelseyfort</t>
  </si>
  <si>
    <t>France, China, UK</t>
  </si>
  <si>
    <t>Synchronized multi-tasking pricing structure</t>
  </si>
  <si>
    <t>China, Israel, Japan</t>
  </si>
  <si>
    <t>Re-engineered impactful support</t>
  </si>
  <si>
    <t>North Robertchester</t>
  </si>
  <si>
    <t>Multi-tiered eco-centric info-mediaries</t>
  </si>
  <si>
    <t>Ryanland</t>
  </si>
  <si>
    <t>Israel, China, Germany</t>
  </si>
  <si>
    <t>Reverse-engineered non-volatile knowledgebase</t>
  </si>
  <si>
    <t>Jameshaven</t>
  </si>
  <si>
    <t>Pre-emptive client-server encoding</t>
  </si>
  <si>
    <t>Espinozachester</t>
  </si>
  <si>
    <t>China, India, Russia</t>
  </si>
  <si>
    <t>Synergistic uniform collaboration</t>
  </si>
  <si>
    <t>Estradaville</t>
  </si>
  <si>
    <t>Israel, Germany, Russia</t>
  </si>
  <si>
    <t>Operative explicit toolset</t>
  </si>
  <si>
    <t>Littleberg</t>
  </si>
  <si>
    <t>Russia, UK, France</t>
  </si>
  <si>
    <t>Exclusive discrete circuit</t>
  </si>
  <si>
    <t>North Susan</t>
  </si>
  <si>
    <t>Multi-channeled intermediate flexibility</t>
  </si>
  <si>
    <t>Michaelhaven</t>
  </si>
  <si>
    <t>USA, Japan, Russia</t>
  </si>
  <si>
    <t>Distributed dynamic solution</t>
  </si>
  <si>
    <t>Velazquezville</t>
  </si>
  <si>
    <t>Israel, China</t>
  </si>
  <si>
    <t>Expanded well-modulated intranet</t>
  </si>
  <si>
    <t>Danielfurt</t>
  </si>
  <si>
    <t>Germany, China, India</t>
  </si>
  <si>
    <t>Automated motivating function</t>
  </si>
  <si>
    <t>South Michaelbury</t>
  </si>
  <si>
    <t>India, France, Israel</t>
  </si>
  <si>
    <t>Self-enabling reciprocal attitude</t>
  </si>
  <si>
    <t>Joshuaton</t>
  </si>
  <si>
    <t>Exclusive dynamic pricing structure</t>
  </si>
  <si>
    <t>Port Cynthia</t>
  </si>
  <si>
    <t>Proactive encompassing projection</t>
  </si>
  <si>
    <t>South Johnny</t>
  </si>
  <si>
    <t>Front-line well-modulated synergy</t>
  </si>
  <si>
    <t>Pearsonstad</t>
  </si>
  <si>
    <t>Intuitive radical monitoring</t>
  </si>
  <si>
    <t>Williamsbury</t>
  </si>
  <si>
    <t>Assimilated multimedia toolset</t>
  </si>
  <si>
    <t>Port Phillip</t>
  </si>
  <si>
    <t>China, Israel, UAE</t>
  </si>
  <si>
    <t>De-engineered empowering array</t>
  </si>
  <si>
    <t>Woodfort</t>
  </si>
  <si>
    <t>Multi-channeled empowering emulation</t>
  </si>
  <si>
    <t>Lake Jonathanhaven</t>
  </si>
  <si>
    <t>Russia, UK, Israel</t>
  </si>
  <si>
    <t>Self-enabling coherent moratorium</t>
  </si>
  <si>
    <t>South Jennachester</t>
  </si>
  <si>
    <t>USA, Israel, Russia</t>
  </si>
  <si>
    <t>Versatile cohesive attitude</t>
  </si>
  <si>
    <t>East Kim</t>
  </si>
  <si>
    <t>USA, Germany, India</t>
  </si>
  <si>
    <t>Diverse well-modulated capability</t>
  </si>
  <si>
    <t>Port Jamesfort</t>
  </si>
  <si>
    <t>China, UAE, Japan</t>
  </si>
  <si>
    <t>Configurable secondary ability</t>
  </si>
  <si>
    <t>Lake Matthewborough</t>
  </si>
  <si>
    <t>Polarized impactful challenge</t>
  </si>
  <si>
    <t>Lake Melissaview</t>
  </si>
  <si>
    <t>Streamlined encompassing capability</t>
  </si>
  <si>
    <t>Andersonside</t>
  </si>
  <si>
    <t>Fully-configurable multimedia benchmark</t>
  </si>
  <si>
    <t>Tammyberg</t>
  </si>
  <si>
    <t>UK, France, India</t>
  </si>
  <si>
    <t>Pre-emptive clear-thinking analyzer</t>
  </si>
  <si>
    <t>Craighaven</t>
  </si>
  <si>
    <t>Re-engineered intermediate algorithm</t>
  </si>
  <si>
    <t>Charlesville</t>
  </si>
  <si>
    <t>Managed methodical flexibility</t>
  </si>
  <si>
    <t>Kimberlymouth</t>
  </si>
  <si>
    <t>Cross-platform tertiary data-warehouse</t>
  </si>
  <si>
    <t>Meganmouth</t>
  </si>
  <si>
    <t>Open-source 5thgeneration approach</t>
  </si>
  <si>
    <t>India, Russia, USA</t>
  </si>
  <si>
    <t>Business-focused context-sensitive initiative</t>
  </si>
  <si>
    <t>Caseyside</t>
  </si>
  <si>
    <t>India, UAE, France</t>
  </si>
  <si>
    <t>Reverse-engineered bandwidth-monitored info-mediaries</t>
  </si>
  <si>
    <t>New Gregory</t>
  </si>
  <si>
    <t>China, Israel, Russia</t>
  </si>
  <si>
    <t>User-friendly next generation success</t>
  </si>
  <si>
    <t>Robertmouth</t>
  </si>
  <si>
    <t>Multi-lateral responsive open architecture</t>
  </si>
  <si>
    <t>Lake Debbie</t>
  </si>
  <si>
    <t>Optional multimedia parallelism</t>
  </si>
  <si>
    <t>Howardport</t>
  </si>
  <si>
    <t>Multi-tiered didactic knowledge user</t>
  </si>
  <si>
    <t>Martinezstad</t>
  </si>
  <si>
    <t>Team-oriented solution-oriented methodology</t>
  </si>
  <si>
    <t>East Blake</t>
  </si>
  <si>
    <t>User-centric encompassing focus group</t>
  </si>
  <si>
    <t>New Alexandrastad</t>
  </si>
  <si>
    <t>Focused intermediate leverage</t>
  </si>
  <si>
    <t>Smithberg</t>
  </si>
  <si>
    <t>Realigned upward-trending superstructure</t>
  </si>
  <si>
    <t>Port Ana</t>
  </si>
  <si>
    <t>UAE, Israel, USA</t>
  </si>
  <si>
    <t>Object-based systematic workforce</t>
  </si>
  <si>
    <t>West Austintown</t>
  </si>
  <si>
    <t>Sharable foreground data-warehouse</t>
  </si>
  <si>
    <t>Margaretberg</t>
  </si>
  <si>
    <t>China, USA, India</t>
  </si>
  <si>
    <t>Distributed regional policy</t>
  </si>
  <si>
    <t>Farrelltown</t>
  </si>
  <si>
    <t>Vision-oriented clear-thinking throughput</t>
  </si>
  <si>
    <t>Port Tara</t>
  </si>
  <si>
    <t>Israel, UAE</t>
  </si>
  <si>
    <t>Organic reciprocal leverage</t>
  </si>
  <si>
    <t>Jesseland</t>
  </si>
  <si>
    <t>Enterprise-wide human-resource budgetary management</t>
  </si>
  <si>
    <t>South Ashleybury</t>
  </si>
  <si>
    <t>User-centric explicit utilization</t>
  </si>
  <si>
    <t>West Samanthaburgh</t>
  </si>
  <si>
    <t>Customizable zero-defect core</t>
  </si>
  <si>
    <t>West Michaelhaven</t>
  </si>
  <si>
    <t>Monitored full-range toolset</t>
  </si>
  <si>
    <t>Jacobsburgh</t>
  </si>
  <si>
    <t>China, France, Israel</t>
  </si>
  <si>
    <t>Versatile bandwidth-monitored flexibility</t>
  </si>
  <si>
    <t>New Melinda</t>
  </si>
  <si>
    <t>France, USA</t>
  </si>
  <si>
    <t>Secured real-time middleware</t>
  </si>
  <si>
    <t>Port Courtneyburgh</t>
  </si>
  <si>
    <t>Team-oriented full-range migration</t>
  </si>
  <si>
    <t>Ericaside</t>
  </si>
  <si>
    <t>Devolved well-modulated access</t>
  </si>
  <si>
    <t>West Dana</t>
  </si>
  <si>
    <t>Future-proofed coherent definition</t>
  </si>
  <si>
    <t>Rhodesburgh</t>
  </si>
  <si>
    <t>Fully-configurable fresh-thinking complexity</t>
  </si>
  <si>
    <t>Austinside</t>
  </si>
  <si>
    <t>Enterprise-wide responsive policy</t>
  </si>
  <si>
    <t>Allenburgh</t>
  </si>
  <si>
    <t>Proactive didactic Internet solution</t>
  </si>
  <si>
    <t>Holmesmouth</t>
  </si>
  <si>
    <t>Re-contextualized 24/7 analyzer</t>
  </si>
  <si>
    <t>Lake Bryanstad</t>
  </si>
  <si>
    <t>Intuitive neutral Graphical User Interface</t>
  </si>
  <si>
    <t>Chadberg</t>
  </si>
  <si>
    <t>Russia, India, Germany</t>
  </si>
  <si>
    <t>Universal background knowledgebase</t>
  </si>
  <si>
    <t>New Markton</t>
  </si>
  <si>
    <t>Multi-tiered responsive matrices</t>
  </si>
  <si>
    <t>Lake Sally</t>
  </si>
  <si>
    <t>UK, Israel, USA</t>
  </si>
  <si>
    <t>Upgradable transitional installation</t>
  </si>
  <si>
    <t>North Randyfurt</t>
  </si>
  <si>
    <t>France, China, India</t>
  </si>
  <si>
    <t>Integrated incremental ability</t>
  </si>
  <si>
    <t>Alexmouth</t>
  </si>
  <si>
    <t>Total system-worthy leverage</t>
  </si>
  <si>
    <t>Melanieville</t>
  </si>
  <si>
    <t>Germany, India, China</t>
  </si>
  <si>
    <t>Enhanced dynamic installation</t>
  </si>
  <si>
    <t>Open-architected dynamic hardware</t>
  </si>
  <si>
    <t>Jodistad</t>
  </si>
  <si>
    <t>Russia, India, UK</t>
  </si>
  <si>
    <t>Centralized value-added support</t>
  </si>
  <si>
    <t>Reedland</t>
  </si>
  <si>
    <t>Diverse grid-enabled secured line</t>
  </si>
  <si>
    <t>South Susanville</t>
  </si>
  <si>
    <t>Triple-buffered asymmetric adapter</t>
  </si>
  <si>
    <t>Ergonomic clear-thinking productivity</t>
  </si>
  <si>
    <t>Tuckerfort</t>
  </si>
  <si>
    <t>China, USA, Japan</t>
  </si>
  <si>
    <t>Extended upward-trending leverage</t>
  </si>
  <si>
    <t>Port Claytonshire</t>
  </si>
  <si>
    <t>Implemented secondary data-warehouse</t>
  </si>
  <si>
    <t>South Vanessa</t>
  </si>
  <si>
    <t>Open-source 4thgeneration intranet</t>
  </si>
  <si>
    <t>Brownville</t>
  </si>
  <si>
    <t>Reverse-engineered scalable capacity</t>
  </si>
  <si>
    <t>Marshburgh</t>
  </si>
  <si>
    <t>Israel, UK</t>
  </si>
  <si>
    <t>Ergonomic heuristic project</t>
  </si>
  <si>
    <t>Alexisside</t>
  </si>
  <si>
    <t>China, UAE, UK</t>
  </si>
  <si>
    <t>Switchable even-keeled conglomeration</t>
  </si>
  <si>
    <t>Conradland</t>
  </si>
  <si>
    <t>Streamlined scalable parallelism</t>
  </si>
  <si>
    <t>Greenhaven</t>
  </si>
  <si>
    <t>Russia, Israel, India</t>
  </si>
  <si>
    <t>User-friendly transitional array</t>
  </si>
  <si>
    <t>West Maryview</t>
  </si>
  <si>
    <t>Innovative systematic workforce</t>
  </si>
  <si>
    <t>Tylerbury</t>
  </si>
  <si>
    <t>Pre-emptive composite task-force</t>
  </si>
  <si>
    <t>South Nicolehaven</t>
  </si>
  <si>
    <t>Networked coherent secured line</t>
  </si>
  <si>
    <t>Atkinsfurt</t>
  </si>
  <si>
    <t>Assimilated foreground firmware</t>
  </si>
  <si>
    <t>Bowersborough</t>
  </si>
  <si>
    <t>Optimized even-keeled software</t>
  </si>
  <si>
    <t>North Sean</t>
  </si>
  <si>
    <t>Germany, Japan, China</t>
  </si>
  <si>
    <t>Proactive well-modulated ability</t>
  </si>
  <si>
    <t>East Margaret</t>
  </si>
  <si>
    <t>France, UAE, Japan</t>
  </si>
  <si>
    <t>Configurable solution-oriented policy</t>
  </si>
  <si>
    <t>Newmanfort</t>
  </si>
  <si>
    <t>USA, UK, UAE</t>
  </si>
  <si>
    <t>Up-sized well-modulated superstructure</t>
  </si>
  <si>
    <t>Down-sized static infrastructure</t>
  </si>
  <si>
    <t>Kellershire</t>
  </si>
  <si>
    <t>Cross-platform global contingency</t>
  </si>
  <si>
    <t>Cummingshaven</t>
  </si>
  <si>
    <t>Digitized multi-state neural-net</t>
  </si>
  <si>
    <t>Edwardsmouth</t>
  </si>
  <si>
    <t>UK, Japan, USA</t>
  </si>
  <si>
    <t>Phased optimizing matrix</t>
  </si>
  <si>
    <t>Lake Hectorchester</t>
  </si>
  <si>
    <t>Japan, India, USA</t>
  </si>
  <si>
    <t>Open-architected incremental pricing structure</t>
  </si>
  <si>
    <t>New Jacob</t>
  </si>
  <si>
    <t>UAE, Japan, France</t>
  </si>
  <si>
    <t>Proactive upward-trending definition</t>
  </si>
  <si>
    <t>South Jason</t>
  </si>
  <si>
    <t>Centralized holistic open architecture</t>
  </si>
  <si>
    <t>New Toddmouth</t>
  </si>
  <si>
    <t>Down-sized explicit focus group</t>
  </si>
  <si>
    <t>Garrettfurt</t>
  </si>
  <si>
    <t>UK, Germany, India</t>
  </si>
  <si>
    <t>Fully-configurable client-server structure</t>
  </si>
  <si>
    <t>New Michaelberg</t>
  </si>
  <si>
    <t>Public-key heuristic extranet</t>
  </si>
  <si>
    <t>New Kyle</t>
  </si>
  <si>
    <t>France, Germany, China</t>
  </si>
  <si>
    <t>Profit-focused bottom-line artificial intelligence</t>
  </si>
  <si>
    <t>Cartershire</t>
  </si>
  <si>
    <t>Decentralized client-server installation</t>
  </si>
  <si>
    <t>Amyburgh</t>
  </si>
  <si>
    <t>Team-oriented interactive benchmark</t>
  </si>
  <si>
    <t>North Lisaburgh</t>
  </si>
  <si>
    <t>UK, UAE</t>
  </si>
  <si>
    <t>Future-proofed logistical migration</t>
  </si>
  <si>
    <t>North Vickie</t>
  </si>
  <si>
    <t>User-friendly foreground conglomeration</t>
  </si>
  <si>
    <t>Debbiefort</t>
  </si>
  <si>
    <t>Ameliorated object-oriented approach</t>
  </si>
  <si>
    <t>Crawfordland</t>
  </si>
  <si>
    <t>Japan, UAE</t>
  </si>
  <si>
    <t>Inverse modular structure</t>
  </si>
  <si>
    <t>North Elizabeth</t>
  </si>
  <si>
    <t>Visionary foreground secured line</t>
  </si>
  <si>
    <t>Lake Markberg</t>
  </si>
  <si>
    <t>India, France, Russia</t>
  </si>
  <si>
    <t>Operative 24hour attitude</t>
  </si>
  <si>
    <t>East Deniseport</t>
  </si>
  <si>
    <t>France, India, Germany</t>
  </si>
  <si>
    <t>Assimilated reciprocal help-desk</t>
  </si>
  <si>
    <t>Lake Jessica</t>
  </si>
  <si>
    <t>Centralized mobile standardization</t>
  </si>
  <si>
    <t>Davidsonshire</t>
  </si>
  <si>
    <t>Cross-platform bifurcated service-desk</t>
  </si>
  <si>
    <t>Clarkmouth</t>
  </si>
  <si>
    <t>Virtual cohesive moderator</t>
  </si>
  <si>
    <t>Lake Davidmouth</t>
  </si>
  <si>
    <t>Programmable systemic moderator</t>
  </si>
  <si>
    <t>North Donaldland</t>
  </si>
  <si>
    <t>Future-proofed user-facing interface</t>
  </si>
  <si>
    <t>Adrienneville</t>
  </si>
  <si>
    <t>Profound optimizing paradigm</t>
  </si>
  <si>
    <t>Michelebury</t>
  </si>
  <si>
    <t>Triple-buffered secondary archive</t>
  </si>
  <si>
    <t>South Danielletown</t>
  </si>
  <si>
    <t>Diverse 24hour paradigm</t>
  </si>
  <si>
    <t>USA, France, UK</t>
  </si>
  <si>
    <t>Ameliorated bi-directional pricing structure</t>
  </si>
  <si>
    <t>Johnsonfort</t>
  </si>
  <si>
    <t>Israel, India</t>
  </si>
  <si>
    <t>Expanded 6thgeneration project</t>
  </si>
  <si>
    <t>Johnsontown</t>
  </si>
  <si>
    <t>France, Japan, China</t>
  </si>
  <si>
    <t>Diverse optimal solution</t>
  </si>
  <si>
    <t>New Bethville</t>
  </si>
  <si>
    <t>Japan, Israel, China</t>
  </si>
  <si>
    <t>User-friendly next generation infrastructure</t>
  </si>
  <si>
    <t>Port Ashley</t>
  </si>
  <si>
    <t>Japan, India, Israel</t>
  </si>
  <si>
    <t>Cloned object-oriented pricing structure</t>
  </si>
  <si>
    <t>West Ericatown</t>
  </si>
  <si>
    <t>Upgradable user-facing task-force</t>
  </si>
  <si>
    <t>New Stevenfurt</t>
  </si>
  <si>
    <t>Multi-channeled upward-trending neural-net</t>
  </si>
  <si>
    <t>Grass-roots 4thgeneration artificial intelligence</t>
  </si>
  <si>
    <t>Michelleview</t>
  </si>
  <si>
    <t>Japan, Germany, France</t>
  </si>
  <si>
    <t>Progressive coherent implementation</t>
  </si>
  <si>
    <t>Joannchester</t>
  </si>
  <si>
    <t>Israel, Russia, France</t>
  </si>
  <si>
    <t>Reactive contextually-based policy</t>
  </si>
  <si>
    <t>Lake Jeffreyfurt</t>
  </si>
  <si>
    <t>Universal empowering service-desk</t>
  </si>
  <si>
    <t>New Taylormouth</t>
  </si>
  <si>
    <t>China, Germany, France</t>
  </si>
  <si>
    <t>Persistent multi-tasking matrices</t>
  </si>
  <si>
    <t>Anneton</t>
  </si>
  <si>
    <t>Extended 5thgeneration algorithm</t>
  </si>
  <si>
    <t>East Donaldchester</t>
  </si>
  <si>
    <t>Balanced asymmetric hub</t>
  </si>
  <si>
    <t>Terrellbury</t>
  </si>
  <si>
    <t>Persevering transitional architecture</t>
  </si>
  <si>
    <t>New Julie</t>
  </si>
  <si>
    <t>Right-sized tangible groupware</t>
  </si>
  <si>
    <t>East Cindy</t>
  </si>
  <si>
    <t>Horizontal demand-driven implementation</t>
  </si>
  <si>
    <t>Currychester</t>
  </si>
  <si>
    <t>USA, Japan, UK</t>
  </si>
  <si>
    <t>Quality-focused local capacity</t>
  </si>
  <si>
    <t>East Jackie</t>
  </si>
  <si>
    <t>Progressive 3rdgeneration leverage</t>
  </si>
  <si>
    <t>Team-oriented system-worthy encoding</t>
  </si>
  <si>
    <t>Ashleyside</t>
  </si>
  <si>
    <t>Innovative reciprocal neural-net</t>
  </si>
  <si>
    <t>Port Amyshire</t>
  </si>
  <si>
    <t>Self-enabling global budgetary management</t>
  </si>
  <si>
    <t>West Kara</t>
  </si>
  <si>
    <t>Japan, India, France</t>
  </si>
  <si>
    <t>Re-engineered dynamic migration</t>
  </si>
  <si>
    <t>Port Jenniferburgh</t>
  </si>
  <si>
    <t>Implemented content-based info-mediaries</t>
  </si>
  <si>
    <t>South Kimberly</t>
  </si>
  <si>
    <t>Realigned asymmetric methodology</t>
  </si>
  <si>
    <t>South Laura</t>
  </si>
  <si>
    <t>User-friendly multi-tasking application</t>
  </si>
  <si>
    <t>Lake Barryland</t>
  </si>
  <si>
    <t>Advanced exuding product</t>
  </si>
  <si>
    <t>East Michael</t>
  </si>
  <si>
    <t>Business-focused systemic productivity</t>
  </si>
  <si>
    <t>Port Williamshire</t>
  </si>
  <si>
    <t>Automated fault-tolerant core</t>
  </si>
  <si>
    <t>Davidshire</t>
  </si>
  <si>
    <t>Multi-layered directional circuit</t>
  </si>
  <si>
    <t>Alecfurt</t>
  </si>
  <si>
    <t>Israel, Japan, USA</t>
  </si>
  <si>
    <t>Ergonomic reciprocal algorithm</t>
  </si>
  <si>
    <t>Harrisport</t>
  </si>
  <si>
    <t>Versatile zero administration circuit</t>
  </si>
  <si>
    <t>Campbellstad</t>
  </si>
  <si>
    <t>Ameliorated human-resource data-warehouse</t>
  </si>
  <si>
    <t>New Lauraburgh</t>
  </si>
  <si>
    <t>Quality-focused optimal algorithm</t>
  </si>
  <si>
    <t>Fundamental disintermediate website</t>
  </si>
  <si>
    <t>Managed content-based flexibility</t>
  </si>
  <si>
    <t>Suzanneshire</t>
  </si>
  <si>
    <t>Virtual multimedia open architecture</t>
  </si>
  <si>
    <t>Benjaminburgh</t>
  </si>
  <si>
    <t>France, UK, Japan</t>
  </si>
  <si>
    <t>Intuitive homogeneous project</t>
  </si>
  <si>
    <t>West Rachelview</t>
  </si>
  <si>
    <t>Object-based incremental database</t>
  </si>
  <si>
    <t>Lawrencechester</t>
  </si>
  <si>
    <t>Multi-channeled even-keeled interface</t>
  </si>
  <si>
    <t>Andradehaven</t>
  </si>
  <si>
    <t>Reduced demand-driven challenge</t>
  </si>
  <si>
    <t>New Lydia</t>
  </si>
  <si>
    <t>Visionary exuding frame</t>
  </si>
  <si>
    <t>Port Elizabethhaven</t>
  </si>
  <si>
    <t>Organized responsive moratorium</t>
  </si>
  <si>
    <t>West Julianfort</t>
  </si>
  <si>
    <t>Germany, India, USA</t>
  </si>
  <si>
    <t>Compatible client-driven customer loyalty</t>
  </si>
  <si>
    <t>Susanberg</t>
  </si>
  <si>
    <t>Devolved multimedia framework</t>
  </si>
  <si>
    <t>New Lisamouth</t>
  </si>
  <si>
    <t>Streamlined empowering strategy</t>
  </si>
  <si>
    <t>Meganside</t>
  </si>
  <si>
    <t>Decentralized needs-based application</t>
  </si>
  <si>
    <t>Port Cameron</t>
  </si>
  <si>
    <t>Expanded actuating moratorium</t>
  </si>
  <si>
    <t>South Courtneymouth</t>
  </si>
  <si>
    <t>Exclusive asynchronous archive</t>
  </si>
  <si>
    <t>Brendaville</t>
  </si>
  <si>
    <t>Polarized user-facing complexity</t>
  </si>
  <si>
    <t>Castroport</t>
  </si>
  <si>
    <t>Upgradable scalable leverage</t>
  </si>
  <si>
    <t>West Alexandriabury</t>
  </si>
  <si>
    <t>Innovative encompassing data-warehouse</t>
  </si>
  <si>
    <t>North Benjaminfort</t>
  </si>
  <si>
    <t>China, Germany, Russia</t>
  </si>
  <si>
    <t>Grass-roots upward-trending policy</t>
  </si>
  <si>
    <t>Melissastad</t>
  </si>
  <si>
    <t>Realigned fresh-thinking instruction set</t>
  </si>
  <si>
    <t>Markborough</t>
  </si>
  <si>
    <t>Total tertiary middleware</t>
  </si>
  <si>
    <t>Candaceberg</t>
  </si>
  <si>
    <t>Persistent well-modulated hub</t>
  </si>
  <si>
    <t>Tinamouth</t>
  </si>
  <si>
    <t>Configurable homogeneous product</t>
  </si>
  <si>
    <t>Gilberthaven</t>
  </si>
  <si>
    <t>Switchable tangible access</t>
  </si>
  <si>
    <t>West Beverlytown</t>
  </si>
  <si>
    <t>Right-sized methodical policy</t>
  </si>
  <si>
    <t>Thomaston</t>
  </si>
  <si>
    <t>Networked fresh-thinking frame</t>
  </si>
  <si>
    <t>North Brian</t>
  </si>
  <si>
    <t>Enterprise-wide user-facing throughput</t>
  </si>
  <si>
    <t>Newtonhaven</t>
  </si>
  <si>
    <t>Universal even-keeled groupware</t>
  </si>
  <si>
    <t>Japan, USA, Israel</t>
  </si>
  <si>
    <t>Programmable reciprocal system engine</t>
  </si>
  <si>
    <t>West Kimville</t>
  </si>
  <si>
    <t>Germany, UAE, India</t>
  </si>
  <si>
    <t>Business-focused bifurcated encryption</t>
  </si>
  <si>
    <t>Grimesstad</t>
  </si>
  <si>
    <t>USA, Japan, India</t>
  </si>
  <si>
    <t>Operative encompassing application</t>
  </si>
  <si>
    <t>Dianeborough</t>
  </si>
  <si>
    <t>Public-key 24/7 algorithm</t>
  </si>
  <si>
    <t>Timothychester</t>
  </si>
  <si>
    <t>Germany, Russia, France</t>
  </si>
  <si>
    <t>Cross-group solution-oriented service-desk</t>
  </si>
  <si>
    <t>South Catherineland</t>
  </si>
  <si>
    <t>Fundamental content-based frame</t>
  </si>
  <si>
    <t>Melissatown</t>
  </si>
  <si>
    <t>Integrated encompassing installation</t>
  </si>
  <si>
    <t>New Michael</t>
  </si>
  <si>
    <t>Grass-roots multimedia knowledgebase</t>
  </si>
  <si>
    <t>Garcialand</t>
  </si>
  <si>
    <t>User-centric hybrid utilization</t>
  </si>
  <si>
    <t>North Richard</t>
  </si>
  <si>
    <t>Distributed explicit encryption</t>
  </si>
  <si>
    <t>Triple-buffered stable contingency</t>
  </si>
  <si>
    <t>Billyfurt</t>
  </si>
  <si>
    <t>Self-enabling homogeneous matrix</t>
  </si>
  <si>
    <t>South Kathrynberg</t>
  </si>
  <si>
    <t>Operative composite challenge</t>
  </si>
  <si>
    <t>North Melissa</t>
  </si>
  <si>
    <t>Diverse 5thgeneration adapter</t>
  </si>
  <si>
    <t>Dustinborough</t>
  </si>
  <si>
    <t>China, Japan, USA</t>
  </si>
  <si>
    <t>Cross-group local software</t>
  </si>
  <si>
    <t>Rachelborough</t>
  </si>
  <si>
    <t>Customer-focused multi-state installation</t>
  </si>
  <si>
    <t>Lopezfort</t>
  </si>
  <si>
    <t>UK, India, Germany</t>
  </si>
  <si>
    <t>Reduced content-based standardization</t>
  </si>
  <si>
    <t>Lake Davidtown</t>
  </si>
  <si>
    <t>Team-oriented transitional installation</t>
  </si>
  <si>
    <t>Erinbury</t>
  </si>
  <si>
    <t>Cross-platform tertiary definition</t>
  </si>
  <si>
    <t>Secured maximized product</t>
  </si>
  <si>
    <t>Sydneytown</t>
  </si>
  <si>
    <t>Reactive object-oriented approach</t>
  </si>
  <si>
    <t>Kennethborough</t>
  </si>
  <si>
    <t>India, USA, France</t>
  </si>
  <si>
    <t>Open-architected bottom-line concept</t>
  </si>
  <si>
    <t>Gonzalezfurt</t>
  </si>
  <si>
    <t>Organic incremental synergy</t>
  </si>
  <si>
    <t>Port Kylefurt</t>
  </si>
  <si>
    <t>Proactive regional secured line</t>
  </si>
  <si>
    <t>Michelleland</t>
  </si>
  <si>
    <t>UK, Germany, Russia</t>
  </si>
  <si>
    <t>Mandatory needs-based leverage</t>
  </si>
  <si>
    <t>West Victoria</t>
  </si>
  <si>
    <t>Upgradable optimal info-mediaries</t>
  </si>
  <si>
    <t>Toniborough</t>
  </si>
  <si>
    <t>UK, Russia, India</t>
  </si>
  <si>
    <t>Customizable systemic secured line</t>
  </si>
  <si>
    <t>West Kaylashire</t>
  </si>
  <si>
    <t>Distributed well-modulated encryption</t>
  </si>
  <si>
    <t>Port Shirleyberg</t>
  </si>
  <si>
    <t>Russia, India, USA</t>
  </si>
  <si>
    <t>Streamlined context-sensitive migration</t>
  </si>
  <si>
    <t>South Amy</t>
  </si>
  <si>
    <t>Profit-focused directional framework</t>
  </si>
  <si>
    <t>Lake Kariberg</t>
  </si>
  <si>
    <t>Function-based 6thgeneration productivity</t>
  </si>
  <si>
    <t>South Lisaland</t>
  </si>
  <si>
    <t>Synchronized optimal website</t>
  </si>
  <si>
    <t>Kirbyside</t>
  </si>
  <si>
    <t>UK, France, USA</t>
  </si>
  <si>
    <t>Stand-alone 24hour intranet</t>
  </si>
  <si>
    <t>Port David</t>
  </si>
  <si>
    <t>Re-contextualized impactful circuit</t>
  </si>
  <si>
    <t>Nealburgh</t>
  </si>
  <si>
    <t>Business-focused fault-tolerant model</t>
  </si>
  <si>
    <t>Longborough</t>
  </si>
  <si>
    <t>Down-sized bottom-line policy</t>
  </si>
  <si>
    <t>Exclusive composite website</t>
  </si>
  <si>
    <t>South Ashley</t>
  </si>
  <si>
    <t>Streamlined multimedia concept</t>
  </si>
  <si>
    <t>Lake Connieville</t>
  </si>
  <si>
    <t>Phased intangible initiative</t>
  </si>
  <si>
    <t>North Garyborough</t>
  </si>
  <si>
    <t>Innovative next generation standardization</t>
  </si>
  <si>
    <t>East Andre</t>
  </si>
  <si>
    <t>Assimilated interactive synergy</t>
  </si>
  <si>
    <t>Michaeltown</t>
  </si>
  <si>
    <t>China, UAE</t>
  </si>
  <si>
    <t>Quality-focused clear-thinking secured line</t>
  </si>
  <si>
    <t>North Jasonshire</t>
  </si>
  <si>
    <t>Programmable real-time alliance</t>
  </si>
  <si>
    <t>Lake George</t>
  </si>
  <si>
    <t>Self-enabling global firmware</t>
  </si>
  <si>
    <t>Jessicamouth</t>
  </si>
  <si>
    <t>De-engineered incremental moratorium</t>
  </si>
  <si>
    <t>Jadeton</t>
  </si>
  <si>
    <t>Open-architected web-enabled throughput</t>
  </si>
  <si>
    <t>New Kathryn</t>
  </si>
  <si>
    <t>Managed tangible attitude</t>
  </si>
  <si>
    <t>New Christopher</t>
  </si>
  <si>
    <t>Up-sized uniform hardware</t>
  </si>
  <si>
    <t>South Margaretland</t>
  </si>
  <si>
    <t>Innovative demand-driven parallelism</t>
  </si>
  <si>
    <t>South Kevin</t>
  </si>
  <si>
    <t>Japan, Israel, Russia</t>
  </si>
  <si>
    <t>Optional coherent conglomeration</t>
  </si>
  <si>
    <t>Robertland</t>
  </si>
  <si>
    <t>Russia, UAE</t>
  </si>
  <si>
    <t>Stand-alone analyzing ability</t>
  </si>
  <si>
    <t>West Andrew</t>
  </si>
  <si>
    <t>Streamlined transitional firmware</t>
  </si>
  <si>
    <t>Coxbury</t>
  </si>
  <si>
    <t>Future-proofed client-server process improvement</t>
  </si>
  <si>
    <t>Rodriguezview</t>
  </si>
  <si>
    <t>Optional cohesive project</t>
  </si>
  <si>
    <t>New Stephanieberg</t>
  </si>
  <si>
    <t>Implemented human-resource focus group</t>
  </si>
  <si>
    <t>Nathanfurt</t>
  </si>
  <si>
    <t>UK, UAE, France</t>
  </si>
  <si>
    <t>Visionary interactive hardware</t>
  </si>
  <si>
    <t>Katherinetown</t>
  </si>
  <si>
    <t>Future-proofed attitude-oriented customer loyalty</t>
  </si>
  <si>
    <t>Gwendolynchester</t>
  </si>
  <si>
    <t>Organic clear-thinking service-desk</t>
  </si>
  <si>
    <t>New Steven</t>
  </si>
  <si>
    <t>Ameliorated dedicated collaboration</t>
  </si>
  <si>
    <t>North Charles</t>
  </si>
  <si>
    <t>Customizable demand-driven conglomeration</t>
  </si>
  <si>
    <t>Port Kellyview</t>
  </si>
  <si>
    <t>Profound asymmetric encryption</t>
  </si>
  <si>
    <t>Smithfort</t>
  </si>
  <si>
    <t>Triple-buffered foreground workforce</t>
  </si>
  <si>
    <t>Assimilated zero-defect protocol</t>
  </si>
  <si>
    <t>New Williamstad</t>
  </si>
  <si>
    <t>Russia, Germany, Israel</t>
  </si>
  <si>
    <t>Proactive value-added utilization</t>
  </si>
  <si>
    <t>Brownchester</t>
  </si>
  <si>
    <t>Expanded directional task-force</t>
  </si>
  <si>
    <t>North Angelica</t>
  </si>
  <si>
    <t>Re-contextualized heuristic ability</t>
  </si>
  <si>
    <t>Wardview</t>
  </si>
  <si>
    <t>Advanced optimal installation</t>
  </si>
  <si>
    <t>Stoneshire</t>
  </si>
  <si>
    <t>User-friendly multi-tasking concept</t>
  </si>
  <si>
    <t>Fergusonfort</t>
  </si>
  <si>
    <t>Quality-focused fault-tolerant superstructure</t>
  </si>
  <si>
    <t>Port Jessica</t>
  </si>
  <si>
    <t>Centralized hybrid alliance</t>
  </si>
  <si>
    <t>Amychester</t>
  </si>
  <si>
    <t>Reduced asynchronous hub</t>
  </si>
  <si>
    <t>South Williamborough</t>
  </si>
  <si>
    <t>Synergized exuding hierarchy</t>
  </si>
  <si>
    <t>Leeview</t>
  </si>
  <si>
    <t>User-centric secondary utilization</t>
  </si>
  <si>
    <t>West Lauren</t>
  </si>
  <si>
    <t>Stand-alone human-resource policy</t>
  </si>
  <si>
    <t>East Alexis</t>
  </si>
  <si>
    <t>Diverse cohesive toolset</t>
  </si>
  <si>
    <t>Sarahfurt</t>
  </si>
  <si>
    <t>Integrated local contingency</t>
  </si>
  <si>
    <t>North Sabrina</t>
  </si>
  <si>
    <t>Self-enabling mobile interface</t>
  </si>
  <si>
    <t>Hardingchester</t>
  </si>
  <si>
    <t>Programmable full-range attitude</t>
  </si>
  <si>
    <t>Adamshaven</t>
  </si>
  <si>
    <t>Configurable stable encryption</t>
  </si>
  <si>
    <t>Williamsborough</t>
  </si>
  <si>
    <t>Automated heuristic flexibility</t>
  </si>
  <si>
    <t>East Kyle</t>
  </si>
  <si>
    <t>Operative optimal budgetary management</t>
  </si>
  <si>
    <t>Millermouth</t>
  </si>
  <si>
    <t>Proactive systemic support</t>
  </si>
  <si>
    <t>Turnerland</t>
  </si>
  <si>
    <t>Russia, Japan, USA</t>
  </si>
  <si>
    <t>Digitized full-range knowledgebase</t>
  </si>
  <si>
    <t>New Rodneyfurt</t>
  </si>
  <si>
    <t>Organic encompassing complexity</t>
  </si>
  <si>
    <t>South Sheila</t>
  </si>
  <si>
    <t>France, Russia</t>
  </si>
  <si>
    <t>Automated needs-based open architecture</t>
  </si>
  <si>
    <t>New Veronica</t>
  </si>
  <si>
    <t>Total discrete website</t>
  </si>
  <si>
    <t>South Brian</t>
  </si>
  <si>
    <t>Networked next generation matrix</t>
  </si>
  <si>
    <t>Staffordton</t>
  </si>
  <si>
    <t>Synergized stable utilization</t>
  </si>
  <si>
    <t>Grass-roots bottom-line attitude</t>
  </si>
  <si>
    <t>Morenochester</t>
  </si>
  <si>
    <t>Streamlined zero tolerance moratorium</t>
  </si>
  <si>
    <t>Port Mandy</t>
  </si>
  <si>
    <t>Customer-focused leadingedge flexibility</t>
  </si>
  <si>
    <t>Ramirezhaven</t>
  </si>
  <si>
    <t>Switchable system-worthy neural-net</t>
  </si>
  <si>
    <t>New Alexander</t>
  </si>
  <si>
    <t>Realigned mission-critical neural-net</t>
  </si>
  <si>
    <t>Ramirezside</t>
  </si>
  <si>
    <t>Reverse-engineered non-volatile installation</t>
  </si>
  <si>
    <t>Sierramouth</t>
  </si>
  <si>
    <t>Realigned coherent architecture</t>
  </si>
  <si>
    <t>New Jacksonshire</t>
  </si>
  <si>
    <t>Programmable zero tolerance hub</t>
  </si>
  <si>
    <t>Jillmouth</t>
  </si>
  <si>
    <t>Ergonomic web-enabled infrastructure</t>
  </si>
  <si>
    <t>Simmonsfurt</t>
  </si>
  <si>
    <t>Extended web-enabled challenge</t>
  </si>
  <si>
    <t>East Nichole</t>
  </si>
  <si>
    <t>Progressive needs-based Internet solution</t>
  </si>
  <si>
    <t>Lake Megan</t>
  </si>
  <si>
    <t>Organic 6thgeneration Internet solution</t>
  </si>
  <si>
    <t>Laurahaven</t>
  </si>
  <si>
    <t>USA, India, Israel</t>
  </si>
  <si>
    <t>Multi-lateral uniform core</t>
  </si>
  <si>
    <t>North Wayne</t>
  </si>
  <si>
    <t>France, UK, Germany</t>
  </si>
  <si>
    <t>Automated non-volatile Local Area Network</t>
  </si>
  <si>
    <t>New Randy</t>
  </si>
  <si>
    <t>Assimilated regional process improvement</t>
  </si>
  <si>
    <t>West Anthonychester</t>
  </si>
  <si>
    <t>Diverse attitude-oriented projection</t>
  </si>
  <si>
    <t>North Mitchell</t>
  </si>
  <si>
    <t>India, UK, USA</t>
  </si>
  <si>
    <t>Operative static hierarchy</t>
  </si>
  <si>
    <t>Spencerview</t>
  </si>
  <si>
    <t>Fundamental encompassing database</t>
  </si>
  <si>
    <t>North Shannonburgh</t>
  </si>
  <si>
    <t>Japan, Germany, China</t>
  </si>
  <si>
    <t>Profound mission-critical implementation</t>
  </si>
  <si>
    <t>East Waynemouth</t>
  </si>
  <si>
    <t>Devolved zero administration artificial intelligence</t>
  </si>
  <si>
    <t>Sarashire</t>
  </si>
  <si>
    <t>De-engineered uniform solution</t>
  </si>
  <si>
    <t>Beckerton</t>
  </si>
  <si>
    <t>USA, China, Israel</t>
  </si>
  <si>
    <t>Persistent intermediate success</t>
  </si>
  <si>
    <t>Smithside</t>
  </si>
  <si>
    <t>Reduced analyzing productivity</t>
  </si>
  <si>
    <t>Debraton</t>
  </si>
  <si>
    <t>User-friendly asynchronous extranet</t>
  </si>
  <si>
    <t>Kennethfort</t>
  </si>
  <si>
    <t>Distributed well-modulated benchmark</t>
  </si>
  <si>
    <t>Wilsonbury</t>
  </si>
  <si>
    <t>Decentralized disintermediate artificial intelligence</t>
  </si>
  <si>
    <t>Schwartzhaven</t>
  </si>
  <si>
    <t>Up-sized zero tolerance info-mediaries</t>
  </si>
  <si>
    <t>South Anthony</t>
  </si>
  <si>
    <t>Profound zero tolerance toolset</t>
  </si>
  <si>
    <t>Port Heathertown</t>
  </si>
  <si>
    <t>Reactive homogeneous algorithm</t>
  </si>
  <si>
    <t>Brennanhaven</t>
  </si>
  <si>
    <t>Reduced asymmetric array</t>
  </si>
  <si>
    <t>North Jody</t>
  </si>
  <si>
    <t>Israel, USA, France</t>
  </si>
  <si>
    <t>Multi-tiered empowering hub</t>
  </si>
  <si>
    <t>Jackburgh</t>
  </si>
  <si>
    <t>UK, USA</t>
  </si>
  <si>
    <t>Re-engineered homogeneous focus group</t>
  </si>
  <si>
    <t>West Amyton</t>
  </si>
  <si>
    <t>Customer-focused 24/7 standardization</t>
  </si>
  <si>
    <t>North Kellyfurt</t>
  </si>
  <si>
    <t>Extended bi-directional matrix</t>
  </si>
  <si>
    <t>Amyhaven</t>
  </si>
  <si>
    <t>Versatile tertiary paradigm</t>
  </si>
  <si>
    <t>Port Robert</t>
  </si>
  <si>
    <t>France, USA, UAE</t>
  </si>
  <si>
    <t>Horizontal clear-thinking access</t>
  </si>
  <si>
    <t>Anthonyfurt</t>
  </si>
  <si>
    <t>Israel, Japan, UAE</t>
  </si>
  <si>
    <t>Synergized homogeneous throughput</t>
  </si>
  <si>
    <t>Lake Robert</t>
  </si>
  <si>
    <t>Front-line empowering Internet solution</t>
  </si>
  <si>
    <t>Port Kyleburgh</t>
  </si>
  <si>
    <t>Operative local flexibility</t>
  </si>
  <si>
    <t>West Lisa</t>
  </si>
  <si>
    <t>Right-sized eco-centric service-desk</t>
  </si>
  <si>
    <t>Wrighttown</t>
  </si>
  <si>
    <t>User-friendly explicit neural-net</t>
  </si>
  <si>
    <t>Savageland</t>
  </si>
  <si>
    <t>Future-proofed global synergy</t>
  </si>
  <si>
    <t>Palmerbury</t>
  </si>
  <si>
    <t>Devolved actuating protocol</t>
  </si>
  <si>
    <t>Front-line transitional policy</t>
  </si>
  <si>
    <t>Hodgesfort</t>
  </si>
  <si>
    <t>France, Japan, UAE</t>
  </si>
  <si>
    <t>Profound 24hour Internet solution</t>
  </si>
  <si>
    <t>Pennyside</t>
  </si>
  <si>
    <t>Japan, USA, Russia</t>
  </si>
  <si>
    <t>Fundamental stable Internet solution</t>
  </si>
  <si>
    <t>Lake Ronaldside</t>
  </si>
  <si>
    <t>Enterprise-wide asynchronous archive</t>
  </si>
  <si>
    <t>Nicholsshire</t>
  </si>
  <si>
    <t>UK, China, Israel</t>
  </si>
  <si>
    <t>Profit-focused stable database</t>
  </si>
  <si>
    <t>Port Samuelville</t>
  </si>
  <si>
    <t>Vision-oriented optimizing data-warehouse</t>
  </si>
  <si>
    <t>Lawrenceshire</t>
  </si>
  <si>
    <t>Persevering 3rdgeneration leverage</t>
  </si>
  <si>
    <t>Lake Stacytown</t>
  </si>
  <si>
    <t>India, Japan, France</t>
  </si>
  <si>
    <t>Proactive 3rdgeneration flexibility</t>
  </si>
  <si>
    <t>South Tamara</t>
  </si>
  <si>
    <t>UK, Russia</t>
  </si>
  <si>
    <t>Cross-platform upward-trending ability</t>
  </si>
  <si>
    <t>East Christinetown</t>
  </si>
  <si>
    <t>Re-contextualized multimedia functionalities</t>
  </si>
  <si>
    <t>South Andreamouth</t>
  </si>
  <si>
    <t>Re-engineered actuating groupware</t>
  </si>
  <si>
    <t>Lake Stephen</t>
  </si>
  <si>
    <t>Multi-lateral zero administration paradigm</t>
  </si>
  <si>
    <t>Port Kathleen</t>
  </si>
  <si>
    <t>Networked motivating attitude</t>
  </si>
  <si>
    <t>Clarkchester</t>
  </si>
  <si>
    <t>Polarized systemic structure</t>
  </si>
  <si>
    <t>New Alishamouth</t>
  </si>
  <si>
    <t>Multi-channeled asymmetric utilization</t>
  </si>
  <si>
    <t>Jenniferberg</t>
  </si>
  <si>
    <t>Germany, UK, India</t>
  </si>
  <si>
    <t>Profound zero-defect collaboration</t>
  </si>
  <si>
    <t>Davidport</t>
  </si>
  <si>
    <t>Diverse non-volatile instruction set</t>
  </si>
  <si>
    <t>East Daltonshire</t>
  </si>
  <si>
    <t>Inverse hybrid portal</t>
  </si>
  <si>
    <t>Johnhaven</t>
  </si>
  <si>
    <t>Fully-configurable empowering knowledgebase</t>
  </si>
  <si>
    <t>Williamsonchester</t>
  </si>
  <si>
    <t>Cross-group logistical groupware</t>
  </si>
  <si>
    <t>New Ambermouth</t>
  </si>
  <si>
    <t>Front-line fresh-thinking customer loyalty</t>
  </si>
  <si>
    <t>Jacobchester</t>
  </si>
  <si>
    <t>China, Germany, UK</t>
  </si>
  <si>
    <t>Upgradable modular help-desk</t>
  </si>
  <si>
    <t>East Joshua</t>
  </si>
  <si>
    <t>UK, France, Germany</t>
  </si>
  <si>
    <t>Switchable impactful Graphical User Interface</t>
  </si>
  <si>
    <t>Grahamfurt</t>
  </si>
  <si>
    <t>Japan, USA, India</t>
  </si>
  <si>
    <t>Cloned holistic help-desk</t>
  </si>
  <si>
    <t>Lake Waynechester</t>
  </si>
  <si>
    <t>Function-based bottom-line monitoring</t>
  </si>
  <si>
    <t>New Jamesfurt</t>
  </si>
  <si>
    <t>Innovative tangible policy</t>
  </si>
  <si>
    <t>Russia, China, Germany</t>
  </si>
  <si>
    <t>Ameliorated well-modulated algorithm</t>
  </si>
  <si>
    <t>Morganmouth</t>
  </si>
  <si>
    <t>De-engineered leadingedge Graphic Interface</t>
  </si>
  <si>
    <t>USA, Russia</t>
  </si>
  <si>
    <t>Robust global circuit</t>
  </si>
  <si>
    <t>Lake Rachael</t>
  </si>
  <si>
    <t>Down-sized zero tolerance productivity</t>
  </si>
  <si>
    <t>Matthewmouth</t>
  </si>
  <si>
    <t>Integrated scalable policy</t>
  </si>
  <si>
    <t>Port Angelaview</t>
  </si>
  <si>
    <t>Israel, China, France</t>
  </si>
  <si>
    <t>Assimilated asymmetric approach</t>
  </si>
  <si>
    <t>Versatile zero administration encryption</t>
  </si>
  <si>
    <t>New Madisonbury</t>
  </si>
  <si>
    <t>Balanced client-server core</t>
  </si>
  <si>
    <t>Riveratown</t>
  </si>
  <si>
    <t>Object-based incremental workforce</t>
  </si>
  <si>
    <t>Port Hannah</t>
  </si>
  <si>
    <t>Germany, UK</t>
  </si>
  <si>
    <t>Profit-focused scalable knowledge user</t>
  </si>
  <si>
    <t>North Jesse</t>
  </si>
  <si>
    <t>Russia, UK, UAE</t>
  </si>
  <si>
    <t>Open-architected didactic website</t>
  </si>
  <si>
    <t>Lopeztown</t>
  </si>
  <si>
    <t>Switchable empowering budgetary management</t>
  </si>
  <si>
    <t>North Julianport</t>
  </si>
  <si>
    <t>Total content-based superstructure</t>
  </si>
  <si>
    <t>West Tina</t>
  </si>
  <si>
    <t>Implemented web-enabled paradigm</t>
  </si>
  <si>
    <t>West John</t>
  </si>
  <si>
    <t>Multi-lateral exuding migration</t>
  </si>
  <si>
    <t>China, Germany, India</t>
  </si>
  <si>
    <t>Quality-focused value-added matrix</t>
  </si>
  <si>
    <t>West Mariah</t>
  </si>
  <si>
    <t>Advanced optimal intranet</t>
  </si>
  <si>
    <t>South Oscar</t>
  </si>
  <si>
    <t>Universal mission-critical firmware</t>
  </si>
  <si>
    <t>Lindatown</t>
  </si>
  <si>
    <t>Organic human-resource challenge</t>
  </si>
  <si>
    <t>North Yeseniastad</t>
  </si>
  <si>
    <t>Monitored zero administration functionalities</t>
  </si>
  <si>
    <t>Josephport</t>
  </si>
  <si>
    <t>Organized systematic pricing structure</t>
  </si>
  <si>
    <t>Lake Lori</t>
  </si>
  <si>
    <t>UK, UAE, Israel</t>
  </si>
  <si>
    <t>Up-sized logistical matrix</t>
  </si>
  <si>
    <t>South Sandraland</t>
  </si>
  <si>
    <t>Programmable zero administration approach</t>
  </si>
  <si>
    <t>East Spencer</t>
  </si>
  <si>
    <t>Japan, Germany, UK</t>
  </si>
  <si>
    <t>Ameliorated analyzing capacity</t>
  </si>
  <si>
    <t>East Sarahmouth</t>
  </si>
  <si>
    <t>Exclusive regional service-desk</t>
  </si>
  <si>
    <t>Salasmouth</t>
  </si>
  <si>
    <t>Grass-roots impactful structure</t>
  </si>
  <si>
    <t>East Emily</t>
  </si>
  <si>
    <t>Quality-focused demand-driven array</t>
  </si>
  <si>
    <t>Port Allenmouth</t>
  </si>
  <si>
    <t>Fully-configurable intermediate orchestration</t>
  </si>
  <si>
    <t>New Sarahbury</t>
  </si>
  <si>
    <t>Multi-channeled zero tolerance success</t>
  </si>
  <si>
    <t>Mariomouth</t>
  </si>
  <si>
    <t>Inverse intermediate methodology</t>
  </si>
  <si>
    <t>Wallerport</t>
  </si>
  <si>
    <t>Distributed regional database</t>
  </si>
  <si>
    <t>Shelleyton</t>
  </si>
  <si>
    <t>Cloned multi-state middleware</t>
  </si>
  <si>
    <t>Lake Craigfurt</t>
  </si>
  <si>
    <t>Re-contextualized 24/7 customer loyalty</t>
  </si>
  <si>
    <t>Edwardborough</t>
  </si>
  <si>
    <t>Upgradable demand-driven model</t>
  </si>
  <si>
    <t>Feliciatown</t>
  </si>
  <si>
    <t>Quality-focused intangible protocol</t>
  </si>
  <si>
    <t>Castrobury</t>
  </si>
  <si>
    <t>Expanded holistic firmware</t>
  </si>
  <si>
    <t>Port Dawn</t>
  </si>
  <si>
    <t>UK, USA, UAE</t>
  </si>
  <si>
    <t>Versatile empowering protocol</t>
  </si>
  <si>
    <t>North Ryanport</t>
  </si>
  <si>
    <t>Programmable interactive array</t>
  </si>
  <si>
    <t>New Kelseychester</t>
  </si>
  <si>
    <t>Profound logistical ability</t>
  </si>
  <si>
    <t>Lake Reginald</t>
  </si>
  <si>
    <t>Horizontal radical circuit</t>
  </si>
  <si>
    <t>Fowlertown</t>
  </si>
  <si>
    <t>France, Germany, Israel</t>
  </si>
  <si>
    <t>Switchable zero administration secured line</t>
  </si>
  <si>
    <t>Port Robin</t>
  </si>
  <si>
    <t>Mandatory full-range initiative</t>
  </si>
  <si>
    <t>Wileyview</t>
  </si>
  <si>
    <t>Enhanced zero-defect help-desk</t>
  </si>
  <si>
    <t>Blakemouth</t>
  </si>
  <si>
    <t>Re-contextualized bi-directional ability</t>
  </si>
  <si>
    <t>Strongmouth</t>
  </si>
  <si>
    <t>Profound value-added protocol</t>
  </si>
  <si>
    <t>South Chaseland</t>
  </si>
  <si>
    <t>User-centric 6thgeneration leverage</t>
  </si>
  <si>
    <t>Port Mark</t>
  </si>
  <si>
    <t>Germany, UK, Japan</t>
  </si>
  <si>
    <t>Profit-focused zero administration instruction set</t>
  </si>
  <si>
    <t>Amystad</t>
  </si>
  <si>
    <t>Persistent non-volatile definition</t>
  </si>
  <si>
    <t>Riversfurt</t>
  </si>
  <si>
    <t>Intuitive radical methodology</t>
  </si>
  <si>
    <t>Harrisville</t>
  </si>
  <si>
    <t>Team-oriented value-added hierarchy</t>
  </si>
  <si>
    <t>South Robertview</t>
  </si>
  <si>
    <t>Configurable fresh-thinking archive</t>
  </si>
  <si>
    <t>Japan, Germany, USA</t>
  </si>
  <si>
    <t>Public-key reciprocal moderator</t>
  </si>
  <si>
    <t>Josephmouth</t>
  </si>
  <si>
    <t>Decentralized bifurcated hardware</t>
  </si>
  <si>
    <t>Millerbury</t>
  </si>
  <si>
    <t>Self-enabling bandwidth-monitored attitude</t>
  </si>
  <si>
    <t>New Timothyshire</t>
  </si>
  <si>
    <t>Cross-group reciprocal model</t>
  </si>
  <si>
    <t>Israel, Japan, France</t>
  </si>
  <si>
    <t>Open-source national workforce</t>
  </si>
  <si>
    <t>Garciafurt</t>
  </si>
  <si>
    <t>Digitized grid-enabled groupware</t>
  </si>
  <si>
    <t>Melissaton</t>
  </si>
  <si>
    <t>USA, Germany, Israel</t>
  </si>
  <si>
    <t>Multi-layered zero administration orchestration</t>
  </si>
  <si>
    <t>Douglasland</t>
  </si>
  <si>
    <t>Vision-oriented analyzing secured line</t>
  </si>
  <si>
    <t>Josephton</t>
  </si>
  <si>
    <t>Advanced dynamic function</t>
  </si>
  <si>
    <t>Port Ethanstad</t>
  </si>
  <si>
    <t>India, China, UAE</t>
  </si>
  <si>
    <t>Function-based composite synergy</t>
  </si>
  <si>
    <t>Marymouth</t>
  </si>
  <si>
    <t>Fully-configurable value-added utilization</t>
  </si>
  <si>
    <t>Streamlined next generation benchmark</t>
  </si>
  <si>
    <t>Mirandashire</t>
  </si>
  <si>
    <t>Devolved non-volatile superstructure</t>
  </si>
  <si>
    <t>Williamfurt</t>
  </si>
  <si>
    <t>Germany, UK, UAE</t>
  </si>
  <si>
    <t>Down-sized explicit knowledgebase</t>
  </si>
  <si>
    <t>Lake Danielleland</t>
  </si>
  <si>
    <t>Down-sized transitional adapter</t>
  </si>
  <si>
    <t>Joshuahaven</t>
  </si>
  <si>
    <t>Optimized next generation encryption</t>
  </si>
  <si>
    <t>Millerchester</t>
  </si>
  <si>
    <t>Diverse executive benchmark</t>
  </si>
  <si>
    <t>Chadview</t>
  </si>
  <si>
    <t>Innovative impactful secured line</t>
  </si>
  <si>
    <t>Lake Calvinborough</t>
  </si>
  <si>
    <t>Function-based methodical policy</t>
  </si>
  <si>
    <t>Andersonland</t>
  </si>
  <si>
    <t>Multi-layered actuating policy</t>
  </si>
  <si>
    <t>Murphyview</t>
  </si>
  <si>
    <t>Front-line disintermediate framework</t>
  </si>
  <si>
    <t>New Stephanie</t>
  </si>
  <si>
    <t>Cloned analyzing portal</t>
  </si>
  <si>
    <t>Joelhaven</t>
  </si>
  <si>
    <t>Streamlined static pricing structure</t>
  </si>
  <si>
    <t>East Aprilville</t>
  </si>
  <si>
    <t>Realigned tangible alliance</t>
  </si>
  <si>
    <t>Taylorberg</t>
  </si>
  <si>
    <t>Germany, USA, UK</t>
  </si>
  <si>
    <t>Secured interactive superstructure</t>
  </si>
  <si>
    <t>Port Lawrenceburgh</t>
  </si>
  <si>
    <t>Advanced secondary core</t>
  </si>
  <si>
    <t>North Paula</t>
  </si>
  <si>
    <t>Optional zero administration database</t>
  </si>
  <si>
    <t>East Michaelachester</t>
  </si>
  <si>
    <t>Persistent upward-trending info-mediaries</t>
  </si>
  <si>
    <t>Foxbury</t>
  </si>
  <si>
    <t>Japan, Russia, USA</t>
  </si>
  <si>
    <t>Diverse 4thgeneration knowledge user</t>
  </si>
  <si>
    <t>Hooperstad</t>
  </si>
  <si>
    <t>Balanced empowering info-mediaries</t>
  </si>
  <si>
    <t>Lake Matthewtown</t>
  </si>
  <si>
    <t>Organized modular definition</t>
  </si>
  <si>
    <t>South Derrick</t>
  </si>
  <si>
    <t>Balanced context-sensitive conglomeration</t>
  </si>
  <si>
    <t>Cobbhaven</t>
  </si>
  <si>
    <t>UK, Russia, Germany</t>
  </si>
  <si>
    <t>Organic secondary system engine</t>
  </si>
  <si>
    <t>Thompsonfurt</t>
  </si>
  <si>
    <t>Persistent discrete website</t>
  </si>
  <si>
    <t>Israel, France, China</t>
  </si>
  <si>
    <t>Cross-platform 4thgeneration paradigm</t>
  </si>
  <si>
    <t>Devolved bifurcated secured line</t>
  </si>
  <si>
    <t>Valeriemouth</t>
  </si>
  <si>
    <t>Israel, UAE, Russia</t>
  </si>
  <si>
    <t>Fundamental multi-tasking product</t>
  </si>
  <si>
    <t>Port Loriborough</t>
  </si>
  <si>
    <t>De-engineered optimal hardware</t>
  </si>
  <si>
    <t>Edwardton</t>
  </si>
  <si>
    <t>Versatile contextually-based productivity</t>
  </si>
  <si>
    <t>New Loriberg</t>
  </si>
  <si>
    <t>France, USA, Israel</t>
  </si>
  <si>
    <t>Ameliorated optimal hierarchy</t>
  </si>
  <si>
    <t>Benjaminchester</t>
  </si>
  <si>
    <t>Germany, UAE, Japan</t>
  </si>
  <si>
    <t>Polarized bottom-line capability</t>
  </si>
  <si>
    <t>Vickiville</t>
  </si>
  <si>
    <t>Japan, France, China</t>
  </si>
  <si>
    <t>Profit-focused neutral database</t>
  </si>
  <si>
    <t>Port Jamesberg</t>
  </si>
  <si>
    <t>Decentralized 6thgeneration alliance</t>
  </si>
  <si>
    <t>Connorland</t>
  </si>
  <si>
    <t>Israel, Japan, Russia</t>
  </si>
  <si>
    <t>Expanded actuating standardization</t>
  </si>
  <si>
    <t>Randyshire</t>
  </si>
  <si>
    <t>Universal bifurcated conglomeration</t>
  </si>
  <si>
    <t>New Michaelafurt</t>
  </si>
  <si>
    <t>Russia, Germany, India</t>
  </si>
  <si>
    <t>Stand-alone system-worthy installation</t>
  </si>
  <si>
    <t>Maciasborough</t>
  </si>
  <si>
    <t>Configurable systemic firmware</t>
  </si>
  <si>
    <t>North Amyville</t>
  </si>
  <si>
    <t>China, France, USA</t>
  </si>
  <si>
    <t>Persistent 24/7 Graphical User Interface</t>
  </si>
  <si>
    <t>West Sharon</t>
  </si>
  <si>
    <t>Grass-roots scalable access</t>
  </si>
  <si>
    <t>Heathershire</t>
  </si>
  <si>
    <t>India, Israel, France</t>
  </si>
  <si>
    <t>Synchronized intermediate firmware</t>
  </si>
  <si>
    <t>Briannaside</t>
  </si>
  <si>
    <t>Managed attitude-oriented extranet</t>
  </si>
  <si>
    <t>Deborahmouth</t>
  </si>
  <si>
    <t>Customer-focused asynchronous info-mediaries</t>
  </si>
  <si>
    <t>North Nicole</t>
  </si>
  <si>
    <t>China, Germany, Japan</t>
  </si>
  <si>
    <t>Programmable analyzing toolset</t>
  </si>
  <si>
    <t>Charlesberg</t>
  </si>
  <si>
    <t>Front-line fresh-thinking task-force</t>
  </si>
  <si>
    <t>East Annette</t>
  </si>
  <si>
    <t>Triple-buffered attitude-oriented superstructure</t>
  </si>
  <si>
    <t>Larabury</t>
  </si>
  <si>
    <t>Horizontal reciprocal matrix</t>
  </si>
  <si>
    <t>Moniquestad</t>
  </si>
  <si>
    <t>Centralized user-facing paradigm</t>
  </si>
  <si>
    <t>North Samuelstad</t>
  </si>
  <si>
    <t>User-friendly needs-based throughput</t>
  </si>
  <si>
    <t>East Matthew</t>
  </si>
  <si>
    <t>India, UK, Russia</t>
  </si>
  <si>
    <t>Decentralized radical intranet</t>
  </si>
  <si>
    <t>Brownborough</t>
  </si>
  <si>
    <t>Front-line static access</t>
  </si>
  <si>
    <t>Jacobbury</t>
  </si>
  <si>
    <t>Intuitive dedicated synergy</t>
  </si>
  <si>
    <t>Victorialand</t>
  </si>
  <si>
    <t>Compatible object-oriented Internet solution</t>
  </si>
  <si>
    <t>Smithville</t>
  </si>
  <si>
    <t>Exclusive fresh-thinking capacity</t>
  </si>
  <si>
    <t>Innovative solution-oriented capability</t>
  </si>
  <si>
    <t>Reduced regional emulation</t>
  </si>
  <si>
    <t>Pierceborough</t>
  </si>
  <si>
    <t>Israel, Japan, Germany</t>
  </si>
  <si>
    <t>Enhanced homogeneous workforce</t>
  </si>
  <si>
    <t>West Robert</t>
  </si>
  <si>
    <t>France, China, UAE</t>
  </si>
  <si>
    <t>Organized bi-directional budgetary management</t>
  </si>
  <si>
    <t>Patrickview</t>
  </si>
  <si>
    <t>Ameliorated 3rdgeneration time-frame</t>
  </si>
  <si>
    <t>Fisherview</t>
  </si>
  <si>
    <t>Germany, UAE, USA</t>
  </si>
  <si>
    <t>Horizontal transitional artificial intelligence</t>
  </si>
  <si>
    <t>Blankenshipbury</t>
  </si>
  <si>
    <t>Russia, USA, UK</t>
  </si>
  <si>
    <t>Function-based systemic website</t>
  </si>
  <si>
    <t>Lake Brian</t>
  </si>
  <si>
    <t>Universal multi-tasking help-desk</t>
  </si>
  <si>
    <t>Carrieberg</t>
  </si>
  <si>
    <t>Russia, Germany, UAE</t>
  </si>
  <si>
    <t>User-centric multi-state customer loyalty</t>
  </si>
  <si>
    <t>Port Mandyberg</t>
  </si>
  <si>
    <t>Optional discrete customer loyalty</t>
  </si>
  <si>
    <t>East Megan</t>
  </si>
  <si>
    <t>Polarized impactful core</t>
  </si>
  <si>
    <t>Josephhaven</t>
  </si>
  <si>
    <t>Re-engineered systematic intranet</t>
  </si>
  <si>
    <t>Carolton</t>
  </si>
  <si>
    <t>Distributed leadingedge matrices</t>
  </si>
  <si>
    <t>Markport</t>
  </si>
  <si>
    <t>Japan, Israel, UK</t>
  </si>
  <si>
    <t>Sharable homogeneous implementation</t>
  </si>
  <si>
    <t>Michelleside</t>
  </si>
  <si>
    <t>Enterprise-wide interactive functionalities</t>
  </si>
  <si>
    <t>Brianahaven</t>
  </si>
  <si>
    <t>Universal asymmetric standardization</t>
  </si>
  <si>
    <t>Michaelbury</t>
  </si>
  <si>
    <t>USA, UAE, Japan</t>
  </si>
  <si>
    <t>Universal interactive ability</t>
  </si>
  <si>
    <t>Randolphshire</t>
  </si>
  <si>
    <t>Virtual dynamic intranet</t>
  </si>
  <si>
    <t>South Donaldborough</t>
  </si>
  <si>
    <t>UK, Japan, UAE</t>
  </si>
  <si>
    <t>Managed didactic firmware</t>
  </si>
  <si>
    <t>Inverse zero tolerance toolset</t>
  </si>
  <si>
    <t>Wendyside</t>
  </si>
  <si>
    <t>Vision-oriented solution-oriented methodology</t>
  </si>
  <si>
    <t>East Bridget</t>
  </si>
  <si>
    <t>Total bi-directional pricing structure</t>
  </si>
  <si>
    <t>Reidland</t>
  </si>
  <si>
    <t>Multi-layered neutral hub</t>
  </si>
  <si>
    <t>South Donald</t>
  </si>
  <si>
    <t>Secured real-time info-mediaries</t>
  </si>
  <si>
    <t>Ericchester</t>
  </si>
  <si>
    <t>Total regional hardware</t>
  </si>
  <si>
    <t>Lake Jackside</t>
  </si>
  <si>
    <t>Distributed transitional framework</t>
  </si>
  <si>
    <t>Enterprise-wide composite success</t>
  </si>
  <si>
    <t>Clementsfurt</t>
  </si>
  <si>
    <t>France, Israel, UAE</t>
  </si>
  <si>
    <t>Customizable exuding Internet solution</t>
  </si>
  <si>
    <t>South Karen</t>
  </si>
  <si>
    <t>Multi-lateral uniform help-desk</t>
  </si>
  <si>
    <t>South Jimmy</t>
  </si>
  <si>
    <t>Implemented next generation info-mediaries</t>
  </si>
  <si>
    <t>East Arthurside</t>
  </si>
  <si>
    <t>Customer-focused tangible protocol</t>
  </si>
  <si>
    <t>West Douglas</t>
  </si>
  <si>
    <t>France, India, Russia</t>
  </si>
  <si>
    <t>Compatible coherent alliance</t>
  </si>
  <si>
    <t>USA, Russia, China</t>
  </si>
  <si>
    <t>Fundamental system-worthy core</t>
  </si>
  <si>
    <t>Anthonymouth</t>
  </si>
  <si>
    <t>USA, Israel, India</t>
  </si>
  <si>
    <t>Adaptive stable time-frame</t>
  </si>
  <si>
    <t>East Jill</t>
  </si>
  <si>
    <t>India, Germany, Israel</t>
  </si>
  <si>
    <t>Fully-configurable bi-directional approach</t>
  </si>
  <si>
    <t>South Susanmouth</t>
  </si>
  <si>
    <t>Reduced object-oriented product</t>
  </si>
  <si>
    <t>West Scott</t>
  </si>
  <si>
    <t>Virtual even-keeled hardware</t>
  </si>
  <si>
    <t>Universal directional superstructure</t>
  </si>
  <si>
    <t>Carsonside</t>
  </si>
  <si>
    <t>USA, UK</t>
  </si>
  <si>
    <t>Cloned disintermediate Graphic Interface</t>
  </si>
  <si>
    <t>New Danielton</t>
  </si>
  <si>
    <t>Switchable zero administration matrices</t>
  </si>
  <si>
    <t>West Ryanborough</t>
  </si>
  <si>
    <t>Fundamental clear-thinking capability</t>
  </si>
  <si>
    <t>Fundamental multi-state definition</t>
  </si>
  <si>
    <t>Daystad</t>
  </si>
  <si>
    <t>Organic full-range intranet</t>
  </si>
  <si>
    <t>Customizable interactive orchestration</t>
  </si>
  <si>
    <t>Keithfort</t>
  </si>
  <si>
    <t>Automated 24hour interface</t>
  </si>
  <si>
    <t>Frostborough</t>
  </si>
  <si>
    <t>USA, France, China</t>
  </si>
  <si>
    <t>Function-based national success</t>
  </si>
  <si>
    <t>West Jake</t>
  </si>
  <si>
    <t>Team-oriented attitude-oriented approach</t>
  </si>
  <si>
    <t>Josephland</t>
  </si>
  <si>
    <t>Universal clear-thinking neural-net</t>
  </si>
  <si>
    <t>Israel, France, UK</t>
  </si>
  <si>
    <t>Automated coherent policy</t>
  </si>
  <si>
    <t>Breannamouth</t>
  </si>
  <si>
    <t>Function-based holistic moderator</t>
  </si>
  <si>
    <t>South Kathrynhaven</t>
  </si>
  <si>
    <t>UAE, France, China</t>
  </si>
  <si>
    <t>Team-oriented transitional strategy</t>
  </si>
  <si>
    <t>Edwardtown</t>
  </si>
  <si>
    <t>UAE, China, India</t>
  </si>
  <si>
    <t>Digitized object-oriented neural-net</t>
  </si>
  <si>
    <t>South Kristina</t>
  </si>
  <si>
    <t>Japan, China, USA</t>
  </si>
  <si>
    <t>Re-engineered full-range knowledge user</t>
  </si>
  <si>
    <t>North Mariabury</t>
  </si>
  <si>
    <t>Seamless contextually-based matrices</t>
  </si>
  <si>
    <t>Shaffershire</t>
  </si>
  <si>
    <t>Synergistic systematic superstructure</t>
  </si>
  <si>
    <t>Hardingburgh</t>
  </si>
  <si>
    <t>Team-oriented regional budgetary management</t>
  </si>
  <si>
    <t>Williamton</t>
  </si>
  <si>
    <t>Russia, France, UK</t>
  </si>
  <si>
    <t>Phased context-sensitive service-desk</t>
  </si>
  <si>
    <t>Jennaport</t>
  </si>
  <si>
    <t>Expanded contextually-based leverage</t>
  </si>
  <si>
    <t>Leahmouth</t>
  </si>
  <si>
    <t>USA, UAE, UK</t>
  </si>
  <si>
    <t>Cross-platform holistic open system</t>
  </si>
  <si>
    <t>Montesfort</t>
  </si>
  <si>
    <t>Versatile encompassing contingency</t>
  </si>
  <si>
    <t>Port Phillipport</t>
  </si>
  <si>
    <t>Realigned context-sensitive archive</t>
  </si>
  <si>
    <t>Keithborough</t>
  </si>
  <si>
    <t>Enhanced national array</t>
  </si>
  <si>
    <t>East Juliefurt</t>
  </si>
  <si>
    <t>Multi-tiered bifurcated solution</t>
  </si>
  <si>
    <t>Calebville</t>
  </si>
  <si>
    <t>Versatile empowering groupware</t>
  </si>
  <si>
    <t>East Keith</t>
  </si>
  <si>
    <t>Russia, UAE, China</t>
  </si>
  <si>
    <t>Cross-group demand-driven synergy</t>
  </si>
  <si>
    <t>Briannabury</t>
  </si>
  <si>
    <t>Proactive empowering definition</t>
  </si>
  <si>
    <t>Timview</t>
  </si>
  <si>
    <t>Mandatory full-range focus group</t>
  </si>
  <si>
    <t>East Omarview</t>
  </si>
  <si>
    <t>Russia, Israel, Germany</t>
  </si>
  <si>
    <t>Business-focused web-enabled support</t>
  </si>
  <si>
    <t>New Glennhaven</t>
  </si>
  <si>
    <t>Advanced radical functionalities</t>
  </si>
  <si>
    <t>Josephfurt</t>
  </si>
  <si>
    <t>Sharable systemic analyzer</t>
  </si>
  <si>
    <t>Lewisland</t>
  </si>
  <si>
    <t>Secured stable conglomeration</t>
  </si>
  <si>
    <t>Stuarthaven</t>
  </si>
  <si>
    <t>Assimilated logistical product</t>
  </si>
  <si>
    <t>Grantside</t>
  </si>
  <si>
    <t>User-centric discrete forecast</t>
  </si>
  <si>
    <t>Jessicafurt</t>
  </si>
  <si>
    <t>Cross-platform foreground system engine</t>
  </si>
  <si>
    <t>Russia, India</t>
  </si>
  <si>
    <t>Ergonomic discrete solution</t>
  </si>
  <si>
    <t>Port Greg</t>
  </si>
  <si>
    <t>Upgradable heuristic budgetary management</t>
  </si>
  <si>
    <t>Lake Ricardo</t>
  </si>
  <si>
    <t>UK, Israel, China</t>
  </si>
  <si>
    <t>Horizontal bi-directional infrastructure</t>
  </si>
  <si>
    <t>Grayfort</t>
  </si>
  <si>
    <t>India, UAE, Israel</t>
  </si>
  <si>
    <t>Open-source needs-based interface</t>
  </si>
  <si>
    <t>Penningtonborough</t>
  </si>
  <si>
    <t>Synergistic multi-state forecast</t>
  </si>
  <si>
    <t>Castrohaven</t>
  </si>
  <si>
    <t>China, Russia, France</t>
  </si>
  <si>
    <t>Adaptive directional adapter</t>
  </si>
  <si>
    <t>South Jamesside</t>
  </si>
  <si>
    <t>Function-based executive capacity</t>
  </si>
  <si>
    <t>Marcusview</t>
  </si>
  <si>
    <t>De-engineered coherent infrastructure</t>
  </si>
  <si>
    <t>Stevenbury</t>
  </si>
  <si>
    <t>Managed dynamic system engine</t>
  </si>
  <si>
    <t>North Eric</t>
  </si>
  <si>
    <t>UAE, USA, Israel</t>
  </si>
  <si>
    <t>Integrated multi-state methodology</t>
  </si>
  <si>
    <t>Meganstad</t>
  </si>
  <si>
    <t>Total full-range collaboration</t>
  </si>
  <si>
    <t>Rodriguezside</t>
  </si>
  <si>
    <t>Decentralized uniform success</t>
  </si>
  <si>
    <t>Garretttown</t>
  </si>
  <si>
    <t>Customizable methodical success</t>
  </si>
  <si>
    <t>Ryanfurt</t>
  </si>
  <si>
    <t>Pre-emptive needs-based website</t>
  </si>
  <si>
    <t>East Willieside</t>
  </si>
  <si>
    <t>De-engineered tertiary budgetary management</t>
  </si>
  <si>
    <t>North Candice</t>
  </si>
  <si>
    <t>Cross-platform scalable instruction set</t>
  </si>
  <si>
    <t>Abbottton</t>
  </si>
  <si>
    <t>France, China, Israel</t>
  </si>
  <si>
    <t>Self-enabling intangible analyzer</t>
  </si>
  <si>
    <t>Jesuston</t>
  </si>
  <si>
    <t>Distributed asynchronous firmware</t>
  </si>
  <si>
    <t>Erichaven</t>
  </si>
  <si>
    <t>Centralized bandwidth-monitored matrix</t>
  </si>
  <si>
    <t>South Alexis</t>
  </si>
  <si>
    <t>Mandatory asymmetric success</t>
  </si>
  <si>
    <t>Port Soniaport</t>
  </si>
  <si>
    <t>Russia, USA</t>
  </si>
  <si>
    <t>Persevering national framework</t>
  </si>
  <si>
    <t>Port Karen</t>
  </si>
  <si>
    <t>Reactive 3rdgeneration data-warehouse</t>
  </si>
  <si>
    <t>Samuelfort</t>
  </si>
  <si>
    <t>Russia, Japan, France</t>
  </si>
  <si>
    <t>Cross-group multi-tasking frame</t>
  </si>
  <si>
    <t>Hamiltonstad</t>
  </si>
  <si>
    <t>Managed context-sensitive core</t>
  </si>
  <si>
    <t>New Daniel</t>
  </si>
  <si>
    <t>Persistent multi-tasking concept</t>
  </si>
  <si>
    <t>Davidburgh</t>
  </si>
  <si>
    <t>Reduced global workforce</t>
  </si>
  <si>
    <t>South Chrisview</t>
  </si>
  <si>
    <t>Sharable asynchronous policy</t>
  </si>
  <si>
    <t>North Amanda</t>
  </si>
  <si>
    <t>Balanced responsive standardization</t>
  </si>
  <si>
    <t>West Timothy</t>
  </si>
  <si>
    <t>UAE, Germany, France</t>
  </si>
  <si>
    <t>Reverse-engineered secondary throughput</t>
  </si>
  <si>
    <t>Gomezbury</t>
  </si>
  <si>
    <t>Russia, India, Japan</t>
  </si>
  <si>
    <t>Triple-buffered hybrid migration</t>
  </si>
  <si>
    <t>South Alyssastad</t>
  </si>
  <si>
    <t>Networked bandwidth-monitored approach</t>
  </si>
  <si>
    <t>Gregoryhaven</t>
  </si>
  <si>
    <t>UK, Russia, France</t>
  </si>
  <si>
    <t>Diverse homogeneous data-warehouse</t>
  </si>
  <si>
    <t>USA, UK, Japan</t>
  </si>
  <si>
    <t>Synchronized object-oriented capacity</t>
  </si>
  <si>
    <t>Andersonstad</t>
  </si>
  <si>
    <t>Reactive uniform groupware</t>
  </si>
  <si>
    <t>Lake David</t>
  </si>
  <si>
    <t>Multi-tiered well-modulated success</t>
  </si>
  <si>
    <t>Lake Stephanie</t>
  </si>
  <si>
    <t>Reactive analyzing focus group</t>
  </si>
  <si>
    <t>Tracyville</t>
  </si>
  <si>
    <t>Integrated coherent knowledgebase</t>
  </si>
  <si>
    <t>East Reneetown</t>
  </si>
  <si>
    <t>Reduced 4thgeneration adapter</t>
  </si>
  <si>
    <t>Israel, India, Russia</t>
  </si>
  <si>
    <t>Inverse next generation complexity</t>
  </si>
  <si>
    <t>Ericksonchester</t>
  </si>
  <si>
    <t>Multi-layered didactic access</t>
  </si>
  <si>
    <t>Davidbury</t>
  </si>
  <si>
    <t>Implemented national open architecture</t>
  </si>
  <si>
    <t>Underwoodborough</t>
  </si>
  <si>
    <t>France, Japan, Germany</t>
  </si>
  <si>
    <t>Total value-added throughput</t>
  </si>
  <si>
    <t>Yvonnefurt</t>
  </si>
  <si>
    <t>Open-source leadingedge standardization</t>
  </si>
  <si>
    <t>Port Vickiechester</t>
  </si>
  <si>
    <t>Multi-tiered encompassing solution</t>
  </si>
  <si>
    <t>New Michaela</t>
  </si>
  <si>
    <t>Reduced homogeneous concept</t>
  </si>
  <si>
    <t>Port Ashleyberg</t>
  </si>
  <si>
    <t>Inverse grid-enabled functionalities</t>
  </si>
  <si>
    <t>Robust multi-state projection</t>
  </si>
  <si>
    <t>North Zachary</t>
  </si>
  <si>
    <t>Profit-focused non-volatile analyzer</t>
  </si>
  <si>
    <t>Ergonomic grid-enabled circuit</t>
  </si>
  <si>
    <t>East Christy</t>
  </si>
  <si>
    <t>Optimized bifurcated alliance</t>
  </si>
  <si>
    <t>Kellytown</t>
  </si>
  <si>
    <t>User-centric uniform methodology</t>
  </si>
  <si>
    <t>Compatible homogeneous benchmark</t>
  </si>
  <si>
    <t>Martinezton</t>
  </si>
  <si>
    <t>Team-oriented non-volatile firmware</t>
  </si>
  <si>
    <t>West Staceyside</t>
  </si>
  <si>
    <t>User-friendly clear-thinking projection</t>
  </si>
  <si>
    <t>North Robertport</t>
  </si>
  <si>
    <t>Persistent full-range moratorium</t>
  </si>
  <si>
    <t>East Kevinmouth</t>
  </si>
  <si>
    <t>Ameliorated real-time moratorium</t>
  </si>
  <si>
    <t>East James</t>
  </si>
  <si>
    <t>Compatible static application</t>
  </si>
  <si>
    <t>West Theresa</t>
  </si>
  <si>
    <t>Persistent multi-state installation</t>
  </si>
  <si>
    <t>Timothystad</t>
  </si>
  <si>
    <t>Cross-platform value-added info-mediaries</t>
  </si>
  <si>
    <t>Eriktown</t>
  </si>
  <si>
    <t>Germany, Israel, China</t>
  </si>
  <si>
    <t>Configurable needs-based success</t>
  </si>
  <si>
    <t>East Johnport</t>
  </si>
  <si>
    <t>India, UAE, UK</t>
  </si>
  <si>
    <t>Upgradable disintermediate array</t>
  </si>
  <si>
    <t>New Laurastad</t>
  </si>
  <si>
    <t>Germany, Japan, USA</t>
  </si>
  <si>
    <t>Assimilated composite hierarchy</t>
  </si>
  <si>
    <t>Matthewshire</t>
  </si>
  <si>
    <t>Japan, UK, India</t>
  </si>
  <si>
    <t>Down-sized tangible frame</t>
  </si>
  <si>
    <t>Jonesland</t>
  </si>
  <si>
    <t>Multi-tiered full-range service-desk</t>
  </si>
  <si>
    <t>Jessicaburgh</t>
  </si>
  <si>
    <t>Russia, India, Israel</t>
  </si>
  <si>
    <t>Enhanced asynchronous process improvement</t>
  </si>
  <si>
    <t>New Johnborough</t>
  </si>
  <si>
    <t>Focused modular utilization</t>
  </si>
  <si>
    <t>New Richard</t>
  </si>
  <si>
    <t>Team-oriented foreground Local Area Network</t>
  </si>
  <si>
    <t>Automated multimedia secured line</t>
  </si>
  <si>
    <t>Katherinemouth</t>
  </si>
  <si>
    <t>Focused didactic superstructure</t>
  </si>
  <si>
    <t>East Stevenborough</t>
  </si>
  <si>
    <t>Advanced client-server ability</t>
  </si>
  <si>
    <t>Port Courtneyshire</t>
  </si>
  <si>
    <t>Germany, France, UK</t>
  </si>
  <si>
    <t>Managed optimizing methodology</t>
  </si>
  <si>
    <t>Lake Christopherborough</t>
  </si>
  <si>
    <t>Right-sized demand-driven productivity</t>
  </si>
  <si>
    <t>Reidmouth</t>
  </si>
  <si>
    <t>Enhanced regional protocol</t>
  </si>
  <si>
    <t>Lake Scottshire</t>
  </si>
  <si>
    <t>Switchable static algorithm</t>
  </si>
  <si>
    <t>East Rachaelbury</t>
  </si>
  <si>
    <t>Persistent dedicated focus group</t>
  </si>
  <si>
    <t>Graychester</t>
  </si>
  <si>
    <t>Multi-lateral optimal moderator</t>
  </si>
  <si>
    <t>Wallsmouth</t>
  </si>
  <si>
    <t>Optional incremental pricing structure</t>
  </si>
  <si>
    <t>East Jessica</t>
  </si>
  <si>
    <t>Japan, Israel, Germany</t>
  </si>
  <si>
    <t>Grass-roots holistic frame</t>
  </si>
  <si>
    <t>North Joseph</t>
  </si>
  <si>
    <t>Profound bandwidth-monitored encryption</t>
  </si>
  <si>
    <t>Lake Taramouth</t>
  </si>
  <si>
    <t>Seamless transitional core</t>
  </si>
  <si>
    <t>Freemanfort</t>
  </si>
  <si>
    <t>Right-sized transitional portal</t>
  </si>
  <si>
    <t>Lake Cassandrabury</t>
  </si>
  <si>
    <t>Focused zero tolerance functionalities</t>
  </si>
  <si>
    <t>North Eugeneborough</t>
  </si>
  <si>
    <t>Inverse cohesive conglomeration</t>
  </si>
  <si>
    <t>Kellerville</t>
  </si>
  <si>
    <t>Self-enabling human-resource interface</t>
  </si>
  <si>
    <t>New Justin</t>
  </si>
  <si>
    <t>Reduced high-level methodology</t>
  </si>
  <si>
    <t>East Lisaberg</t>
  </si>
  <si>
    <t>Exclusive clear-thinking monitoring</t>
  </si>
  <si>
    <t>Lowerybury</t>
  </si>
  <si>
    <t>Inverse multi-state support</t>
  </si>
  <si>
    <t>Cruzburgh</t>
  </si>
  <si>
    <t>UAE, China, France</t>
  </si>
  <si>
    <t>Streamlined cohesive alliance</t>
  </si>
  <si>
    <t>North James</t>
  </si>
  <si>
    <t>Germany, UK, France</t>
  </si>
  <si>
    <t>Expanded context-sensitive support</t>
  </si>
  <si>
    <t>South Douglastown</t>
  </si>
  <si>
    <t>UAE, France, Japan</t>
  </si>
  <si>
    <t>Function-based transitional complexity</t>
  </si>
  <si>
    <t>Mooreberg</t>
  </si>
  <si>
    <t>Multi-channeled system-worthy collaboration</t>
  </si>
  <si>
    <t>Lake Nicholasmouth</t>
  </si>
  <si>
    <t>Synergistic dynamic matrices</t>
  </si>
  <si>
    <t>East Carrie</t>
  </si>
  <si>
    <t>Vision-oriented non-volatile policy</t>
  </si>
  <si>
    <t>Open-source context-sensitive software</t>
  </si>
  <si>
    <t>Montgomeryview</t>
  </si>
  <si>
    <t>Israel, Germany, UK</t>
  </si>
  <si>
    <t>Customer-focused dedicated monitoring</t>
  </si>
  <si>
    <t>Martinport</t>
  </si>
  <si>
    <t>Re-contextualized coherent initiative</t>
  </si>
  <si>
    <t>West Karen</t>
  </si>
  <si>
    <t>Re-contextualized non-volatile initiative</t>
  </si>
  <si>
    <t>Robertoland</t>
  </si>
  <si>
    <t>Robust motivating firmware</t>
  </si>
  <si>
    <t>Kylebury</t>
  </si>
  <si>
    <t>Programmable global matrices</t>
  </si>
  <si>
    <t>Lake Jefferyview</t>
  </si>
  <si>
    <t>Mandatory client-server Graphic Interface</t>
  </si>
  <si>
    <t>Craigmouth</t>
  </si>
  <si>
    <t>India, Japan, China</t>
  </si>
  <si>
    <t>Grass-roots disintermediate array</t>
  </si>
  <si>
    <t>Michaelport</t>
  </si>
  <si>
    <t>Programmable value-added secured line</t>
  </si>
  <si>
    <t>New Darrenville</t>
  </si>
  <si>
    <t>Customizable leadingedge process improvement</t>
  </si>
  <si>
    <t>Richardmouth</t>
  </si>
  <si>
    <t>Face-to-face scalable capacity</t>
  </si>
  <si>
    <t>East Brian</t>
  </si>
  <si>
    <t>Polarized discrete artificial intelligence</t>
  </si>
  <si>
    <t>East Cindyfort</t>
  </si>
  <si>
    <t>Down-sized zero-defect open system</t>
  </si>
  <si>
    <t>Erictown</t>
  </si>
  <si>
    <t>Japan, UAE, France</t>
  </si>
  <si>
    <t>Assimilated stable methodology</t>
  </si>
  <si>
    <t>Johnbury</t>
  </si>
  <si>
    <t>Triple-buffered actuating firmware</t>
  </si>
  <si>
    <t>Mariabury</t>
  </si>
  <si>
    <t>Cross-platform bandwidth-monitored secured line</t>
  </si>
  <si>
    <t>Rojasfort</t>
  </si>
  <si>
    <t>Centralized maximized policy</t>
  </si>
  <si>
    <t>East Jackside</t>
  </si>
  <si>
    <t>Universal cohesive hierarchy</t>
  </si>
  <si>
    <t>Lindsaystad</t>
  </si>
  <si>
    <t>UK, Germany, France</t>
  </si>
  <si>
    <t>Enhanced client-driven array</t>
  </si>
  <si>
    <t>Open-architected local structure</t>
  </si>
  <si>
    <t>Port Timothy</t>
  </si>
  <si>
    <t>Upgradable attitude-oriented archive</t>
  </si>
  <si>
    <t>Port Bridget</t>
  </si>
  <si>
    <t>Advanced bi-directional matrix</t>
  </si>
  <si>
    <t>Nelsonberg</t>
  </si>
  <si>
    <t>Up-sized fault-tolerant superstructure</t>
  </si>
  <si>
    <t>South Whitney</t>
  </si>
  <si>
    <t>Multi-lateral context-sensitive productivity</t>
  </si>
  <si>
    <t>New Adriennefort</t>
  </si>
  <si>
    <t>Profound bandwidth-monitored benchmark</t>
  </si>
  <si>
    <t>Profit-focused methodical pricing structure</t>
  </si>
  <si>
    <t>Mosleyview</t>
  </si>
  <si>
    <t>Operative methodical moderator</t>
  </si>
  <si>
    <t>Norrishaven</t>
  </si>
  <si>
    <t>Organized executive instruction set</t>
  </si>
  <si>
    <t>Jacobmouth</t>
  </si>
  <si>
    <t>Pre-emptive user-facing toolset</t>
  </si>
  <si>
    <t>West Cody</t>
  </si>
  <si>
    <t>Diverse fault-tolerant Local Area Network</t>
  </si>
  <si>
    <t>Crosbyberg</t>
  </si>
  <si>
    <t>Germany, France, Japan</t>
  </si>
  <si>
    <t>Reverse-engineered static hub</t>
  </si>
  <si>
    <t>North Michaelbury</t>
  </si>
  <si>
    <t>Synchronized even-keeled challenge</t>
  </si>
  <si>
    <t>Christophershire</t>
  </si>
  <si>
    <t>Upgradable foreground encryption</t>
  </si>
  <si>
    <t>North Stephen</t>
  </si>
  <si>
    <t>Compatible upward-trending conglomeration</t>
  </si>
  <si>
    <t>Colleenstad</t>
  </si>
  <si>
    <t>Mandatory dedicated collaboration</t>
  </si>
  <si>
    <t>South Amber</t>
  </si>
  <si>
    <t>Ergonomic systemic implementation</t>
  </si>
  <si>
    <t>Andrewchester</t>
  </si>
  <si>
    <t>USA, Russia, Israel</t>
  </si>
  <si>
    <t>Distributed scalable attitude</t>
  </si>
  <si>
    <t>Port Matthewborough</t>
  </si>
  <si>
    <t>Ameliorated methodical strategy</t>
  </si>
  <si>
    <t>Moorebury</t>
  </si>
  <si>
    <t>Reverse-engineered logistical methodology</t>
  </si>
  <si>
    <t>New Tamarafort</t>
  </si>
  <si>
    <t>Total exuding open architecture</t>
  </si>
  <si>
    <t>West Jeanside</t>
  </si>
  <si>
    <t>Robust asymmetric customer loyalty</t>
  </si>
  <si>
    <t>Cordovafort</t>
  </si>
  <si>
    <t>India, Japan, Israel</t>
  </si>
  <si>
    <t>Total homogeneous software</t>
  </si>
  <si>
    <t>Stacymouth</t>
  </si>
  <si>
    <t>Fully-configurable web-enabled extranet</t>
  </si>
  <si>
    <t>Garyshire</t>
  </si>
  <si>
    <t>Function-based analyzing matrices</t>
  </si>
  <si>
    <t>Jenniferhaven</t>
  </si>
  <si>
    <t>Up-sized interactive synergy</t>
  </si>
  <si>
    <t>Luisport</t>
  </si>
  <si>
    <t>USA, India, Russia</t>
  </si>
  <si>
    <t>Configurable bandwidth-monitored definition</t>
  </si>
  <si>
    <t>North Andrew</t>
  </si>
  <si>
    <t>Organized even-keeled knowledgebase</t>
  </si>
  <si>
    <t>New Jonathan</t>
  </si>
  <si>
    <t>Function-based bandwidth-monitored system engine</t>
  </si>
  <si>
    <t>Lake Ryanberg</t>
  </si>
  <si>
    <t>Re-engineered radical policy</t>
  </si>
  <si>
    <t>New Harry</t>
  </si>
  <si>
    <t>Balanced global projection</t>
  </si>
  <si>
    <t>Lake Madeline</t>
  </si>
  <si>
    <t>Multi-tiered multi-state matrix</t>
  </si>
  <si>
    <t>Joelview</t>
  </si>
  <si>
    <t>Exclusive cohesive process improvement</t>
  </si>
  <si>
    <t>Herreraland</t>
  </si>
  <si>
    <t>Front-line fresh-thinking leverage</t>
  </si>
  <si>
    <t>Joeview</t>
  </si>
  <si>
    <t>UAE, China, Japan</t>
  </si>
  <si>
    <t>Synergistic composite knowledge user</t>
  </si>
  <si>
    <t>North Ashleybury</t>
  </si>
  <si>
    <t>Innovative disintermediate installation</t>
  </si>
  <si>
    <t>Joshuafort</t>
  </si>
  <si>
    <t>Open-source holistic interface</t>
  </si>
  <si>
    <t>Mclaughlinborough</t>
  </si>
  <si>
    <t>Persevering systematic success</t>
  </si>
  <si>
    <t>East Teresa</t>
  </si>
  <si>
    <t>Multi-tiered foreground info-mediaries</t>
  </si>
  <si>
    <t>South Susan</t>
  </si>
  <si>
    <t>Progressive global data-warehouse</t>
  </si>
  <si>
    <t>North Debra</t>
  </si>
  <si>
    <t>Stand-alone global Local Area Network</t>
  </si>
  <si>
    <t>Rachelhaven</t>
  </si>
  <si>
    <t>France, China, Russia</t>
  </si>
  <si>
    <t>Mandatory bandwidth-monitored benchmark</t>
  </si>
  <si>
    <t>Baileyville</t>
  </si>
  <si>
    <t>China, Germany, Israel</t>
  </si>
  <si>
    <t>Integrated client-driven archive</t>
  </si>
  <si>
    <t>Codytown</t>
  </si>
  <si>
    <t>Re-contextualized directional array</t>
  </si>
  <si>
    <t>Eugenefurt</t>
  </si>
  <si>
    <t>Russia, France, Japan</t>
  </si>
  <si>
    <t>Integrated optimizing moderator</t>
  </si>
  <si>
    <t>Higginsberg</t>
  </si>
  <si>
    <t>Reduced asynchronous installation</t>
  </si>
  <si>
    <t>Enterprise-wide non-volatile archive</t>
  </si>
  <si>
    <t>North Stevenstad</t>
  </si>
  <si>
    <t>Persevering high-level system engine</t>
  </si>
  <si>
    <t>Ryantown</t>
  </si>
  <si>
    <t>Multi-channeled reciprocal toolset</t>
  </si>
  <si>
    <t>Gomeztown</t>
  </si>
  <si>
    <t>Horizontal full-range hierarchy</t>
  </si>
  <si>
    <t>East Rachel</t>
  </si>
  <si>
    <t>Fully-configurable zero-defect archive</t>
  </si>
  <si>
    <t>Howardbury</t>
  </si>
  <si>
    <t>Synergized responsive installation</t>
  </si>
  <si>
    <t>North Karen</t>
  </si>
  <si>
    <t>Multi-layered methodical matrix</t>
  </si>
  <si>
    <t>Lamport</t>
  </si>
  <si>
    <t>Switchable zero administration productivity</t>
  </si>
  <si>
    <t>Douglasmouth</t>
  </si>
  <si>
    <t>Multi-lateral real-time orchestration</t>
  </si>
  <si>
    <t>Thompsonhaven</t>
  </si>
  <si>
    <t>Optimized asynchronous collaboration</t>
  </si>
  <si>
    <t>South Donaldfort</t>
  </si>
  <si>
    <t>Cross-platform demand-driven secured line</t>
  </si>
  <si>
    <t>Brookeshire</t>
  </si>
  <si>
    <t>Implemented zero tolerance function</t>
  </si>
  <si>
    <t>Owensmouth</t>
  </si>
  <si>
    <t>Function-based scalable hardware</t>
  </si>
  <si>
    <t>West Gwendolyn</t>
  </si>
  <si>
    <t>Versatile systemic approach</t>
  </si>
  <si>
    <t>Johnview</t>
  </si>
  <si>
    <t>Progressive fresh-thinking core</t>
  </si>
  <si>
    <t>West Brittany</t>
  </si>
  <si>
    <t>Intuitive transitional toolset</t>
  </si>
  <si>
    <t>New Marissa</t>
  </si>
  <si>
    <t>Germany, Russia, India</t>
  </si>
  <si>
    <t>Extended user-facing standardization</t>
  </si>
  <si>
    <t>Aliciaside</t>
  </si>
  <si>
    <t>Distributed secondary pricing structure</t>
  </si>
  <si>
    <t>West Joe</t>
  </si>
  <si>
    <t>Optimized maximized focus group</t>
  </si>
  <si>
    <t>West Ricardo</t>
  </si>
  <si>
    <t>Expanded executive middleware</t>
  </si>
  <si>
    <t>New Jasonhaven</t>
  </si>
  <si>
    <t>Stand-alone exuding framework</t>
  </si>
  <si>
    <t>North Susanmouth</t>
  </si>
  <si>
    <t>Horizontal composite Internet solution</t>
  </si>
  <si>
    <t>Michelleton</t>
  </si>
  <si>
    <t>Object-based responsive implementation</t>
  </si>
  <si>
    <t>Natashaland</t>
  </si>
  <si>
    <t>Inverse radical forecast</t>
  </si>
  <si>
    <t>Up-sized foreground portal</t>
  </si>
  <si>
    <t>Briggsfort</t>
  </si>
  <si>
    <t>Switchable eco-centric moderator</t>
  </si>
  <si>
    <t>Morganburgh</t>
  </si>
  <si>
    <t>Germany, Israel, Russia</t>
  </si>
  <si>
    <t>Upgradable bifurcated project</t>
  </si>
  <si>
    <t>New Matthewfurt</t>
  </si>
  <si>
    <t>Multi-tiered real-time contingency</t>
  </si>
  <si>
    <t>East Rebecca</t>
  </si>
  <si>
    <t>Focused multi-tasking pricing structure</t>
  </si>
  <si>
    <t>Reyeston</t>
  </si>
  <si>
    <t>Profound attitude-oriented adapter</t>
  </si>
  <si>
    <t>South Jasonburgh</t>
  </si>
  <si>
    <t>Open-architected dynamic task-force</t>
  </si>
  <si>
    <t>Emilyburgh</t>
  </si>
  <si>
    <t>Expanded responsive utilization</t>
  </si>
  <si>
    <t>Lake Grantville</t>
  </si>
  <si>
    <t>User-centric transitional orchestration</t>
  </si>
  <si>
    <t>North Edward</t>
  </si>
  <si>
    <t>Virtual demand-driven methodology</t>
  </si>
  <si>
    <t>New Cassandra</t>
  </si>
  <si>
    <t>Proactive asynchronous alliance</t>
  </si>
  <si>
    <t>Ericshire</t>
  </si>
  <si>
    <t>Right-sized background capability</t>
  </si>
  <si>
    <t>East Eric</t>
  </si>
  <si>
    <t>Innovative 24hour hub</t>
  </si>
  <si>
    <t>East Monicashire</t>
  </si>
  <si>
    <t>Synergized holistic monitoring</t>
  </si>
  <si>
    <t>Gavinfort</t>
  </si>
  <si>
    <t>Inverse solution-oriented concept</t>
  </si>
  <si>
    <t>Lake Garrett</t>
  </si>
  <si>
    <t>Future-proofed stable policy</t>
  </si>
  <si>
    <t>Johnland</t>
  </si>
  <si>
    <t>Secured optimal moderator</t>
  </si>
  <si>
    <t>Robertsonfurt</t>
  </si>
  <si>
    <t>Automated solution-oriented access</t>
  </si>
  <si>
    <t>Quality-focused contextually-based software</t>
  </si>
  <si>
    <t>Michaelview</t>
  </si>
  <si>
    <t>Grass-roots high-level alliance</t>
  </si>
  <si>
    <t>Nashview</t>
  </si>
  <si>
    <t>Proactive disintermediate capacity</t>
  </si>
  <si>
    <t>Tiffanyburgh</t>
  </si>
  <si>
    <t>Multi-layered contextually-based standardization</t>
  </si>
  <si>
    <t>Mcgeetown</t>
  </si>
  <si>
    <t>Networked discrete monitoring</t>
  </si>
  <si>
    <t>Josephview</t>
  </si>
  <si>
    <t>Proactive heuristic access</t>
  </si>
  <si>
    <t>New Michele</t>
  </si>
  <si>
    <t>Public-key grid-enabled infrastructure</t>
  </si>
  <si>
    <t>Tanyaview</t>
  </si>
  <si>
    <t>UAE, USA, France</t>
  </si>
  <si>
    <t>Vision-oriented systemic leverage</t>
  </si>
  <si>
    <t>Susanside</t>
  </si>
  <si>
    <t>Persistent 4thgeneration attitude</t>
  </si>
  <si>
    <t>Alexandriahaven</t>
  </si>
  <si>
    <t>China, Israel, India</t>
  </si>
  <si>
    <t>Devolved object-oriented firmware</t>
  </si>
  <si>
    <t>Thompsonland</t>
  </si>
  <si>
    <t>Realigned high-level encryption</t>
  </si>
  <si>
    <t>Port Alexander</t>
  </si>
  <si>
    <t>Reverse-engineered multimedia initiative</t>
  </si>
  <si>
    <t>Grossburgh</t>
  </si>
  <si>
    <t>Distributed cohesive core</t>
  </si>
  <si>
    <t>Websterville</t>
  </si>
  <si>
    <t>Grass-roots neutral system engine</t>
  </si>
  <si>
    <t>Ryanville</t>
  </si>
  <si>
    <t>Vision-oriented upward-trending project</t>
  </si>
  <si>
    <t>New Shane</t>
  </si>
  <si>
    <t>Multi-lateral national policy</t>
  </si>
  <si>
    <t>Jenniferborough</t>
  </si>
  <si>
    <t>Synchronized explicit matrices</t>
  </si>
  <si>
    <t>Roblesburgh</t>
  </si>
  <si>
    <t>Multi-layered impactful adapter</t>
  </si>
  <si>
    <t>New Vernon</t>
  </si>
  <si>
    <t>Enterprise-wide client-server artificial intelligence</t>
  </si>
  <si>
    <t>South Rodney</t>
  </si>
  <si>
    <t>Advanced context-sensitive monitoring</t>
  </si>
  <si>
    <t>South Sherry</t>
  </si>
  <si>
    <t>France, Russia, Japan</t>
  </si>
  <si>
    <t>Customizable optimizing policy</t>
  </si>
  <si>
    <t>Harrishaven</t>
  </si>
  <si>
    <t>Front-line 5thgeneration database</t>
  </si>
  <si>
    <t>Brookehaven</t>
  </si>
  <si>
    <t>Persistent reciprocal leverage</t>
  </si>
  <si>
    <t>Johnsonville</t>
  </si>
  <si>
    <t>Advanced well-modulated core</t>
  </si>
  <si>
    <t>Swansontown</t>
  </si>
  <si>
    <t>Organized 4thgeneration collaboration</t>
  </si>
  <si>
    <t>Port Sandra</t>
  </si>
  <si>
    <t>Balanced directional productivity</t>
  </si>
  <si>
    <t>New Andrea</t>
  </si>
  <si>
    <t>Re-engineered eco-centric framework</t>
  </si>
  <si>
    <t>Carolinemouth</t>
  </si>
  <si>
    <t>Triple-buffered contextually-based hierarchy</t>
  </si>
  <si>
    <t>Shanemouth</t>
  </si>
  <si>
    <t>Pre-emptive reciprocal protocol</t>
  </si>
  <si>
    <t>Cassandrafort</t>
  </si>
  <si>
    <t>Ameliorated reciprocal instruction set</t>
  </si>
  <si>
    <t>North Elijah</t>
  </si>
  <si>
    <t>Reduced incremental moratorium</t>
  </si>
  <si>
    <t>Robertville</t>
  </si>
  <si>
    <t>Cross-group clear-thinking projection</t>
  </si>
  <si>
    <t>South Brianshire</t>
  </si>
  <si>
    <t>Operative global archive</t>
  </si>
  <si>
    <t>Feliciachester</t>
  </si>
  <si>
    <t>Adaptive zero administration standardization</t>
  </si>
  <si>
    <t>West Kevinview</t>
  </si>
  <si>
    <t>Re-contextualized optimizing challenge</t>
  </si>
  <si>
    <t>Lake Mark</t>
  </si>
  <si>
    <t>Expanded zero-defect archive</t>
  </si>
  <si>
    <t>Port Anthony</t>
  </si>
  <si>
    <t>Fully-configurable solution-oriented moderator</t>
  </si>
  <si>
    <t>Organized foreground pricing structure</t>
  </si>
  <si>
    <t>Warrenstad</t>
  </si>
  <si>
    <t>Advanced next generation encryption</t>
  </si>
  <si>
    <t>Horizontal tertiary Local Area Network</t>
  </si>
  <si>
    <t>North Nathan</t>
  </si>
  <si>
    <t>Progressive incremental core</t>
  </si>
  <si>
    <t>Flowersview</t>
  </si>
  <si>
    <t>Automated didactic alliance</t>
  </si>
  <si>
    <t>West Lauraside</t>
  </si>
  <si>
    <t>Adaptive modular structure</t>
  </si>
  <si>
    <t>Stevenmouth</t>
  </si>
  <si>
    <t>Phased non-volatile utilization</t>
  </si>
  <si>
    <t>Brianastad</t>
  </si>
  <si>
    <t>Face-to-face user-facing matrices</t>
  </si>
  <si>
    <t>Gilmorestad</t>
  </si>
  <si>
    <t>Vision-oriented directional hub</t>
  </si>
  <si>
    <t>Mcclureburgh</t>
  </si>
  <si>
    <t>France, Israel, Germany</t>
  </si>
  <si>
    <t>Visionary static process improvement</t>
  </si>
  <si>
    <t>West Stevenstad</t>
  </si>
  <si>
    <t>User-friendly high-level initiative</t>
  </si>
  <si>
    <t>Nicholasside</t>
  </si>
  <si>
    <t>Front-line national focus group</t>
  </si>
  <si>
    <t>Robertport</t>
  </si>
  <si>
    <t>Multi-lateral uniform middleware</t>
  </si>
  <si>
    <t>Waltersberg</t>
  </si>
  <si>
    <t>Balanced content-based analyzer</t>
  </si>
  <si>
    <t>West Kathleen</t>
  </si>
  <si>
    <t>Mandatory maximized projection</t>
  </si>
  <si>
    <t>North Thomasport</t>
  </si>
  <si>
    <t>USA, Israel, Japan</t>
  </si>
  <si>
    <t>User-centric real-time Local Area Network</t>
  </si>
  <si>
    <t>Lake John</t>
  </si>
  <si>
    <t>Enhanced next generation installation</t>
  </si>
  <si>
    <t>South Joseph</t>
  </si>
  <si>
    <t>Integrated solution-oriented alliance</t>
  </si>
  <si>
    <t>Freemanton</t>
  </si>
  <si>
    <t>Realigned client-driven moratorium</t>
  </si>
  <si>
    <t>Simpsonshire</t>
  </si>
  <si>
    <t>France, Russia, USA</t>
  </si>
  <si>
    <t>Total disintermediate collaboration</t>
  </si>
  <si>
    <t>South Jeffrey</t>
  </si>
  <si>
    <t>Persistent uniform superstructure</t>
  </si>
  <si>
    <t>North Valerie</t>
  </si>
  <si>
    <t>Multi-layered system-worthy open system</t>
  </si>
  <si>
    <t>Cookmouth</t>
  </si>
  <si>
    <t>Virtual uniform moratorium</t>
  </si>
  <si>
    <t>East Maryberg</t>
  </si>
  <si>
    <t>Quality-focused uniform benchmark</t>
  </si>
  <si>
    <t>New Elizabeth</t>
  </si>
  <si>
    <t>Visionary actuating middleware</t>
  </si>
  <si>
    <t>Port Zacharyberg</t>
  </si>
  <si>
    <t>Operative intermediate service-desk</t>
  </si>
  <si>
    <t>North Nicholasmouth</t>
  </si>
  <si>
    <t>Switchable interactive middleware</t>
  </si>
  <si>
    <t>West Mark</t>
  </si>
  <si>
    <t>Synergized fresh-thinking focus group</t>
  </si>
  <si>
    <t>North Bonnieport</t>
  </si>
  <si>
    <t>De-engineered demand-driven concept</t>
  </si>
  <si>
    <t>Fundamental background matrices</t>
  </si>
  <si>
    <t>Sharonborough</t>
  </si>
  <si>
    <t>Multi-layered explicit toolset</t>
  </si>
  <si>
    <t>Hernandezstad</t>
  </si>
  <si>
    <t>Horizontal context-sensitive project</t>
  </si>
  <si>
    <t>Lake Terriport</t>
  </si>
  <si>
    <t>Adaptive composite ability</t>
  </si>
  <si>
    <t>Port Allisontown</t>
  </si>
  <si>
    <t>User-centric fault-tolerant frame</t>
  </si>
  <si>
    <t>Higginsland</t>
  </si>
  <si>
    <t>Optional 5thgeneration task-force</t>
  </si>
  <si>
    <t>South Jessicachester</t>
  </si>
  <si>
    <t>De-engineered methodical protocol</t>
  </si>
  <si>
    <t>Port Josephborough</t>
  </si>
  <si>
    <t>Streamlined radical protocol</t>
  </si>
  <si>
    <t>New Breannafurt</t>
  </si>
  <si>
    <t>Reduced asymmetric encryption</t>
  </si>
  <si>
    <t>Cannonchester</t>
  </si>
  <si>
    <t>Vision-oriented contextually-based success</t>
  </si>
  <si>
    <t>Warrenton</t>
  </si>
  <si>
    <t>Exclusive real-time encoding</t>
  </si>
  <si>
    <t>Martinfurt</t>
  </si>
  <si>
    <t>UAE, Russia, China</t>
  </si>
  <si>
    <t>Automated high-level moratorium</t>
  </si>
  <si>
    <t>Alisonton</t>
  </si>
  <si>
    <t>Customer-focused context-sensitive website</t>
  </si>
  <si>
    <t>North Amandaburgh</t>
  </si>
  <si>
    <t>India, France, USA</t>
  </si>
  <si>
    <t>Customizable discrete hierarchy</t>
  </si>
  <si>
    <t>Simpsonland</t>
  </si>
  <si>
    <t>Fully-configurable system-worthy interface</t>
  </si>
  <si>
    <t>Ergonomic stable throughput</t>
  </si>
  <si>
    <t>Progressive homogeneous parallelism</t>
  </si>
  <si>
    <t>Lake Jasonland</t>
  </si>
  <si>
    <t>Russia, France, India</t>
  </si>
  <si>
    <t>Upgradable exuding extranet</t>
  </si>
  <si>
    <t>Lake Tina</t>
  </si>
  <si>
    <t>Cloned neutral matrices</t>
  </si>
  <si>
    <t>Andrewsstad</t>
  </si>
  <si>
    <t>Synchronized tertiary alliance</t>
  </si>
  <si>
    <t>Seanborough</t>
  </si>
  <si>
    <t>UK, China, Germany</t>
  </si>
  <si>
    <t>Vision-oriented client-server definition</t>
  </si>
  <si>
    <t>Ameliorated non-volatile leverage</t>
  </si>
  <si>
    <t>Cruzport</t>
  </si>
  <si>
    <t>Profound asymmetric collaboration</t>
  </si>
  <si>
    <t>Robertaport</t>
  </si>
  <si>
    <t>Russia, UAE, Israel</t>
  </si>
  <si>
    <t>Versatile non-volatile extranet</t>
  </si>
  <si>
    <t>Matthewfurt</t>
  </si>
  <si>
    <t>Object-based scalable customer loyalty</t>
  </si>
  <si>
    <t>South Cameron</t>
  </si>
  <si>
    <t>Japan, India, Germany</t>
  </si>
  <si>
    <t>Configurable 3rdgeneration benchmark</t>
  </si>
  <si>
    <t>Coreyborough</t>
  </si>
  <si>
    <t>Streamlined global capacity</t>
  </si>
  <si>
    <t>Digitized multi-state initiative</t>
  </si>
  <si>
    <t>Monicatown</t>
  </si>
  <si>
    <t>UK, China, India</t>
  </si>
  <si>
    <t>Exclusive encompassing access</t>
  </si>
  <si>
    <t>Lisaland</t>
  </si>
  <si>
    <t>Horizontal asymmetric software</t>
  </si>
  <si>
    <t>West Joseberg</t>
  </si>
  <si>
    <t>Reduced 24hour archive</t>
  </si>
  <si>
    <t>South Rita</t>
  </si>
  <si>
    <t>Fully-configurable composite utilization</t>
  </si>
  <si>
    <t>North Tina</t>
  </si>
  <si>
    <t>Function-based value-added alliance</t>
  </si>
  <si>
    <t>Sarahport</t>
  </si>
  <si>
    <t>Fully-configurable optimizing leverage</t>
  </si>
  <si>
    <t>Lake Manuel</t>
  </si>
  <si>
    <t>Multi-tiered encompassing flexibility</t>
  </si>
  <si>
    <t>Garciaburgh</t>
  </si>
  <si>
    <t>Reverse-engineered background throughput</t>
  </si>
  <si>
    <t>Bradleyburgh</t>
  </si>
  <si>
    <t>Adaptive contextually-based middleware</t>
  </si>
  <si>
    <t>Elizabethmouth</t>
  </si>
  <si>
    <t>Business-focused reciprocal methodology</t>
  </si>
  <si>
    <t>Focused even-keeled support</t>
  </si>
  <si>
    <t>East Johnny</t>
  </si>
  <si>
    <t>Open-source optimizing moratorium</t>
  </si>
  <si>
    <t>New Cory</t>
  </si>
  <si>
    <t>USA, France, Russia</t>
  </si>
  <si>
    <t>Future-proofed even-keeled analyzer</t>
  </si>
  <si>
    <t>Lewistown</t>
  </si>
  <si>
    <t>Innovative fault-tolerant framework</t>
  </si>
  <si>
    <t>Kathleenberg</t>
  </si>
  <si>
    <t>Switchable impactful leverage</t>
  </si>
  <si>
    <t>Jenniferchester</t>
  </si>
  <si>
    <t>Optimized encompassing paradigm</t>
  </si>
  <si>
    <t>Patrickmouth</t>
  </si>
  <si>
    <t>Expanded user-facing toolset</t>
  </si>
  <si>
    <t>Lake Spencerport</t>
  </si>
  <si>
    <t>Japan, India, UAE</t>
  </si>
  <si>
    <t>Business-focused scalable forecast</t>
  </si>
  <si>
    <t>Frostland</t>
  </si>
  <si>
    <t>Front-line transitional Graphical User Interface</t>
  </si>
  <si>
    <t>Escobarchester</t>
  </si>
  <si>
    <t>Open-source methodical synergy</t>
  </si>
  <si>
    <t>Customer-focused multi-tasking product</t>
  </si>
  <si>
    <t>East Robert</t>
  </si>
  <si>
    <t>Front-line static installation</t>
  </si>
  <si>
    <t>Wheelerchester</t>
  </si>
  <si>
    <t>Reverse-engineered cohesive adapter</t>
  </si>
  <si>
    <t>Rivershaven</t>
  </si>
  <si>
    <t>Business-focused optimal open architecture</t>
  </si>
  <si>
    <t>Mitchellhaven</t>
  </si>
  <si>
    <t>UAE, India, UK</t>
  </si>
  <si>
    <t>Implemented homogeneous framework</t>
  </si>
  <si>
    <t>Watsonshire</t>
  </si>
  <si>
    <t>User-friendly executive throughput</t>
  </si>
  <si>
    <t>East Melissaland</t>
  </si>
  <si>
    <t>Business-focused impactful strategy</t>
  </si>
  <si>
    <t>Scottfort</t>
  </si>
  <si>
    <t>Vision-oriented mobile projection</t>
  </si>
  <si>
    <t>Randallstad</t>
  </si>
  <si>
    <t>Advanced human-resource customer loyalty</t>
  </si>
  <si>
    <t>Hollandton</t>
  </si>
  <si>
    <t>Persevering real-time strategy</t>
  </si>
  <si>
    <t>Lake Kevin</t>
  </si>
  <si>
    <t>Ameliorated high-level groupware</t>
  </si>
  <si>
    <t>Port Davidton</t>
  </si>
  <si>
    <t>France, UAE, Germany</t>
  </si>
  <si>
    <t>Cross-platform multimedia customer loyalty</t>
  </si>
  <si>
    <t>North Marcustown</t>
  </si>
  <si>
    <t>USA, Germany, UAE</t>
  </si>
  <si>
    <t>Future-proofed multimedia throughput</t>
  </si>
  <si>
    <t>East Michaelborough</t>
  </si>
  <si>
    <t>Mandatory scalable focus group</t>
  </si>
  <si>
    <t>UAE, USA, Germany</t>
  </si>
  <si>
    <t>Horizontal user-facing secured line</t>
  </si>
  <si>
    <t>Amyshire</t>
  </si>
  <si>
    <t>Multi-tiered non-volatile hardware</t>
  </si>
  <si>
    <t>Davismouth</t>
  </si>
  <si>
    <t>Digitized client-driven hub</t>
  </si>
  <si>
    <t>Mccannville</t>
  </si>
  <si>
    <t>Exclusive asymmetric workforce</t>
  </si>
  <si>
    <t>Newtonborough</t>
  </si>
  <si>
    <t>Networked optimizing function</t>
  </si>
  <si>
    <t>Andrewland</t>
  </si>
  <si>
    <t>Optimized empowering challenge</t>
  </si>
  <si>
    <t>Polarized human-resource instruction set</t>
  </si>
  <si>
    <t>Josephburgh</t>
  </si>
  <si>
    <t>Devolved bi-directional collaboration</t>
  </si>
  <si>
    <t>Mcdowellfurt</t>
  </si>
  <si>
    <t>Extended cohesive protocol</t>
  </si>
  <si>
    <t>New Coreyport</t>
  </si>
  <si>
    <t>Digitized stable analyzer</t>
  </si>
  <si>
    <t>Reneeburgh</t>
  </si>
  <si>
    <t>Up-sized bifurcated instruction set</t>
  </si>
  <si>
    <t>Lake Joshuaberg</t>
  </si>
  <si>
    <t>UK, USA, Japan</t>
  </si>
  <si>
    <t>Upgradable multimedia database</t>
  </si>
  <si>
    <t>Sandramouth</t>
  </si>
  <si>
    <t>Organized demand-driven attitude</t>
  </si>
  <si>
    <t>Jenkinsbury</t>
  </si>
  <si>
    <t>Visionary client-server migration</t>
  </si>
  <si>
    <t>Lake Steven</t>
  </si>
  <si>
    <t>Universal bi-directional workforce</t>
  </si>
  <si>
    <t>Lake Kayla</t>
  </si>
  <si>
    <t>Reverse-engineered system-worthy system engine</t>
  </si>
  <si>
    <t>Munozmouth</t>
  </si>
  <si>
    <t>Optimized dedicated frame</t>
  </si>
  <si>
    <t>North Jodi</t>
  </si>
  <si>
    <t>China, USA, UK</t>
  </si>
  <si>
    <t>Fundamental 5thgeneration solution</t>
  </si>
  <si>
    <t>Assimilated disintermediate software</t>
  </si>
  <si>
    <t>Mooreview</t>
  </si>
  <si>
    <t>Stand-alone explicit focus group</t>
  </si>
  <si>
    <t>East Ericfurt</t>
  </si>
  <si>
    <t>Synergistic mission-critical protocol</t>
  </si>
  <si>
    <t>Port Marymouth</t>
  </si>
  <si>
    <t>Extended executive challenge</t>
  </si>
  <si>
    <t>Pruittton</t>
  </si>
  <si>
    <t>Enhanced 5thgeneration implementation</t>
  </si>
  <si>
    <t>South Kim</t>
  </si>
  <si>
    <t>Seamless methodical task-force</t>
  </si>
  <si>
    <t>Myersmouth</t>
  </si>
  <si>
    <t>Operative coherent customer loyalty</t>
  </si>
  <si>
    <t>Andrealand</t>
  </si>
  <si>
    <t>Team-oriented cohesive orchestration</t>
  </si>
  <si>
    <t>Port Derekshire</t>
  </si>
  <si>
    <t>Triple-buffered uniform hub</t>
  </si>
  <si>
    <t>West Samanthastad</t>
  </si>
  <si>
    <t>Organic 24/7 superstructure</t>
  </si>
  <si>
    <t>New Curtisbury</t>
  </si>
  <si>
    <t>Implemented grid-enabled model</t>
  </si>
  <si>
    <t>Kellyberg</t>
  </si>
  <si>
    <t>Assimilated incremental frame</t>
  </si>
  <si>
    <t>Johnburgh</t>
  </si>
  <si>
    <t>Sharable discrete alliance</t>
  </si>
  <si>
    <t>Bradleyborough</t>
  </si>
  <si>
    <t>Organic incremental toolset</t>
  </si>
  <si>
    <t>Brendaton</t>
  </si>
  <si>
    <t>Organized transitional core</t>
  </si>
  <si>
    <t>North Harold</t>
  </si>
  <si>
    <t>Expanded mobile hub</t>
  </si>
  <si>
    <t>Summersburgh</t>
  </si>
  <si>
    <t>Up-sized user-facing success</t>
  </si>
  <si>
    <t>Billytown</t>
  </si>
  <si>
    <t>Re-engineered bifurcated secured line</t>
  </si>
  <si>
    <t>Profit-focused asymmetric projection</t>
  </si>
  <si>
    <t>Lake Julia</t>
  </si>
  <si>
    <t>France, UK, USA</t>
  </si>
  <si>
    <t>Diverse contextually-based Graphical User Interface</t>
  </si>
  <si>
    <t>Japan, China, UK</t>
  </si>
  <si>
    <t>Versatile high-level hardware</t>
  </si>
  <si>
    <t>Tonymouth</t>
  </si>
  <si>
    <t>Configurable bottom-line matrices</t>
  </si>
  <si>
    <t>North Diane</t>
  </si>
  <si>
    <t>Optimized holistic workforce</t>
  </si>
  <si>
    <t>Smithchester</t>
  </si>
  <si>
    <t>Object-based multimedia orchestration</t>
  </si>
  <si>
    <t>Gordonstad</t>
  </si>
  <si>
    <t>Total regional project</t>
  </si>
  <si>
    <t>South Kyle</t>
  </si>
  <si>
    <t>Object-based exuding alliance</t>
  </si>
  <si>
    <t>South Daisyfurt</t>
  </si>
  <si>
    <t>China, India, Japan</t>
  </si>
  <si>
    <t>Secured actuating analyzer</t>
  </si>
  <si>
    <t>West Staceyton</t>
  </si>
  <si>
    <t>Advanced well-modulated solution</t>
  </si>
  <si>
    <t>Turnerhaven</t>
  </si>
  <si>
    <t>Universal explicit synergy</t>
  </si>
  <si>
    <t>Up-sized encompassing concept</t>
  </si>
  <si>
    <t>Lake Daniel</t>
  </si>
  <si>
    <t>Decentralized hybrid throughput</t>
  </si>
  <si>
    <t>Benjaminland</t>
  </si>
  <si>
    <t>Phased zero tolerance concept</t>
  </si>
  <si>
    <t>Leonardburgh</t>
  </si>
  <si>
    <t>Multi-layered optimizing info-mediaries</t>
  </si>
  <si>
    <t>Weeksport</t>
  </si>
  <si>
    <t>China, UAE, Russia</t>
  </si>
  <si>
    <t>Triple-buffered holistic complexity</t>
  </si>
  <si>
    <t>Jasontown</t>
  </si>
  <si>
    <t>Triple-buffered bifurcated monitoring</t>
  </si>
  <si>
    <t>Michellefort</t>
  </si>
  <si>
    <t>Right-sized zero administration infrastructure</t>
  </si>
  <si>
    <t>West Thomashaven</t>
  </si>
  <si>
    <t>Synchronized intangible forecast</t>
  </si>
  <si>
    <t>Sandrabury</t>
  </si>
  <si>
    <t>Balanced static open system</t>
  </si>
  <si>
    <t>Lake Bryanchester</t>
  </si>
  <si>
    <t>Fundamental bifurcated secured line</t>
  </si>
  <si>
    <t>Mcculloughtown</t>
  </si>
  <si>
    <t>User-friendly disintermediate open system</t>
  </si>
  <si>
    <t>Emilyfort</t>
  </si>
  <si>
    <t>Managed methodical algorithm</t>
  </si>
  <si>
    <t>Business-focused multimedia access</t>
  </si>
  <si>
    <t>Jenniferstad</t>
  </si>
  <si>
    <t>Future-proofed heuristic process improvement</t>
  </si>
  <si>
    <t>South Angela</t>
  </si>
  <si>
    <t>Exclusive exuding adapter</t>
  </si>
  <si>
    <t>Brianchester</t>
  </si>
  <si>
    <t>Compatible holistic success</t>
  </si>
  <si>
    <t>West Timothyshire</t>
  </si>
  <si>
    <t>Automated 6thgeneration core</t>
  </si>
  <si>
    <t>Jessicaville</t>
  </si>
  <si>
    <t>Customizable zero administration open architecture</t>
  </si>
  <si>
    <t>Michaelshire</t>
  </si>
  <si>
    <t>France, Israel, China</t>
  </si>
  <si>
    <t>Vision-oriented disintermediate infrastructure</t>
  </si>
  <si>
    <t>India, UAE, China</t>
  </si>
  <si>
    <t>Future-proofed regional algorithm</t>
  </si>
  <si>
    <t>East Jameshaven</t>
  </si>
  <si>
    <t>Polarized global product</t>
  </si>
  <si>
    <t>Lake Vincent</t>
  </si>
  <si>
    <t>Future-proofed system-worthy extranet</t>
  </si>
  <si>
    <t>Lake Jamie</t>
  </si>
  <si>
    <t>Centralized transitional product</t>
  </si>
  <si>
    <t>Port Matthewport</t>
  </si>
  <si>
    <t>User-friendly maximized approach</t>
  </si>
  <si>
    <t>West Mallory</t>
  </si>
  <si>
    <t>Synchronized interactive architecture</t>
  </si>
  <si>
    <t>Port Biancamouth</t>
  </si>
  <si>
    <t>Sharable empowering website</t>
  </si>
  <si>
    <t>Rodriguezborough</t>
  </si>
  <si>
    <t>Triple-buffered scalable open system</t>
  </si>
  <si>
    <t>Markside</t>
  </si>
  <si>
    <t>Object-based real-time model</t>
  </si>
  <si>
    <t>Newmantown</t>
  </si>
  <si>
    <t>Persevering 24/7 algorithm</t>
  </si>
  <si>
    <t>Lake Ricky</t>
  </si>
  <si>
    <t>Integrated methodical circuit</t>
  </si>
  <si>
    <t>West Madeline</t>
  </si>
  <si>
    <t>Universal 6thgeneration policy</t>
  </si>
  <si>
    <t>Port Donald</t>
  </si>
  <si>
    <t>Multi-tiered holistic array</t>
  </si>
  <si>
    <t>Ericstad</t>
  </si>
  <si>
    <t>Fundamental scalable Graphic Interface</t>
  </si>
  <si>
    <t>Port Sandraland</t>
  </si>
  <si>
    <t>Innovative high-level approach</t>
  </si>
  <si>
    <t>East Stephaniefurt</t>
  </si>
  <si>
    <t>Cloned multimedia array</t>
  </si>
  <si>
    <t>West Judithtown</t>
  </si>
  <si>
    <t>Universal full-range alliance</t>
  </si>
  <si>
    <t>South Jamieborough</t>
  </si>
  <si>
    <t>UAE, France, USA</t>
  </si>
  <si>
    <t>Open-architected multi-state solution</t>
  </si>
  <si>
    <t>North Jon</t>
  </si>
  <si>
    <t>Business-focused value-added utilization</t>
  </si>
  <si>
    <t>South Robertburgh</t>
  </si>
  <si>
    <t>Sharable intangible initiative</t>
  </si>
  <si>
    <t>New Marytown</t>
  </si>
  <si>
    <t>Centralized composite architecture</t>
  </si>
  <si>
    <t>Johnnyberg</t>
  </si>
  <si>
    <t>Total encompassing conglomeration</t>
  </si>
  <si>
    <t>Sandraburgh</t>
  </si>
  <si>
    <t>Reduced real-time throughput</t>
  </si>
  <si>
    <t>Herreraton</t>
  </si>
  <si>
    <t>Horizontal system-worthy approach</t>
  </si>
  <si>
    <t>Allenland</t>
  </si>
  <si>
    <t>Switchable scalable service-desk</t>
  </si>
  <si>
    <t>Baileyland</t>
  </si>
  <si>
    <t>Total multi-tasking solution</t>
  </si>
  <si>
    <t>Port Christopherton</t>
  </si>
  <si>
    <t>India, UAE, Japan</t>
  </si>
  <si>
    <t>Configurable multi-tasking info-mediaries</t>
  </si>
  <si>
    <t>Mitchellbury</t>
  </si>
  <si>
    <t>Pre-emptive real-time architecture</t>
  </si>
  <si>
    <t>Implemented eco-centric architecture</t>
  </si>
  <si>
    <t>Configurable empowering paradigm</t>
  </si>
  <si>
    <t>Jasonhaven</t>
  </si>
  <si>
    <t>India, UAE, USA</t>
  </si>
  <si>
    <t>User-friendly zero administration contingency</t>
  </si>
  <si>
    <t>Christensentown</t>
  </si>
  <si>
    <t>Triple-buffered executive parallelism</t>
  </si>
  <si>
    <t>Cherylport</t>
  </si>
  <si>
    <t>Mandatory value-added intranet</t>
  </si>
  <si>
    <t>Object-based encompassing database</t>
  </si>
  <si>
    <t>Team-oriented explicit application</t>
  </si>
  <si>
    <t>Port Christinaton</t>
  </si>
  <si>
    <t>Multi-tiered directional toolset</t>
  </si>
  <si>
    <t>New Noah</t>
  </si>
  <si>
    <t>Mandatory uniform success</t>
  </si>
  <si>
    <t>New Lauren</t>
  </si>
  <si>
    <t>Multi-layered zero-defect hub</t>
  </si>
  <si>
    <t>Bookerville</t>
  </si>
  <si>
    <t>Function-based optimizing capacity</t>
  </si>
  <si>
    <t>East Lydia</t>
  </si>
  <si>
    <t>Mandatory grid-enabled orchestration</t>
  </si>
  <si>
    <t>North Luischester</t>
  </si>
  <si>
    <t>Open-architected demand-driven attitude</t>
  </si>
  <si>
    <t>West Daniel</t>
  </si>
  <si>
    <t>Enterprise-wide holistic open system</t>
  </si>
  <si>
    <t>West Ashley</t>
  </si>
  <si>
    <t>Pre-emptive multi-tasking Graphical User Interface</t>
  </si>
  <si>
    <t>Stephaniestad</t>
  </si>
  <si>
    <t>Universal composite functionalities</t>
  </si>
  <si>
    <t>West Tara</t>
  </si>
  <si>
    <t>Open-source homogeneous emulation</t>
  </si>
  <si>
    <t>Right-sized human-resource methodology</t>
  </si>
  <si>
    <t>South Adamborough</t>
  </si>
  <si>
    <t>UAE, China, UK</t>
  </si>
  <si>
    <t>Reactive local open architecture</t>
  </si>
  <si>
    <t>Bonniehaven</t>
  </si>
  <si>
    <t>Customizable dedicated process improvement</t>
  </si>
  <si>
    <t>Lake Christopher</t>
  </si>
  <si>
    <t>Stand-alone coherent info-mediaries</t>
  </si>
  <si>
    <t>Hoville</t>
  </si>
  <si>
    <t>Assimilated coherent task-force</t>
  </si>
  <si>
    <t>Port Anaburgh</t>
  </si>
  <si>
    <t>Fundamental eco-centric software</t>
  </si>
  <si>
    <t>South Rebeccahaven</t>
  </si>
  <si>
    <t>Multi-layered bi-directional functionalities</t>
  </si>
  <si>
    <t>West Erik</t>
  </si>
  <si>
    <t>Business-focused foreground groupware</t>
  </si>
  <si>
    <t>Barnettview</t>
  </si>
  <si>
    <t>Organized holistic neural-net</t>
  </si>
  <si>
    <t>Edwardberg</t>
  </si>
  <si>
    <t>Virtual next generation secured line</t>
  </si>
  <si>
    <t>Phillipville</t>
  </si>
  <si>
    <t>Reverse-engineered 4thgeneration application</t>
  </si>
  <si>
    <t>Turnerville</t>
  </si>
  <si>
    <t>Cross-platform secondary leverage</t>
  </si>
  <si>
    <t>West Shanetown</t>
  </si>
  <si>
    <t>Optional multi-state Local Area Network</t>
  </si>
  <si>
    <t>Thompsonborough</t>
  </si>
  <si>
    <t>Visionary systematic software</t>
  </si>
  <si>
    <t>Port Alyssa</t>
  </si>
  <si>
    <t>Profit-focused fault-tolerant focus group</t>
  </si>
  <si>
    <t>South Daniel</t>
  </si>
  <si>
    <t>Customer-focused object-oriented software</t>
  </si>
  <si>
    <t>West Stevenfort</t>
  </si>
  <si>
    <t>Seamless context-sensitive interface</t>
  </si>
  <si>
    <t>North Gailmouth</t>
  </si>
  <si>
    <t>Fully-configurable local methodology</t>
  </si>
  <si>
    <t>New Alexhaven</t>
  </si>
  <si>
    <t>Optional radical circuit</t>
  </si>
  <si>
    <t>Port Christopher</t>
  </si>
  <si>
    <t>Israel, India, UAE</t>
  </si>
  <si>
    <t>Front-line secondary capacity</t>
  </si>
  <si>
    <t>Tiffanyview</t>
  </si>
  <si>
    <t>Digitized full-range moratorium</t>
  </si>
  <si>
    <t>Jonesstad</t>
  </si>
  <si>
    <t>UAE, UK, Russia</t>
  </si>
  <si>
    <t>Quality-focused eco-centric product</t>
  </si>
  <si>
    <t>Port Elizabethberg</t>
  </si>
  <si>
    <t>Assimilated holistic neural-net</t>
  </si>
  <si>
    <t>South Jacobland</t>
  </si>
  <si>
    <t>Advanced web-enabled Local Area Network</t>
  </si>
  <si>
    <t>Lucasland</t>
  </si>
  <si>
    <t>Organic interactive open architecture</t>
  </si>
  <si>
    <t>East Curtistown</t>
  </si>
  <si>
    <t>Future-proofed bifurcated pricing structure</t>
  </si>
  <si>
    <t>Port Andreafurt</t>
  </si>
  <si>
    <t>Stand-alone systemic artificial intelligence</t>
  </si>
  <si>
    <t>Jonesfurt</t>
  </si>
  <si>
    <t>Secured homogeneous alliance</t>
  </si>
  <si>
    <t>Victoriaside</t>
  </si>
  <si>
    <t>Organic zero-defect methodology</t>
  </si>
  <si>
    <t>Acevedoburgh</t>
  </si>
  <si>
    <t>Fully-configurable real-time website</t>
  </si>
  <si>
    <t>Josephbury</t>
  </si>
  <si>
    <t>Optimized neutral functionalities</t>
  </si>
  <si>
    <t>North Deborah</t>
  </si>
  <si>
    <t>Synergistic systematic Graphic Interface</t>
  </si>
  <si>
    <t>Lake Bobbyview</t>
  </si>
  <si>
    <t>Decentralized intangible capacity</t>
  </si>
  <si>
    <t>Multi-channeled neutral capacity</t>
  </si>
  <si>
    <t>Lambertside</t>
  </si>
  <si>
    <t>Realigned value-added hardware</t>
  </si>
  <si>
    <t>New Malik</t>
  </si>
  <si>
    <t>Open-source asymmetric solution</t>
  </si>
  <si>
    <t>Customer-focused non-volatile website</t>
  </si>
  <si>
    <t>Benjaminmouth</t>
  </si>
  <si>
    <t>China, India, Germany</t>
  </si>
  <si>
    <t>Ergonomic explicit structure</t>
  </si>
  <si>
    <t>Barnesbury</t>
  </si>
  <si>
    <t>Expanded dedicated attitude</t>
  </si>
  <si>
    <t>Lake Randallshire</t>
  </si>
  <si>
    <t>Re-contextualized zero administration monitoring</t>
  </si>
  <si>
    <t>New Ashleyside</t>
  </si>
  <si>
    <t>Grass-roots 3rdgeneration standardization</t>
  </si>
  <si>
    <t>West Tony</t>
  </si>
  <si>
    <t>Progressive demand-driven productivity</t>
  </si>
  <si>
    <t>Hernandezview</t>
  </si>
  <si>
    <t>Proactive needs-based extranet</t>
  </si>
  <si>
    <t>New Lisastad</t>
  </si>
  <si>
    <t>Right-sized bandwidth-monitored leverage</t>
  </si>
  <si>
    <t>Lake Tiffany</t>
  </si>
  <si>
    <t>Optimized encompassing Graphical User Interface</t>
  </si>
  <si>
    <t>West Jamesside</t>
  </si>
  <si>
    <t>Object-based responsive firmware</t>
  </si>
  <si>
    <t>Tylerberg</t>
  </si>
  <si>
    <t>Face-to-face multimedia time-frame</t>
  </si>
  <si>
    <t>New Jeffrey</t>
  </si>
  <si>
    <t>India, Japan, UAE</t>
  </si>
  <si>
    <t>Virtual executive forecast</t>
  </si>
  <si>
    <t>Up-sized multimedia data-warehouse</t>
  </si>
  <si>
    <t>Juliebury</t>
  </si>
  <si>
    <t>Israel, India, Germany</t>
  </si>
  <si>
    <t>Down-sized encompassing synergy</t>
  </si>
  <si>
    <t>Phased even-keeled open architecture</t>
  </si>
  <si>
    <t>New David</t>
  </si>
  <si>
    <t>Triple-buffered local middleware</t>
  </si>
  <si>
    <t>Moralesbury</t>
  </si>
  <si>
    <t>Re-contextualized logistical protocol</t>
  </si>
  <si>
    <t>Synergistic optimizing matrix</t>
  </si>
  <si>
    <t>South Laurie</t>
  </si>
  <si>
    <t>UAE, Germany, China</t>
  </si>
  <si>
    <t>Switchable impactful pricing structure</t>
  </si>
  <si>
    <t>Port Catherineland</t>
  </si>
  <si>
    <t>Persevering hybrid solution</t>
  </si>
  <si>
    <t>East Rebeccaborough</t>
  </si>
  <si>
    <t>Cross-platform 3rdgeneration customer loyalty</t>
  </si>
  <si>
    <t>Leroyton</t>
  </si>
  <si>
    <t>Synchronized next generation contingency</t>
  </si>
  <si>
    <t>Port Veronica</t>
  </si>
  <si>
    <t>Implemented dynamic access</t>
  </si>
  <si>
    <t>Jeremymouth</t>
  </si>
  <si>
    <t>Inverse secondary leverage</t>
  </si>
  <si>
    <t>Beverlybury</t>
  </si>
  <si>
    <t>Multi-channeled non-volatile analyzer</t>
  </si>
  <si>
    <t>East Ernestton</t>
  </si>
  <si>
    <t>Reactive 24/7 circuit</t>
  </si>
  <si>
    <t>Whitebury</t>
  </si>
  <si>
    <t>Reverse-engineered secondary solution</t>
  </si>
  <si>
    <t>South Jessica</t>
  </si>
  <si>
    <t>Optional modular budgetary management</t>
  </si>
  <si>
    <t>Annstad</t>
  </si>
  <si>
    <t>Devolved national Internet solution</t>
  </si>
  <si>
    <t>Lake Madison</t>
  </si>
  <si>
    <t>Front-line heuristic customer loyalty</t>
  </si>
  <si>
    <t>Patrickville</t>
  </si>
  <si>
    <t>Extended multi-state throughput</t>
  </si>
  <si>
    <t>Davidside</t>
  </si>
  <si>
    <t>Re-contextualized mission-critical success</t>
  </si>
  <si>
    <t>Shanestad</t>
  </si>
  <si>
    <t>Reactive empowering service-desk</t>
  </si>
  <si>
    <t>Patelshire</t>
  </si>
  <si>
    <t>Re-engineered fresh-thinking middleware</t>
  </si>
  <si>
    <t>Upgradable mission-critical system engine</t>
  </si>
  <si>
    <t>Lyonsview</t>
  </si>
  <si>
    <t>Secured bandwidth-monitored encryption</t>
  </si>
  <si>
    <t>Reyeshaven</t>
  </si>
  <si>
    <t>Ergonomic holistic website</t>
  </si>
  <si>
    <t>West Tyler</t>
  </si>
  <si>
    <t>Quality-focused static hierarchy</t>
  </si>
  <si>
    <t>Port Ritaberg</t>
  </si>
  <si>
    <t>Profit-focused empowering synergy</t>
  </si>
  <si>
    <t>Jessicaside</t>
  </si>
  <si>
    <t>Sharable upward-trending benchmark</t>
  </si>
  <si>
    <t>East Jasmine</t>
  </si>
  <si>
    <t>Triple-buffered didactic synergy</t>
  </si>
  <si>
    <t>South Derek</t>
  </si>
  <si>
    <t>Right-sized dynamic algorithm</t>
  </si>
  <si>
    <t>Jonathonmouth</t>
  </si>
  <si>
    <t>Front-line analyzing encoding</t>
  </si>
  <si>
    <t>New Andrew</t>
  </si>
  <si>
    <t>Decentralized dynamic interface</t>
  </si>
  <si>
    <t>Tonyport</t>
  </si>
  <si>
    <t>Monitored disintermediate adapter</t>
  </si>
  <si>
    <t>East Nathanton</t>
  </si>
  <si>
    <t>Optimized encompassing budgetary management</t>
  </si>
  <si>
    <t>Lake Barry</t>
  </si>
  <si>
    <t>Decentralized actuating budgetary management</t>
  </si>
  <si>
    <t>Carpenterbury</t>
  </si>
  <si>
    <t>Inverse web-enabled installation</t>
  </si>
  <si>
    <t>Adamsfort</t>
  </si>
  <si>
    <t>Digitized client-server encryption</t>
  </si>
  <si>
    <t>East John</t>
  </si>
  <si>
    <t>Quality-focused intermediate throughput</t>
  </si>
  <si>
    <t>Angelicaview</t>
  </si>
  <si>
    <t>Open-source fresh-thinking infrastructure</t>
  </si>
  <si>
    <t>Andrewville</t>
  </si>
  <si>
    <t>Persevering mobile initiative</t>
  </si>
  <si>
    <t>Hermanchester</t>
  </si>
  <si>
    <t>User-centric mobile secured line</t>
  </si>
  <si>
    <t>East Stephanie</t>
  </si>
  <si>
    <t>Team-oriented asymmetric contingency</t>
  </si>
  <si>
    <t>North Michaelville</t>
  </si>
  <si>
    <t>Reverse-engineered bifurcated conglomeration</t>
  </si>
  <si>
    <t>New Lisa</t>
  </si>
  <si>
    <t>Re-contextualized object-oriented portal</t>
  </si>
  <si>
    <t>Kennethport</t>
  </si>
  <si>
    <t>Horizontal client-driven access</t>
  </si>
  <si>
    <t>Norrisburgh</t>
  </si>
  <si>
    <t>Business-focused needs-based throughput</t>
  </si>
  <si>
    <t>West Brookefurt</t>
  </si>
  <si>
    <t>Down-sized explicit Internet solution</t>
  </si>
  <si>
    <t>North Ian</t>
  </si>
  <si>
    <t>Realigned didactic utilization</t>
  </si>
  <si>
    <t>Markhaven</t>
  </si>
  <si>
    <t>Diverse exuding open system</t>
  </si>
  <si>
    <t>Pricehaven</t>
  </si>
  <si>
    <t>Progressive system-worthy ability</t>
  </si>
  <si>
    <t>Keyton</t>
  </si>
  <si>
    <t>Profit-focused 24hour matrices</t>
  </si>
  <si>
    <t>Hartmanview</t>
  </si>
  <si>
    <t>Organic solution-oriented orchestration</t>
  </si>
  <si>
    <t>Patriciachester</t>
  </si>
  <si>
    <t>Vision-oriented 6thgeneration alliance</t>
  </si>
  <si>
    <t>Patelbury</t>
  </si>
  <si>
    <t>Quality-focused high-level process improvement</t>
  </si>
  <si>
    <t>Port Jeremiah</t>
  </si>
  <si>
    <t>Self-enabling empowering paradigm</t>
  </si>
  <si>
    <t>Taylorchester</t>
  </si>
  <si>
    <t>Streamlined executive knowledgebase</t>
  </si>
  <si>
    <t>Christopherstad</t>
  </si>
  <si>
    <t>Assimilated hybrid challenge</t>
  </si>
  <si>
    <t>Davisfurt</t>
  </si>
  <si>
    <t>Israel, Germany, China</t>
  </si>
  <si>
    <t>Organized responsive paradigm</t>
  </si>
  <si>
    <t>North Andrea</t>
  </si>
  <si>
    <t>Down-sized 24/7 website</t>
  </si>
  <si>
    <t>New Juan</t>
  </si>
  <si>
    <t>Cloned bottom-line parallelism</t>
  </si>
  <si>
    <t>East Pattyville</t>
  </si>
  <si>
    <t>India, Russia, UAE</t>
  </si>
  <si>
    <t>Profit-focused fresh-thinking secured line</t>
  </si>
  <si>
    <t>Olsenview</t>
  </si>
  <si>
    <t>UAE, USA, Japan</t>
  </si>
  <si>
    <t>Multi-channeled 5thgeneration policy</t>
  </si>
  <si>
    <t>East Steven</t>
  </si>
  <si>
    <t>Re-contextualized solution-oriented open architecture</t>
  </si>
  <si>
    <t>New Philipside</t>
  </si>
  <si>
    <t>Virtual regional policy</t>
  </si>
  <si>
    <t>Lake Elizabethfort</t>
  </si>
  <si>
    <t>Phased holistic throughput</t>
  </si>
  <si>
    <t>Lake Jenna</t>
  </si>
  <si>
    <t>Devolved 4thgeneration ability</t>
  </si>
  <si>
    <t>Katherinehaven</t>
  </si>
  <si>
    <t>Open-source 6thgeneration extranet</t>
  </si>
  <si>
    <t>Garciaborough</t>
  </si>
  <si>
    <t>USA, Japan, Germany</t>
  </si>
  <si>
    <t>Function-based clear-thinking functionalities</t>
  </si>
  <si>
    <t>Tiffanyville</t>
  </si>
  <si>
    <t>Cloned even-keeled concept</t>
  </si>
  <si>
    <t>Michaelstad</t>
  </si>
  <si>
    <t>Progressive empowering array</t>
  </si>
  <si>
    <t>East Michaelport</t>
  </si>
  <si>
    <t>USA, Germany, UK</t>
  </si>
  <si>
    <t>Profound needs-based complexity</t>
  </si>
  <si>
    <t>Weeksside</t>
  </si>
  <si>
    <t>Cross-platform human-resource moratorium</t>
  </si>
  <si>
    <t>Port Omarmouth</t>
  </si>
  <si>
    <t>Multi-layered 24hour adapter</t>
  </si>
  <si>
    <t>Up-sized client-server standardization</t>
  </si>
  <si>
    <t>Deleonland</t>
  </si>
  <si>
    <t>Visionary high-level success</t>
  </si>
  <si>
    <t>New Ashleyport</t>
  </si>
  <si>
    <t>Diverse next generation knowledgebase</t>
  </si>
  <si>
    <t>West Jessicaside</t>
  </si>
  <si>
    <t>Configurable system-worthy knowledge user</t>
  </si>
  <si>
    <t>Christyborough</t>
  </si>
  <si>
    <t>Mandatory grid-enabled concept</t>
  </si>
  <si>
    <t>Lake Taylorfurt</t>
  </si>
  <si>
    <t>Sharable impactful model</t>
  </si>
  <si>
    <t>Lake Andrew</t>
  </si>
  <si>
    <t>Compatible needs-based collaboration</t>
  </si>
  <si>
    <t>Justinmouth</t>
  </si>
  <si>
    <t>France, Russia, UK</t>
  </si>
  <si>
    <t>Virtual bifurcated capacity</t>
  </si>
  <si>
    <t>Lake Angelamouth</t>
  </si>
  <si>
    <t>USA, Russia, Germany</t>
  </si>
  <si>
    <t>Persevering mobile hub</t>
  </si>
  <si>
    <t>South Andrew</t>
  </si>
  <si>
    <t>France, UAE, Russia</t>
  </si>
  <si>
    <t>Organized actuating methodology</t>
  </si>
  <si>
    <t>Lake Christopherview</t>
  </si>
  <si>
    <t>Robust reciprocal monitoring</t>
  </si>
  <si>
    <t>East Pamelaberg</t>
  </si>
  <si>
    <t>De-engineered leadingedge access</t>
  </si>
  <si>
    <t>Bonnieside</t>
  </si>
  <si>
    <t>Secured 3rdgeneration focus group</t>
  </si>
  <si>
    <t>Haroldhaven</t>
  </si>
  <si>
    <t>Synergized heuristic contingency</t>
  </si>
  <si>
    <t>Butlerburgh</t>
  </si>
  <si>
    <t>Polarized directional service-desk</t>
  </si>
  <si>
    <t>New William</t>
  </si>
  <si>
    <t>Realigned attitude-oriented intranet</t>
  </si>
  <si>
    <t>Petersonview</t>
  </si>
  <si>
    <t>Germany, Japan, Russia</t>
  </si>
  <si>
    <t>Business-focused stable time-frame</t>
  </si>
  <si>
    <t>Riceshire</t>
  </si>
  <si>
    <t>Reduced solution-oriented encoding</t>
  </si>
  <si>
    <t>North Toddport</t>
  </si>
  <si>
    <t>Devolved multi-tasking knowledgebase</t>
  </si>
  <si>
    <t>Brookefort</t>
  </si>
  <si>
    <t>France, UAE, China</t>
  </si>
  <si>
    <t>Down-sized motivating methodology</t>
  </si>
  <si>
    <t>North Deborahmouth</t>
  </si>
  <si>
    <t>Diverse well-modulated encoding</t>
  </si>
  <si>
    <t>Osbornborough</t>
  </si>
  <si>
    <t>Extended 3rdgeneration workforce</t>
  </si>
  <si>
    <t>Matthewbury</t>
  </si>
  <si>
    <t>Networked non-volatile groupware</t>
  </si>
  <si>
    <t>Tracymouth</t>
  </si>
  <si>
    <t>Integrated high-level leverage</t>
  </si>
  <si>
    <t>Lake Michael</t>
  </si>
  <si>
    <t>Realigned asymmetric customer loyalty</t>
  </si>
  <si>
    <t>Lake Ian</t>
  </si>
  <si>
    <t>Sharable local interface</t>
  </si>
  <si>
    <t>Campbellmouth</t>
  </si>
  <si>
    <t>UAE, Japan, Israel</t>
  </si>
  <si>
    <t>Organic bottom-line hierarchy</t>
  </si>
  <si>
    <t>Lake Ginahaven</t>
  </si>
  <si>
    <t>Extended cohesive Internet solution</t>
  </si>
  <si>
    <t>Wrightville</t>
  </si>
  <si>
    <t>Seamless foreground knowledge user</t>
  </si>
  <si>
    <t>South Stacyhaven</t>
  </si>
  <si>
    <t>Mandatory high-level Local Area Network</t>
  </si>
  <si>
    <t>East Laceyville</t>
  </si>
  <si>
    <t>Centralized encompassing Local Area Network</t>
  </si>
  <si>
    <t>East Kristina</t>
  </si>
  <si>
    <t>Cross-group scalable workforce</t>
  </si>
  <si>
    <t>New Markstad</t>
  </si>
  <si>
    <t>UAE, Germany, Japan</t>
  </si>
  <si>
    <t>Implemented demand-driven utilization</t>
  </si>
  <si>
    <t>Balanced coherent superstructure</t>
  </si>
  <si>
    <t>Lisahaven</t>
  </si>
  <si>
    <t>Decentralized executive task-force</t>
  </si>
  <si>
    <t>West Eric</t>
  </si>
  <si>
    <t>Persistent tangible installation</t>
  </si>
  <si>
    <t>Whitefurt</t>
  </si>
  <si>
    <t>Diverse modular capacity</t>
  </si>
  <si>
    <t>Lake Jose</t>
  </si>
  <si>
    <t>User-friendly stable matrices</t>
  </si>
  <si>
    <t>West Jerryhaven</t>
  </si>
  <si>
    <t>Intuitive 4thgeneration forecast</t>
  </si>
  <si>
    <t>New Kimberlymouth</t>
  </si>
  <si>
    <t>France, Germany, Russia</t>
  </si>
  <si>
    <t>Realigned multimedia infrastructure</t>
  </si>
  <si>
    <t>East Andrewburgh</t>
  </si>
  <si>
    <t>Versatile directional matrices</t>
  </si>
  <si>
    <t>Re-engineered impactful software</t>
  </si>
  <si>
    <t>North Amandaville</t>
  </si>
  <si>
    <t>Japan, France, UAE</t>
  </si>
  <si>
    <t>Fully-configurable zero-defect firmware</t>
  </si>
  <si>
    <t>East Nathanview</t>
  </si>
  <si>
    <t>Up-sized local hierarchy</t>
  </si>
  <si>
    <t>Seamless interactive toolset</t>
  </si>
  <si>
    <t>East Ginafort</t>
  </si>
  <si>
    <t>Adaptive zero tolerance groupware</t>
  </si>
  <si>
    <t>Mossbury</t>
  </si>
  <si>
    <t>Cloned hybrid orchestration</t>
  </si>
  <si>
    <t>Richardsonton</t>
  </si>
  <si>
    <t>Object-based zero tolerance knowledgebase</t>
  </si>
  <si>
    <t>North Christinaton</t>
  </si>
  <si>
    <t>Monitored content-based open system</t>
  </si>
  <si>
    <t>South Keithberg</t>
  </si>
  <si>
    <t>Object-based responsive time-frame</t>
  </si>
  <si>
    <t>South Kerry</t>
  </si>
  <si>
    <t>India, USA, UK</t>
  </si>
  <si>
    <t>Managed stable Graphic Interface</t>
  </si>
  <si>
    <t>Lake Deborahborough</t>
  </si>
  <si>
    <t>Digitized explicit functionalities</t>
  </si>
  <si>
    <t>Salazarstad</t>
  </si>
  <si>
    <t>Expanded encompassing open system</t>
  </si>
  <si>
    <t>North Cherylhaven</t>
  </si>
  <si>
    <t>Enterprise-wide asymmetric model</t>
  </si>
  <si>
    <t>East Alex</t>
  </si>
  <si>
    <t>Implemented dynamic workforce</t>
  </si>
  <si>
    <t>Hallport</t>
  </si>
  <si>
    <t>Universal homogeneous migration</t>
  </si>
  <si>
    <t>North Gregoryhaven</t>
  </si>
  <si>
    <t>Multi-channeled radical archive</t>
  </si>
  <si>
    <t>Optional 3rdgeneration parallelism</t>
  </si>
  <si>
    <t>Annaport</t>
  </si>
  <si>
    <t>Open-source optimal Graphic Interface</t>
  </si>
  <si>
    <t>Laurenview</t>
  </si>
  <si>
    <t>Fully-configurable zero administration service-desk</t>
  </si>
  <si>
    <t>Jeffview</t>
  </si>
  <si>
    <t>Implemented system-worthy alliance</t>
  </si>
  <si>
    <t>North Kristin</t>
  </si>
  <si>
    <t>Persistent hybrid product</t>
  </si>
  <si>
    <t>West Joy</t>
  </si>
  <si>
    <t>Compatible empowering framework</t>
  </si>
  <si>
    <t>Laneview</t>
  </si>
  <si>
    <t>Pre-emptive methodical neural-net</t>
  </si>
  <si>
    <t>Greentown</t>
  </si>
  <si>
    <t>Realigned incremental customer loyalty</t>
  </si>
  <si>
    <t>Port Thomasshire</t>
  </si>
  <si>
    <t>Extended zero-defect process improvement</t>
  </si>
  <si>
    <t>Pamelachester</t>
  </si>
  <si>
    <t>France, UK, UAE</t>
  </si>
  <si>
    <t>Optimized fault-tolerant throughput</t>
  </si>
  <si>
    <t>North Luke</t>
  </si>
  <si>
    <t>Persistent tangible Graphic Interface</t>
  </si>
  <si>
    <t>Chenview</t>
  </si>
  <si>
    <t>Switchable analyzing solution</t>
  </si>
  <si>
    <t>Port James</t>
  </si>
  <si>
    <t>Intuitive discrete pricing structure</t>
  </si>
  <si>
    <t>Kimville</t>
  </si>
  <si>
    <t>Decentralized solution-oriented groupware</t>
  </si>
  <si>
    <t>North Sherryville</t>
  </si>
  <si>
    <t>Fully-configurable foreground matrix</t>
  </si>
  <si>
    <t>Centralized modular conglomeration</t>
  </si>
  <si>
    <t>Port Andreaview</t>
  </si>
  <si>
    <t>Right-sized human-resource knowledgebase</t>
  </si>
  <si>
    <t>South Jodimouth</t>
  </si>
  <si>
    <t>Total clear-thinking infrastructure</t>
  </si>
  <si>
    <t>Jimeneztown</t>
  </si>
  <si>
    <t>India, China, Russia</t>
  </si>
  <si>
    <t>Centralized background workforce</t>
  </si>
  <si>
    <t>North Valeriefurt</t>
  </si>
  <si>
    <t>Right-sized impactful Graphical User Interface</t>
  </si>
  <si>
    <t>Bobbyfort</t>
  </si>
  <si>
    <t>Sharable human-resource interface</t>
  </si>
  <si>
    <t>Lake Erica</t>
  </si>
  <si>
    <t>Multi-tiered tertiary flexibility</t>
  </si>
  <si>
    <t>Connieton</t>
  </si>
  <si>
    <t>Centralized empowering projection</t>
  </si>
  <si>
    <t>Rojasshire</t>
  </si>
  <si>
    <t>Down-sized scalable array</t>
  </si>
  <si>
    <t>Kingmouth</t>
  </si>
  <si>
    <t>Compatible fresh-thinking moratorium</t>
  </si>
  <si>
    <t>India, France, Japan</t>
  </si>
  <si>
    <t>Re-contextualized encompassing methodology</t>
  </si>
  <si>
    <t>East Jerome</t>
  </si>
  <si>
    <t>Fully-configurable 3rdgeneration projection</t>
  </si>
  <si>
    <t>Harperside</t>
  </si>
  <si>
    <t>Enhanced well-modulated model</t>
  </si>
  <si>
    <t>Huberhaven</t>
  </si>
  <si>
    <t>Self-enabling national project</t>
  </si>
  <si>
    <t>Jessicaton</t>
  </si>
  <si>
    <t>Diverse mission-critical capability</t>
  </si>
  <si>
    <t>Team-oriented asynchronous forecast</t>
  </si>
  <si>
    <t>West Elizabethchester</t>
  </si>
  <si>
    <t>UAE, Japan, China</t>
  </si>
  <si>
    <t>Customer-focused explicit synergy</t>
  </si>
  <si>
    <t>Kevinburgh</t>
  </si>
  <si>
    <t>Diverse high-level orchestration</t>
  </si>
  <si>
    <t>North Davidhaven</t>
  </si>
  <si>
    <t>Open-architected context-sensitive knowledge user</t>
  </si>
  <si>
    <t>Johnberg</t>
  </si>
  <si>
    <t>India, UK, Germany</t>
  </si>
  <si>
    <t>Enhanced zero administration methodology</t>
  </si>
  <si>
    <t>Assimilated system-worthy product</t>
  </si>
  <si>
    <t>Lake Kevintown</t>
  </si>
  <si>
    <t>Total object-oriented budgetary management</t>
  </si>
  <si>
    <t>Fully-configurable responsive projection</t>
  </si>
  <si>
    <t>Kevinview</t>
  </si>
  <si>
    <t>Team-oriented 6thgeneration software</t>
  </si>
  <si>
    <t>Combsside</t>
  </si>
  <si>
    <t>Virtual transitional conglomeration</t>
  </si>
  <si>
    <t>North Barbaraberg</t>
  </si>
  <si>
    <t>Quality-focused radical infrastructure</t>
  </si>
  <si>
    <t>Integrated non-volatile attitude</t>
  </si>
  <si>
    <t>South Laurastad</t>
  </si>
  <si>
    <t>Optimized non-volatile capability</t>
  </si>
  <si>
    <t>Christinaville</t>
  </si>
  <si>
    <t>Optimized zero administration encoding</t>
  </si>
  <si>
    <t>Anthonytown</t>
  </si>
  <si>
    <t>Down-sized dynamic service-desk</t>
  </si>
  <si>
    <t>Stephanieshire</t>
  </si>
  <si>
    <t>Right-sized contextually-based portal</t>
  </si>
  <si>
    <t>Reduced stable hardware</t>
  </si>
  <si>
    <t>Nguyenside</t>
  </si>
  <si>
    <t>Enterprise-wide zero administration policy</t>
  </si>
  <si>
    <t>Martinview</t>
  </si>
  <si>
    <t>Pre-emptive national definition</t>
  </si>
  <si>
    <t>Watkinsside</t>
  </si>
  <si>
    <t>China, Japan, UK</t>
  </si>
  <si>
    <t>Multi-lateral executive firmware</t>
  </si>
  <si>
    <t>New Sarah</t>
  </si>
  <si>
    <t>Horizontal background benchmark</t>
  </si>
  <si>
    <t>Hallhaven</t>
  </si>
  <si>
    <t>Intuitive fault-tolerant array</t>
  </si>
  <si>
    <t>East Tammy</t>
  </si>
  <si>
    <t>Progressive web-enabled focus group</t>
  </si>
  <si>
    <t>Jacquelineland</t>
  </si>
  <si>
    <t>Reduced intangible complexity</t>
  </si>
  <si>
    <t>Angelaport</t>
  </si>
  <si>
    <t>Re-contextualized multimedia info-mediaries</t>
  </si>
  <si>
    <t>East Lauren</t>
  </si>
  <si>
    <t>Optimized client-driven matrices</t>
  </si>
  <si>
    <t>North Ambermouth</t>
  </si>
  <si>
    <t>Stand-alone 24hour software</t>
  </si>
  <si>
    <t>Warrenberg</t>
  </si>
  <si>
    <t>Enhanced encompassing workforce</t>
  </si>
  <si>
    <t>Johnsonview</t>
  </si>
  <si>
    <t>Polarized multimedia paradigm</t>
  </si>
  <si>
    <t>Collierhaven</t>
  </si>
  <si>
    <t>Phased background portal</t>
  </si>
  <si>
    <t>West Brenda</t>
  </si>
  <si>
    <t>Switchable directional archive</t>
  </si>
  <si>
    <t>Heidifurt</t>
  </si>
  <si>
    <t>Pre-emptive human-resource adapter</t>
  </si>
  <si>
    <t>New Chadton</t>
  </si>
  <si>
    <t>Cloned attitude-oriented moderator</t>
  </si>
  <si>
    <t>Beckyview</t>
  </si>
  <si>
    <t>Managed bifurcated throughput</t>
  </si>
  <si>
    <t>Chanview</t>
  </si>
  <si>
    <t>Managed zero administration pricing structure</t>
  </si>
  <si>
    <t>East Amytown</t>
  </si>
  <si>
    <t>Fully-configurable didactic project</t>
  </si>
  <si>
    <t>East Catherine</t>
  </si>
  <si>
    <t>Profit-focused composite portal</t>
  </si>
  <si>
    <t>Lake Paulview</t>
  </si>
  <si>
    <t>Business-focused cohesive functionalities</t>
  </si>
  <si>
    <t>Johnsonchester</t>
  </si>
  <si>
    <t>Adaptive leadingedge Internet solution</t>
  </si>
  <si>
    <t>Jesseport</t>
  </si>
  <si>
    <t>Distributed uniform synergy</t>
  </si>
  <si>
    <t>Amyville</t>
  </si>
  <si>
    <t>Integrated encompassing focus group</t>
  </si>
  <si>
    <t>Re-engineered value-added software</t>
  </si>
  <si>
    <t>Diverse cohesive groupware</t>
  </si>
  <si>
    <t>Watsonbury</t>
  </si>
  <si>
    <t>Cross-platform incremental monitoring</t>
  </si>
  <si>
    <t>Buckbury</t>
  </si>
  <si>
    <t>Decentralized methodical standardization</t>
  </si>
  <si>
    <t>UK, Germany, Japan</t>
  </si>
  <si>
    <t>Cross-group dedicated adapter</t>
  </si>
  <si>
    <t>West Sarahport</t>
  </si>
  <si>
    <t>Decentralized background artificial intelligence</t>
  </si>
  <si>
    <t>Hannaview</t>
  </si>
  <si>
    <t>Synergized impactful algorithm</t>
  </si>
  <si>
    <t>Russellmouth</t>
  </si>
  <si>
    <t>UAE, Germany, Russia</t>
  </si>
  <si>
    <t>Virtual regional array</t>
  </si>
  <si>
    <t>Robust 3rdgeneration Graphic Interface</t>
  </si>
  <si>
    <t>East Kathleenshire</t>
  </si>
  <si>
    <t>Reverse-engineered interactive neural-net</t>
  </si>
  <si>
    <t>UAE, Japan, India</t>
  </si>
  <si>
    <t>Horizontal hybrid database</t>
  </si>
  <si>
    <t>East Jasonborough</t>
  </si>
  <si>
    <t>Germany, Russia, Israel</t>
  </si>
  <si>
    <t>Advanced user-facing instruction set</t>
  </si>
  <si>
    <t>Larachester</t>
  </si>
  <si>
    <t>Up-sized web-enabled extranet</t>
  </si>
  <si>
    <t>Valdezland</t>
  </si>
  <si>
    <t>Managed bandwidth-monitored circuit</t>
  </si>
  <si>
    <t>Sanfordstad</t>
  </si>
  <si>
    <t>Distributed value-added contingency</t>
  </si>
  <si>
    <t>Theresaton</t>
  </si>
  <si>
    <t>Cross-platform uniform productivity</t>
  </si>
  <si>
    <t>Front-line client-server adapter</t>
  </si>
  <si>
    <t>West Janeland</t>
  </si>
  <si>
    <t>Triple-buffered didactic open architecture</t>
  </si>
  <si>
    <t>Danaville</t>
  </si>
  <si>
    <t>Visionary multi-state encryption</t>
  </si>
  <si>
    <t>Danielview</t>
  </si>
  <si>
    <t>Future-proofed scalable orchestration</t>
  </si>
  <si>
    <t>West Amyburgh</t>
  </si>
  <si>
    <t>Programmable transitional instruction set</t>
  </si>
  <si>
    <t>Port Scottside</t>
  </si>
  <si>
    <t>Persistent modular contingency</t>
  </si>
  <si>
    <t>South Lorrainestad</t>
  </si>
  <si>
    <t>Distributed zero administration extranet</t>
  </si>
  <si>
    <t>Davishaven</t>
  </si>
  <si>
    <t>India, Germany, USA</t>
  </si>
  <si>
    <t>Monitored human-resource utilization</t>
  </si>
  <si>
    <t>East Amystad</t>
  </si>
  <si>
    <t>Public-key zero-defect complexity</t>
  </si>
  <si>
    <t>South Alexander</t>
  </si>
  <si>
    <t>Fundamental disintermediate framework</t>
  </si>
  <si>
    <t>North Josephside</t>
  </si>
  <si>
    <t>Realigned dynamic toolset</t>
  </si>
  <si>
    <t>Ericfort</t>
  </si>
  <si>
    <t>Russia, USA, Israel</t>
  </si>
  <si>
    <t>Implemented secondary monitoring</t>
  </si>
  <si>
    <t>South Gabrieltown</t>
  </si>
  <si>
    <t>Team-oriented grid-enabled paradigm</t>
  </si>
  <si>
    <t>Compatible intermediate application</t>
  </si>
  <si>
    <t>East Michaelfort</t>
  </si>
  <si>
    <t>USA, Japan, UAE</t>
  </si>
  <si>
    <t>Organic real-time archive</t>
  </si>
  <si>
    <t>New Sherriberg</t>
  </si>
  <si>
    <t>Customizable upward-trending pricing structure</t>
  </si>
  <si>
    <t>East Sabrina</t>
  </si>
  <si>
    <t>Enterprise-wide systematic groupware</t>
  </si>
  <si>
    <t>Fully-configurable radical utilization</t>
  </si>
  <si>
    <t>Torresstad</t>
  </si>
  <si>
    <t>Managed regional algorithm</t>
  </si>
  <si>
    <t>Synergized directional superstructure</t>
  </si>
  <si>
    <t>Parkhaven</t>
  </si>
  <si>
    <t>Sharable system-worthy framework</t>
  </si>
  <si>
    <t>Williammouth</t>
  </si>
  <si>
    <t>Monitored web-enabled artificial intelligence</t>
  </si>
  <si>
    <t>Port Amberbury</t>
  </si>
  <si>
    <t>Managed zero-defect capability</t>
  </si>
  <si>
    <t>North Jacob</t>
  </si>
  <si>
    <t>Compatible non-volatile firmware</t>
  </si>
  <si>
    <t>Mariahaven</t>
  </si>
  <si>
    <t>Switchable scalable ability</t>
  </si>
  <si>
    <t>Japan, UAE, UK</t>
  </si>
  <si>
    <t>Diverse stable concept</t>
  </si>
  <si>
    <t>North Jennifer</t>
  </si>
  <si>
    <t>Public-key cohesive encryption</t>
  </si>
  <si>
    <t>Edwardburgh</t>
  </si>
  <si>
    <t>Upgradable bottom-line frame</t>
  </si>
  <si>
    <t>Sandrastad</t>
  </si>
  <si>
    <t>UAE, Israel, France</t>
  </si>
  <si>
    <t>Intuitive 3rdgeneration capability</t>
  </si>
  <si>
    <t>Donnafurt</t>
  </si>
  <si>
    <t>Reactive context-sensitive interface</t>
  </si>
  <si>
    <t>Focused contextually-based architecture</t>
  </si>
  <si>
    <t>Brooksberg</t>
  </si>
  <si>
    <t>Assimilated non-volatile artificial intelligence</t>
  </si>
  <si>
    <t>East Lee</t>
  </si>
  <si>
    <t>Optimized multimedia hardware</t>
  </si>
  <si>
    <t>North Robertaland</t>
  </si>
  <si>
    <t>Innovative heuristic product</t>
  </si>
  <si>
    <t>Roblesfurt</t>
  </si>
  <si>
    <t>Networked even-keeled solution</t>
  </si>
  <si>
    <t>Port Meganshire</t>
  </si>
  <si>
    <t>Centralized multimedia ability</t>
  </si>
  <si>
    <t>Horizontal web-enabled middleware</t>
  </si>
  <si>
    <t>Frankborough</t>
  </si>
  <si>
    <t>Multi-channeled tertiary alliance</t>
  </si>
  <si>
    <t>Colemanbury</t>
  </si>
  <si>
    <t>Face-to-face motivating info-mediaries</t>
  </si>
  <si>
    <t>Christineburgh</t>
  </si>
  <si>
    <t>Organized 24hour adapter</t>
  </si>
  <si>
    <t>East Williammouth</t>
  </si>
  <si>
    <t>India, China, USA</t>
  </si>
  <si>
    <t>Customer-focused disintermediate solution</t>
  </si>
  <si>
    <t>Turnerview</t>
  </si>
  <si>
    <t>Customizable exuding solution</t>
  </si>
  <si>
    <t>Michaelberg</t>
  </si>
  <si>
    <t>Digitized clear-thinking initiative</t>
  </si>
  <si>
    <t>Lindabury</t>
  </si>
  <si>
    <t>Upgradable zero tolerance matrix</t>
  </si>
  <si>
    <t>Lake Destiny</t>
  </si>
  <si>
    <t>User-friendly optimizing core</t>
  </si>
  <si>
    <t>Fundamental secondary time-frame</t>
  </si>
  <si>
    <t>Amandamouth</t>
  </si>
  <si>
    <t>Assimilated foreground knowledge user</t>
  </si>
  <si>
    <t>East Kellyburgh</t>
  </si>
  <si>
    <t>Pre-emptive human-resource forecast</t>
  </si>
  <si>
    <t>Richardsonside</t>
  </si>
  <si>
    <t>Mandatory systemic application</t>
  </si>
  <si>
    <t>North Tammy</t>
  </si>
  <si>
    <t>Right-sized dedicated complexity</t>
  </si>
  <si>
    <t>East Latoya</t>
  </si>
  <si>
    <t>Managed intangible hierarchy</t>
  </si>
  <si>
    <t>Johnathanstad</t>
  </si>
  <si>
    <t>Germany, China, UAE</t>
  </si>
  <si>
    <t>Robust heuristic productivity</t>
  </si>
  <si>
    <t>Switchable mobile knowledge user</t>
  </si>
  <si>
    <t>Oliviaview</t>
  </si>
  <si>
    <t>User-friendly asynchronous framework</t>
  </si>
  <si>
    <t>Lake Travis</t>
  </si>
  <si>
    <t>Universal context-sensitive help-desk</t>
  </si>
  <si>
    <t>Brittneyport</t>
  </si>
  <si>
    <t>Mandatory impactful system engine</t>
  </si>
  <si>
    <t>Dorothystad</t>
  </si>
  <si>
    <t>Cross-platform zero administration task-force</t>
  </si>
  <si>
    <t>Port Jenniferton</t>
  </si>
  <si>
    <t>Secured national framework</t>
  </si>
  <si>
    <t>Morseview</t>
  </si>
  <si>
    <t>Intuitive non-volatile groupware</t>
  </si>
  <si>
    <t>Ruizton</t>
  </si>
  <si>
    <t>Multi-tiered eco-centric knowledgebase</t>
  </si>
  <si>
    <t>Universal heuristic extranet</t>
  </si>
  <si>
    <t>New Alex</t>
  </si>
  <si>
    <t>Total modular extranet</t>
  </si>
  <si>
    <t>Blackwellstad</t>
  </si>
  <si>
    <t>Balanced executive monitoring</t>
  </si>
  <si>
    <t>Port Caitlinmouth</t>
  </si>
  <si>
    <t>Reduced directional protocol</t>
  </si>
  <si>
    <t>South Katherineport</t>
  </si>
  <si>
    <t>Vision-oriented scalable project</t>
  </si>
  <si>
    <t>Port Travis</t>
  </si>
  <si>
    <t>Future-proofed exuding task-force</t>
  </si>
  <si>
    <t>Visionary uniform data-warehouse</t>
  </si>
  <si>
    <t>Port Tracyberg</t>
  </si>
  <si>
    <t>Robust hybrid function</t>
  </si>
  <si>
    <t>West Katherine</t>
  </si>
  <si>
    <t>Reactive mission-critical leverage</t>
  </si>
  <si>
    <t>New Alyssaburgh</t>
  </si>
  <si>
    <t>Pre-emptive grid-enabled workforce</t>
  </si>
  <si>
    <t>Chaseberg</t>
  </si>
  <si>
    <t>Horizontal motivating superstructure</t>
  </si>
  <si>
    <t>Cowanfort</t>
  </si>
  <si>
    <t>Function-based asynchronous project</t>
  </si>
  <si>
    <t>New Shawnchester</t>
  </si>
  <si>
    <t>Open-architected system-worthy middleware</t>
  </si>
  <si>
    <t>Optimized dynamic structure</t>
  </si>
  <si>
    <t>East William</t>
  </si>
  <si>
    <t>Programmable logistical policy</t>
  </si>
  <si>
    <t>Lake Shelby</t>
  </si>
  <si>
    <t>Integrated asymmetric pricing structure</t>
  </si>
  <si>
    <t>South Christopher</t>
  </si>
  <si>
    <t>Enhanced responsive capacity</t>
  </si>
  <si>
    <t>New Eric</t>
  </si>
  <si>
    <t>Digitized 6thgeneration infrastructure</t>
  </si>
  <si>
    <t>New Cynthiashire</t>
  </si>
  <si>
    <t>Extended optimizing analyzer</t>
  </si>
  <si>
    <t>New Benjamin</t>
  </si>
  <si>
    <t>Future-proofed multi-tasking definition</t>
  </si>
  <si>
    <t>Boydview</t>
  </si>
  <si>
    <t>Monitored encompassing moratorium</t>
  </si>
  <si>
    <t>South Valerieshire</t>
  </si>
  <si>
    <t>Synergistic uniform standardization</t>
  </si>
  <si>
    <t>Hernandeztown</t>
  </si>
  <si>
    <t>Grass-roots optimizing initiative</t>
  </si>
  <si>
    <t>Progressive stable function</t>
  </si>
  <si>
    <t>Port Summer</t>
  </si>
  <si>
    <t>Seamless zero-defect open system</t>
  </si>
  <si>
    <t>Ryanside</t>
  </si>
  <si>
    <t>Optimized maximized complexity</t>
  </si>
  <si>
    <t>West Danielville</t>
  </si>
  <si>
    <t>UK, USA, Israel</t>
  </si>
  <si>
    <t>Cross-group directional help-desk</t>
  </si>
  <si>
    <t>Ellisonchester</t>
  </si>
  <si>
    <t>Visionary national flexibility</t>
  </si>
  <si>
    <t>Burtonland</t>
  </si>
  <si>
    <t>Advanced neutral neural-net</t>
  </si>
  <si>
    <t>Robertsonchester</t>
  </si>
  <si>
    <t>Germany, USA, Russia</t>
  </si>
  <si>
    <t>Reactive zero tolerance frame</t>
  </si>
  <si>
    <t>Lake Teresastad</t>
  </si>
  <si>
    <t>Organic full-range synergy</t>
  </si>
  <si>
    <t>Brandiberg</t>
  </si>
  <si>
    <t>Mandatory impactful circuit</t>
  </si>
  <si>
    <t>Danielmouth</t>
  </si>
  <si>
    <t>Self-enabling directional throughput</t>
  </si>
  <si>
    <t>New Parker</t>
  </si>
  <si>
    <t>Grass-roots motivating functionalities</t>
  </si>
  <si>
    <t>South Shelleyhaven</t>
  </si>
  <si>
    <t>Automated fresh-thinking array</t>
  </si>
  <si>
    <t>Robertchester</t>
  </si>
  <si>
    <t>Germany, UAE, Israel</t>
  </si>
  <si>
    <t>Enterprise-wide asynchronous toolset</t>
  </si>
  <si>
    <t>West Fred</t>
  </si>
  <si>
    <t>Israel, UAE, UK</t>
  </si>
  <si>
    <t>Phased user-facing capability</t>
  </si>
  <si>
    <t>South Lisaside</t>
  </si>
  <si>
    <t>UAE, Israel, Russia</t>
  </si>
  <si>
    <t>Quality-focused global capacity</t>
  </si>
  <si>
    <t>Port Susanshire</t>
  </si>
  <si>
    <t>Multi-channeled global implementation</t>
  </si>
  <si>
    <t>Brookschester</t>
  </si>
  <si>
    <t>Germany, UAE, Russia</t>
  </si>
  <si>
    <t>Virtual tangible implementation</t>
  </si>
  <si>
    <t>Extended directional strategy</t>
  </si>
  <si>
    <t>Function-based motivating portal</t>
  </si>
  <si>
    <t>East Kristinaburgh</t>
  </si>
  <si>
    <t>Reduced object-oriented help-desk</t>
  </si>
  <si>
    <t>Lake Shannonburgh</t>
  </si>
  <si>
    <t>Function-based contextually-based help-desk</t>
  </si>
  <si>
    <t>East Isaac</t>
  </si>
  <si>
    <t>USA, France, Israel</t>
  </si>
  <si>
    <t>Multi-channeled maximized hierarchy</t>
  </si>
  <si>
    <t>Andersonville</t>
  </si>
  <si>
    <t>Team-oriented directional flexibility</t>
  </si>
  <si>
    <t>East Davidburgh</t>
  </si>
  <si>
    <t>UK, China, Japan</t>
  </si>
  <si>
    <t>Proactive attitude-oriented info-mediaries</t>
  </si>
  <si>
    <t>Victoriaview</t>
  </si>
  <si>
    <t>UAE, Russia, France</t>
  </si>
  <si>
    <t>Public-key incremental model</t>
  </si>
  <si>
    <t>Port Amychester</t>
  </si>
  <si>
    <t>Cross-platform directional knowledgebase</t>
  </si>
  <si>
    <t>Port Scottstad</t>
  </si>
  <si>
    <t>Russia, Israel, UK</t>
  </si>
  <si>
    <t>Fundamental coherent leverage</t>
  </si>
  <si>
    <t>Visionary holistic groupware</t>
  </si>
  <si>
    <t>East Justin</t>
  </si>
  <si>
    <t>Cloned intermediate firmware</t>
  </si>
  <si>
    <t>West Tiffanystad</t>
  </si>
  <si>
    <t>Stand-alone mission-critical pricing structure</t>
  </si>
  <si>
    <t>Christinafort</t>
  </si>
  <si>
    <t>Secured 4thgeneration solution</t>
  </si>
  <si>
    <t>Lake Thomastown</t>
  </si>
  <si>
    <t>Up-sized context-sensitive knowledgebase</t>
  </si>
  <si>
    <t>New Samuelstad</t>
  </si>
  <si>
    <t>Virtual bottom-line open system</t>
  </si>
  <si>
    <t>Jasonmouth</t>
  </si>
  <si>
    <t>Face-to-face client-server challenge</t>
  </si>
  <si>
    <t>West Benjamin</t>
  </si>
  <si>
    <t>De-engineered heuristic extranet</t>
  </si>
  <si>
    <t>Wallshire</t>
  </si>
  <si>
    <t>Synergized global instruction set</t>
  </si>
  <si>
    <t>Petersonland</t>
  </si>
  <si>
    <t>Compatible systematic synergy</t>
  </si>
  <si>
    <t>Lake Charles</t>
  </si>
  <si>
    <t>Implemented actuating complexity</t>
  </si>
  <si>
    <t>South Michael</t>
  </si>
  <si>
    <t>Profit-focused user-facing leverage</t>
  </si>
  <si>
    <t>Hawkinschester</t>
  </si>
  <si>
    <t>Multi-layered secondary hub</t>
  </si>
  <si>
    <t>South James</t>
  </si>
  <si>
    <t>Inverse analyzing success</t>
  </si>
  <si>
    <t>Bruceberg</t>
  </si>
  <si>
    <t>Business-focused solution-oriented service-desk</t>
  </si>
  <si>
    <t>Lake Sara</t>
  </si>
  <si>
    <t>Adaptive homogeneous intranet</t>
  </si>
  <si>
    <t>Sanchezmouth</t>
  </si>
  <si>
    <t>UAE, Japan, Germany</t>
  </si>
  <si>
    <t>Assimilated heuristic collaboration</t>
  </si>
  <si>
    <t>Port Edwardchester</t>
  </si>
  <si>
    <t>Optional heuristic help-desk</t>
  </si>
  <si>
    <t>Digitized interactive productivity</t>
  </si>
  <si>
    <t>Kennedymouth</t>
  </si>
  <si>
    <t>Multi-layered attitude-oriented productivity</t>
  </si>
  <si>
    <t>Kaufmanberg</t>
  </si>
  <si>
    <t>Organized secondary synergy</t>
  </si>
  <si>
    <t>New Jeremyland</t>
  </si>
  <si>
    <t>Face-to-face object-oriented frame</t>
  </si>
  <si>
    <t>Reactive composite Local Area Network</t>
  </si>
  <si>
    <t>Synergized motivating utilization</t>
  </si>
  <si>
    <t>Grahamshire</t>
  </si>
  <si>
    <t>UAE, India, France</t>
  </si>
  <si>
    <t>Extended 24hour leverage</t>
  </si>
  <si>
    <t>Deckerside</t>
  </si>
  <si>
    <t>Re-contextualized disintermediate support</t>
  </si>
  <si>
    <t>Port Kaylahaven</t>
  </si>
  <si>
    <t>Germany, India, Japan</t>
  </si>
  <si>
    <t>Stand-alone high-level hierarchy</t>
  </si>
  <si>
    <t>South Scottborough</t>
  </si>
  <si>
    <t>Customer-focused directional moratorium</t>
  </si>
  <si>
    <t>East Veronica</t>
  </si>
  <si>
    <t>Devolved exuding array</t>
  </si>
  <si>
    <t>South Bobby</t>
  </si>
  <si>
    <t>Multi-lateral grid-enabled standardization</t>
  </si>
  <si>
    <t>Clarkport</t>
  </si>
  <si>
    <t>Polarized context-sensitive artificial intelligence</t>
  </si>
  <si>
    <t>New Stevenshire</t>
  </si>
  <si>
    <t>Realigned coherent project</t>
  </si>
  <si>
    <t>Cuevasland</t>
  </si>
  <si>
    <t>UAE, Russia, Israel</t>
  </si>
  <si>
    <t>Multi-channeled mobile budgetary management</t>
  </si>
  <si>
    <t>North Stephanieton</t>
  </si>
  <si>
    <t>Israel, Germany, UAE</t>
  </si>
  <si>
    <t>Multi-tiered well-modulated model</t>
  </si>
  <si>
    <t>Grahammouth</t>
  </si>
  <si>
    <t>Progressive intermediate open architecture</t>
  </si>
  <si>
    <t>Hoffmanchester</t>
  </si>
  <si>
    <t>Grass-roots radical functionalities</t>
  </si>
  <si>
    <t>New Devontown</t>
  </si>
  <si>
    <t>Configurable leadingedge middleware</t>
  </si>
  <si>
    <t>Beanfurt</t>
  </si>
  <si>
    <t>India, France, UAE</t>
  </si>
  <si>
    <t>Intuitive asynchronous knowledgebase</t>
  </si>
  <si>
    <t>New Jamesmouth</t>
  </si>
  <si>
    <t>Universal impactful conglomeration</t>
  </si>
  <si>
    <t>Jenkinsside</t>
  </si>
  <si>
    <t>Profound regional budgetary management</t>
  </si>
  <si>
    <t>East Kayla</t>
  </si>
  <si>
    <t>Israel, Russia, India</t>
  </si>
  <si>
    <t>Ergonomic analyzing array</t>
  </si>
  <si>
    <t>Emilychester</t>
  </si>
  <si>
    <t>Persevering asynchronous structure</t>
  </si>
  <si>
    <t>Christopherton</t>
  </si>
  <si>
    <t>Function-based client-server leverage</t>
  </si>
  <si>
    <t>Gregoryburgh</t>
  </si>
  <si>
    <t>Exclusive grid-enabled portal</t>
  </si>
  <si>
    <t>Future-proofed static intranet</t>
  </si>
  <si>
    <t>East Johnton</t>
  </si>
  <si>
    <t>Fully-configurable bi-directional hardware</t>
  </si>
  <si>
    <t>South Ashleyville</t>
  </si>
  <si>
    <t>Managed zero tolerance projection</t>
  </si>
  <si>
    <t>Bryanfurt</t>
  </si>
  <si>
    <t>Programmable coherent toolset</t>
  </si>
  <si>
    <t>User-friendly bandwidth-monitored core</t>
  </si>
  <si>
    <t>West Jamesview</t>
  </si>
  <si>
    <t>Decentralized systemic orchestration</t>
  </si>
  <si>
    <t>Lisaport</t>
  </si>
  <si>
    <t>Public-key dynamic infrastructure</t>
  </si>
  <si>
    <t>North Steven</t>
  </si>
  <si>
    <t>Israel, Russia, China</t>
  </si>
  <si>
    <t>Proactive bottom-line frame</t>
  </si>
  <si>
    <t>Serranobury</t>
  </si>
  <si>
    <t>Israel, UK, USA</t>
  </si>
  <si>
    <t>Streamlined bifurcated process improvement</t>
  </si>
  <si>
    <t>Danshire</t>
  </si>
  <si>
    <t>Programmable global budgetary management</t>
  </si>
  <si>
    <t>Brittanyfort</t>
  </si>
  <si>
    <t>Expanded client-driven time-frame</t>
  </si>
  <si>
    <t>Hatfieldmouth</t>
  </si>
  <si>
    <t>Re-contextualized web-enabled application</t>
  </si>
  <si>
    <t>West Janetborough</t>
  </si>
  <si>
    <t>Universal bottom-line website</t>
  </si>
  <si>
    <t>South Sandra</t>
  </si>
  <si>
    <t>Robust attitude-oriented hierarchy</t>
  </si>
  <si>
    <t>South Sandrahaven</t>
  </si>
  <si>
    <t>De-engineered 24hour project</t>
  </si>
  <si>
    <t>New Josephville</t>
  </si>
  <si>
    <t>Fundamental intermediate matrix</t>
  </si>
  <si>
    <t>Amandachester</t>
  </si>
  <si>
    <t>China, India, UK</t>
  </si>
  <si>
    <t>Face-to-face dedicated architecture</t>
  </si>
  <si>
    <t>Deleonbury</t>
  </si>
  <si>
    <t>Streamlined logistical portal</t>
  </si>
  <si>
    <t>Carmenberg</t>
  </si>
  <si>
    <t>China, Russia, India</t>
  </si>
  <si>
    <t>Business-focused high-level migration</t>
  </si>
  <si>
    <t>Burtonmouth</t>
  </si>
  <si>
    <t>Japan, Russia, France</t>
  </si>
  <si>
    <t>Team-oriented logistical encoding</t>
  </si>
  <si>
    <t>New Debra</t>
  </si>
  <si>
    <t>Triple-buffered impactful website</t>
  </si>
  <si>
    <t>Sarahbury</t>
  </si>
  <si>
    <t>Configurable explicit architecture</t>
  </si>
  <si>
    <t>New Mariaport</t>
  </si>
  <si>
    <t>Devolved local frame</t>
  </si>
  <si>
    <t>Coryside</t>
  </si>
  <si>
    <t>Realigned reciprocal database</t>
  </si>
  <si>
    <t>Melissaville</t>
  </si>
  <si>
    <t>Future-proofed dynamic approach</t>
  </si>
  <si>
    <t>Inverse high-level software</t>
  </si>
  <si>
    <t>Wilsonborough</t>
  </si>
  <si>
    <t>Open-source methodical orchestration</t>
  </si>
  <si>
    <t>Hughesbury</t>
  </si>
  <si>
    <t>Self-enabling multi-tasking process improvement</t>
  </si>
  <si>
    <t>Huffport</t>
  </si>
  <si>
    <t>Multi-lateral attitude-oriented standardization</t>
  </si>
  <si>
    <t>Susanbury</t>
  </si>
  <si>
    <t>Profound multi-tasking encoding</t>
  </si>
  <si>
    <t>North Williamside</t>
  </si>
  <si>
    <t>Pre-emptive neutral infrastructure</t>
  </si>
  <si>
    <t>Bonillatown</t>
  </si>
  <si>
    <t>Sharable 3rdgeneration synergy</t>
  </si>
  <si>
    <t>Port Derekville</t>
  </si>
  <si>
    <t>Quality-focused incremental hierarchy</t>
  </si>
  <si>
    <t>Andersonchester</t>
  </si>
  <si>
    <t>Cloned radical encoding</t>
  </si>
  <si>
    <t>Port Dawnchester</t>
  </si>
  <si>
    <t>Israel, India, USA</t>
  </si>
  <si>
    <t>Persevering background adapter</t>
  </si>
  <si>
    <t>Ericaport</t>
  </si>
  <si>
    <t>Self-enabling optimizing artificial intelligence</t>
  </si>
  <si>
    <t>Ronaldberg</t>
  </si>
  <si>
    <t>Israel, UAE, China</t>
  </si>
  <si>
    <t>Organized mission-critical application</t>
  </si>
  <si>
    <t>Team-oriented next generation artificial intelligence</t>
  </si>
  <si>
    <t>Lake Williamstad</t>
  </si>
  <si>
    <t>Realigned encompassing paradigm</t>
  </si>
  <si>
    <t>West Gregoryburgh</t>
  </si>
  <si>
    <t>Israel, UK, UAE</t>
  </si>
  <si>
    <t>Optional reciprocal methodology</t>
  </si>
  <si>
    <t>Millerland</t>
  </si>
  <si>
    <t>Right-sized multi-state customer loyalty</t>
  </si>
  <si>
    <t>Cloned web-enabled hierarchy</t>
  </si>
  <si>
    <t>South Jessicaton</t>
  </si>
  <si>
    <t>Programmable intermediate protocol</t>
  </si>
  <si>
    <t>Gonzalezhaven</t>
  </si>
  <si>
    <t>Right-sized well-modulated customer loyalty</t>
  </si>
  <si>
    <t>North Karenfurt</t>
  </si>
  <si>
    <t>Proactive systemic complexity</t>
  </si>
  <si>
    <t>Cynthiamouth</t>
  </si>
  <si>
    <t>Synergistic holistic parallelism</t>
  </si>
  <si>
    <t>Lake Sandra</t>
  </si>
  <si>
    <t>Balanced 6thgeneration capacity</t>
  </si>
  <si>
    <t>Daviesmouth</t>
  </si>
  <si>
    <t>Business-focused regional focus group</t>
  </si>
  <si>
    <t>User-friendly impactful project</t>
  </si>
  <si>
    <t>Lake Brett</t>
  </si>
  <si>
    <t>Reactive eco-centric attitude</t>
  </si>
  <si>
    <t>New Matthewport</t>
  </si>
  <si>
    <t>Networked modular policy</t>
  </si>
  <si>
    <t>Persistent bi-directional archive</t>
  </si>
  <si>
    <t>West Cynthia</t>
  </si>
  <si>
    <t>Streamlined 24hour application</t>
  </si>
  <si>
    <t>New Reneeside</t>
  </si>
  <si>
    <t>Business-focused 24/7 database</t>
  </si>
  <si>
    <t>Joelville</t>
  </si>
  <si>
    <t>Russia, Japan, UK</t>
  </si>
  <si>
    <t>Switchable upward-trending encoding</t>
  </si>
  <si>
    <t>Port Tarafort</t>
  </si>
  <si>
    <t>Focused analyzing leverage</t>
  </si>
  <si>
    <t>West Angel</t>
  </si>
  <si>
    <t>Automated composite pricing structure</t>
  </si>
  <si>
    <t>Taylorfort</t>
  </si>
  <si>
    <t>Profound modular emulation</t>
  </si>
  <si>
    <t>New Samanthamouth</t>
  </si>
  <si>
    <t>Cross-group stable knowledgebase</t>
  </si>
  <si>
    <t>Lindseyburgh</t>
  </si>
  <si>
    <t>Stand-alone uniform algorithm</t>
  </si>
  <si>
    <t>South Susanborough</t>
  </si>
  <si>
    <t>Organized web-enabled contingency</t>
  </si>
  <si>
    <t>North Adrienneport</t>
  </si>
  <si>
    <t>Robust well-modulated approach</t>
  </si>
  <si>
    <t>Port Anthonyland</t>
  </si>
  <si>
    <t>UK, Japan, Israel</t>
  </si>
  <si>
    <t>Intuitive 24hour help-desk</t>
  </si>
  <si>
    <t>New Connie</t>
  </si>
  <si>
    <t>Configurable 6thgeneration Graphic Interface</t>
  </si>
  <si>
    <t>USA, UK, China</t>
  </si>
  <si>
    <t>Implemented modular installation</t>
  </si>
  <si>
    <t>Goodmanberg</t>
  </si>
  <si>
    <t>Re-contextualized next generation access</t>
  </si>
  <si>
    <t>Michaelton</t>
  </si>
  <si>
    <t>China, Russia, Germany</t>
  </si>
  <si>
    <t>Multi-lateral full-range alliance</t>
  </si>
  <si>
    <t>Down-sized grid-enabled structure</t>
  </si>
  <si>
    <t>Open-architected secondary project</t>
  </si>
  <si>
    <t>West Deborahstad</t>
  </si>
  <si>
    <t>User-friendly disintermediate toolset</t>
  </si>
  <si>
    <t>Cross-group system-worthy workforce</t>
  </si>
  <si>
    <t>Suzanneville</t>
  </si>
  <si>
    <t>Down-sized neutral throughput</t>
  </si>
  <si>
    <t>West Williamshire</t>
  </si>
  <si>
    <t>Function-based next generation productivity</t>
  </si>
  <si>
    <t>Digitized eco-centric challenge</t>
  </si>
  <si>
    <t>Jacksonton</t>
  </si>
  <si>
    <t>Optional next generation attitude</t>
  </si>
  <si>
    <t>Port Frances</t>
  </si>
  <si>
    <t>Germany, China, France</t>
  </si>
  <si>
    <t>Re-contextualized coherent algorithm</t>
  </si>
  <si>
    <t>Gregoryland</t>
  </si>
  <si>
    <t>India, Israel, USA</t>
  </si>
  <si>
    <t>Public-key client-server Local Area Network</t>
  </si>
  <si>
    <t>USA, India, Japan</t>
  </si>
  <si>
    <t>Customer-focused multimedia middleware</t>
  </si>
  <si>
    <t>Warrenburgh</t>
  </si>
  <si>
    <t>Cloned modular infrastructure</t>
  </si>
  <si>
    <t>Distributed 5thgeneration capability</t>
  </si>
  <si>
    <t>Lake Sarah</t>
  </si>
  <si>
    <t>UK, Russia, Japan</t>
  </si>
  <si>
    <t>Networked interactive core</t>
  </si>
  <si>
    <t>New Richardton</t>
  </si>
  <si>
    <t>Public-key object-oriented flexibility</t>
  </si>
  <si>
    <t>Nicholeport</t>
  </si>
  <si>
    <t>Customizable bandwidth-monitored secured line</t>
  </si>
  <si>
    <t>North Diamond</t>
  </si>
  <si>
    <t>Implemented local workforce</t>
  </si>
  <si>
    <t>Garciachester</t>
  </si>
  <si>
    <t>Decentralized multimedia database</t>
  </si>
  <si>
    <t>Matthewland</t>
  </si>
  <si>
    <t>Cross-group motivating capability</t>
  </si>
  <si>
    <t>East Kara</t>
  </si>
  <si>
    <t>India, Japan, Germany</t>
  </si>
  <si>
    <t>Optional optimal alliance</t>
  </si>
  <si>
    <t>Kimberlyhaven</t>
  </si>
  <si>
    <t>Polarized intangible functionalities</t>
  </si>
  <si>
    <t>Bowersshire</t>
  </si>
  <si>
    <t>Face-to-face full-range attitude</t>
  </si>
  <si>
    <t>Kathrynview</t>
  </si>
  <si>
    <t>Cloned 24/7 collaboration</t>
  </si>
  <si>
    <t>East Angela</t>
  </si>
  <si>
    <t>Reverse-engineered hybrid groupware</t>
  </si>
  <si>
    <t>Keithshire</t>
  </si>
  <si>
    <t>Synergized web-enabled instruction set</t>
  </si>
  <si>
    <t>Diverse logistical success</t>
  </si>
  <si>
    <t>Operative full-range time-frame</t>
  </si>
  <si>
    <t>Brownland</t>
  </si>
  <si>
    <t>User-centric object-oriented standardization</t>
  </si>
  <si>
    <t>Port Christian</t>
  </si>
  <si>
    <t>Future-proofed system-worthy support</t>
  </si>
  <si>
    <t>Port Jasonton</t>
  </si>
  <si>
    <t>Future-proofed high-level throughput</t>
  </si>
  <si>
    <t>Stephenston</t>
  </si>
  <si>
    <t>Russia, USA, China</t>
  </si>
  <si>
    <t>Profound 4thgeneration moratorium</t>
  </si>
  <si>
    <t>Thomasmouth</t>
  </si>
  <si>
    <t>Seamless systemic flexibility</t>
  </si>
  <si>
    <t>Jacquelinemouth</t>
  </si>
  <si>
    <t>UK, Israel, Germany</t>
  </si>
  <si>
    <t>Realigned scalable complexity</t>
  </si>
  <si>
    <t>West Trevorhaven</t>
  </si>
  <si>
    <t>Phased empowering toolset</t>
  </si>
  <si>
    <t>Port Tammymouth</t>
  </si>
  <si>
    <t>Persevering neutral website</t>
  </si>
  <si>
    <t>Ianburgh</t>
  </si>
  <si>
    <t>Russia, UK, Japan</t>
  </si>
  <si>
    <t>Operative asymmetric moratorium</t>
  </si>
  <si>
    <t>Patrickshire</t>
  </si>
  <si>
    <t>Devolved coherent capability</t>
  </si>
  <si>
    <t>Williamsport</t>
  </si>
  <si>
    <t>Exclusive neutral function</t>
  </si>
  <si>
    <t>South Misty</t>
  </si>
  <si>
    <t>Persistent interactive knowledgebase</t>
  </si>
  <si>
    <t>Lake Richard</t>
  </si>
  <si>
    <t>Integrated demand-driven Graphic Interface</t>
  </si>
  <si>
    <t>Danielleshire</t>
  </si>
  <si>
    <t>Integrated asymmetric encryption</t>
  </si>
  <si>
    <t>Bowersfurt</t>
  </si>
  <si>
    <t>Optional clear-thinking Graphic Interface</t>
  </si>
  <si>
    <t>Clarkestad</t>
  </si>
  <si>
    <t>Reactive interactive synergy</t>
  </si>
  <si>
    <t>East Erin</t>
  </si>
  <si>
    <t>Customizable systemic website</t>
  </si>
  <si>
    <t>West Joshua</t>
  </si>
  <si>
    <t>Realigned optimizing knowledgebase</t>
  </si>
  <si>
    <t>Lake Ernestport</t>
  </si>
  <si>
    <t>Optimized incremental Graphical User Interface</t>
  </si>
  <si>
    <t>New James</t>
  </si>
  <si>
    <t>Universal cohesive website</t>
  </si>
  <si>
    <t>Tinastad</t>
  </si>
  <si>
    <t>Automated secondary access</t>
  </si>
  <si>
    <t>West Veronica</t>
  </si>
  <si>
    <t>Front-line maximized architecture</t>
  </si>
  <si>
    <t>Jordanburgh</t>
  </si>
  <si>
    <t>Public-key bottom-line success</t>
  </si>
  <si>
    <t>Belltown</t>
  </si>
  <si>
    <t>USA, Germany, China</t>
  </si>
  <si>
    <t>Fully-configurable contextually-based interface</t>
  </si>
  <si>
    <t>North Bailey</t>
  </si>
  <si>
    <t>UK, Russia, UAE</t>
  </si>
  <si>
    <t>Organized client-server protocol</t>
  </si>
  <si>
    <t>Carlamouth</t>
  </si>
  <si>
    <t>Robust empowering contingency</t>
  </si>
  <si>
    <t>Hernandezchester</t>
  </si>
  <si>
    <t>Switchable leadingedge ability</t>
  </si>
  <si>
    <t>Collierview</t>
  </si>
  <si>
    <t>Russia, Israel, UAE</t>
  </si>
  <si>
    <t>Multi-tiered fresh-thinking productivity</t>
  </si>
  <si>
    <t>Duncanland</t>
  </si>
  <si>
    <t>Universal global intranet</t>
  </si>
  <si>
    <t>West Tim</t>
  </si>
  <si>
    <t>Team-oriented context-sensitive parallelism</t>
  </si>
  <si>
    <t>Williambury</t>
  </si>
  <si>
    <t>Total real-time intranet</t>
  </si>
  <si>
    <t>Lake Joseph</t>
  </si>
  <si>
    <t>Vision-oriented heuristic application</t>
  </si>
  <si>
    <t>Fundamental responsive leverage</t>
  </si>
  <si>
    <t>New Jamie</t>
  </si>
  <si>
    <t>Customer-focused disintermediate infrastructure</t>
  </si>
  <si>
    <t>New Tina</t>
  </si>
  <si>
    <t>Russia, UK, Germany</t>
  </si>
  <si>
    <t>Realigned even-keeled interface</t>
  </si>
  <si>
    <t>Jamesberg</t>
  </si>
  <si>
    <t>Re-engineered reciprocal capability</t>
  </si>
  <si>
    <t>East Mark</t>
  </si>
  <si>
    <t>Centralized impactful standardization</t>
  </si>
  <si>
    <t>East Rickshire</t>
  </si>
  <si>
    <t>Visionary high-level throughput</t>
  </si>
  <si>
    <t>Leefort</t>
  </si>
  <si>
    <t>Reverse-engineered asymmetric parallelism</t>
  </si>
  <si>
    <t>Israel, France, UAE</t>
  </si>
  <si>
    <t>Progressive interactive knowledge user</t>
  </si>
  <si>
    <t>Kathrynshire</t>
  </si>
  <si>
    <t>Networked discrete product</t>
  </si>
  <si>
    <t>Jameschester</t>
  </si>
  <si>
    <t>Advanced bi-directional emulation</t>
  </si>
  <si>
    <t>Isabelberg</t>
  </si>
  <si>
    <t>Profound national software</t>
  </si>
  <si>
    <t>Victortown</t>
  </si>
  <si>
    <t>USA, UK, Russia</t>
  </si>
  <si>
    <t>Streamlined demand-driven structure</t>
  </si>
  <si>
    <t>Daisyport</t>
  </si>
  <si>
    <t>Profound encompassing instruction set</t>
  </si>
  <si>
    <t>East Bruce</t>
  </si>
  <si>
    <t>Mandatory scalable matrices</t>
  </si>
  <si>
    <t>Darrylborough</t>
  </si>
  <si>
    <t>Synchronized motivating artificial intelligence</t>
  </si>
  <si>
    <t>Total zero tolerance middleware</t>
  </si>
  <si>
    <t>Kaylaview</t>
  </si>
  <si>
    <t>Future-proofed composite time-frame</t>
  </si>
  <si>
    <t>Port Megan</t>
  </si>
  <si>
    <t>Visionary fault-tolerant time-frame</t>
  </si>
  <si>
    <t>Robbinsstad</t>
  </si>
  <si>
    <t>Universal next generation analyzer</t>
  </si>
  <si>
    <t>Port Stephen</t>
  </si>
  <si>
    <t>China, Russia, UK</t>
  </si>
  <si>
    <t>Streamlined multi-tasking matrix</t>
  </si>
  <si>
    <t>Gardnerside</t>
  </si>
  <si>
    <t>UK, China, UAE</t>
  </si>
  <si>
    <t>Cross-platform analyzing open system</t>
  </si>
  <si>
    <t>Organic local Local Area Network</t>
  </si>
  <si>
    <t>Youngfort</t>
  </si>
  <si>
    <t>Assimilated encompassing project</t>
  </si>
  <si>
    <t>Digitized optimizing interface</t>
  </si>
  <si>
    <t>Savannahchester</t>
  </si>
  <si>
    <t>Expanded neutral functionalities</t>
  </si>
  <si>
    <t>Rubenmouth</t>
  </si>
  <si>
    <t>Assimilated content-based standardization</t>
  </si>
  <si>
    <t>Skinnerstad</t>
  </si>
  <si>
    <t>Universal executive encoding</t>
  </si>
  <si>
    <t>Foxton</t>
  </si>
  <si>
    <t>User-friendly tangible focus group</t>
  </si>
  <si>
    <t>Port Danielberg</t>
  </si>
  <si>
    <t>Centralized static complexity</t>
  </si>
  <si>
    <t>East Sheila</t>
  </si>
  <si>
    <t>Synchronized systematic system engine</t>
  </si>
  <si>
    <t>West Brandonfurt</t>
  </si>
  <si>
    <t>Diverse modular encoding</t>
  </si>
  <si>
    <t>South Edwardton</t>
  </si>
  <si>
    <t>Inverse value-added website</t>
  </si>
  <si>
    <t>Barronberg</t>
  </si>
  <si>
    <t>Israel, USA, UK</t>
  </si>
  <si>
    <t>Compatible 24/7 database</t>
  </si>
  <si>
    <t>Scottshire</t>
  </si>
  <si>
    <t>Enterprise-wide reciprocal capacity</t>
  </si>
  <si>
    <t>North Shanemouth</t>
  </si>
  <si>
    <t>Customer-focused analyzing time-frame</t>
  </si>
  <si>
    <t>Port Damonfort</t>
  </si>
  <si>
    <t>Digitized bottom-line array</t>
  </si>
  <si>
    <t>North Dillon</t>
  </si>
  <si>
    <t>Right-sized needs-based system engine</t>
  </si>
  <si>
    <t>Blackland</t>
  </si>
  <si>
    <t>Israel, India, France</t>
  </si>
  <si>
    <t>Compatible tertiary monitoring</t>
  </si>
  <si>
    <t>New Brett</t>
  </si>
  <si>
    <t>India, Japan, UK</t>
  </si>
  <si>
    <t>Optimized fault-tolerant adapter</t>
  </si>
  <si>
    <t>West Jeffreyport</t>
  </si>
  <si>
    <t>Grass-roots contextually-based database</t>
  </si>
  <si>
    <t>Grahamland</t>
  </si>
  <si>
    <t>Optional 6thgeneration definition</t>
  </si>
  <si>
    <t>New Jackchester</t>
  </si>
  <si>
    <t>De-engineered system-worthy capability</t>
  </si>
  <si>
    <t>Port Cody</t>
  </si>
  <si>
    <t>Total leadingedge orchestration</t>
  </si>
  <si>
    <t>South Nicholas</t>
  </si>
  <si>
    <t>Down-sized multi-state workforce</t>
  </si>
  <si>
    <t>New Bob</t>
  </si>
  <si>
    <t>Focused systematic archive</t>
  </si>
  <si>
    <t>Bradfordside</t>
  </si>
  <si>
    <t>Decentralized holistic throughput</t>
  </si>
  <si>
    <t>Lake Anneberg</t>
  </si>
  <si>
    <t>Ergonomic background firmware</t>
  </si>
  <si>
    <t>Christinabury</t>
  </si>
  <si>
    <t>Multi-channeled bandwidth-monitored workforce</t>
  </si>
  <si>
    <t>Knightshire</t>
  </si>
  <si>
    <t>User-friendly analyzing neural-net</t>
  </si>
  <si>
    <t>Rodriguezbury</t>
  </si>
  <si>
    <t>Configurable fault-tolerant toolset</t>
  </si>
  <si>
    <t>Sabrinamouth</t>
  </si>
  <si>
    <t>Virtual contextually-based analyzer</t>
  </si>
  <si>
    <t>Stephanieside</t>
  </si>
  <si>
    <t>Open-architected eco-centric forecast</t>
  </si>
  <si>
    <t>Organic secondary strategy</t>
  </si>
  <si>
    <t>Ayersmouth</t>
  </si>
  <si>
    <t>Centralized cohesive circuit</t>
  </si>
  <si>
    <t>Lake Davidstad</t>
  </si>
  <si>
    <t>Assimilated local portal</t>
  </si>
  <si>
    <t>Port Roy</t>
  </si>
  <si>
    <t>Ameliorated object-oriented collaboration</t>
  </si>
  <si>
    <t>Lindsayfurt</t>
  </si>
  <si>
    <t>Focused bifurcated leverage</t>
  </si>
  <si>
    <t>Grantberg</t>
  </si>
  <si>
    <t>Optional holistic productivity</t>
  </si>
  <si>
    <t>South Dennismouth</t>
  </si>
  <si>
    <t>De-engineered attitude-oriented leverage</t>
  </si>
  <si>
    <t>Thomasside</t>
  </si>
  <si>
    <t>Down-sized 24/7 capability</t>
  </si>
  <si>
    <t>North Danielleland</t>
  </si>
  <si>
    <t>Horizontal executive focus group</t>
  </si>
  <si>
    <t>Jamesshire</t>
  </si>
  <si>
    <t>Monitored client-server hardware</t>
  </si>
  <si>
    <t>Joshuaside</t>
  </si>
  <si>
    <t>Persevering 6thgeneration productivity</t>
  </si>
  <si>
    <t>Holdentown</t>
  </si>
  <si>
    <t>Advanced value-added migration</t>
  </si>
  <si>
    <t>South Davidton</t>
  </si>
  <si>
    <t>Enterprise-wide impactful functionalities</t>
  </si>
  <si>
    <t>Nicholsberg</t>
  </si>
  <si>
    <t>Secured 5thgeneration open system</t>
  </si>
  <si>
    <t>Palmerburgh</t>
  </si>
  <si>
    <t>Profound multi-state leverage</t>
  </si>
  <si>
    <t>Sanchezburgh</t>
  </si>
  <si>
    <t>Phased client-driven customer loyalty</t>
  </si>
  <si>
    <t>Programmable analyzing approach</t>
  </si>
  <si>
    <t>Adaptive content-based open system</t>
  </si>
  <si>
    <t>Total modular database</t>
  </si>
  <si>
    <t>New Austinfurt</t>
  </si>
  <si>
    <t>Virtual non-volatile function</t>
  </si>
  <si>
    <t>Franciscostad</t>
  </si>
  <si>
    <t>Exclusive secondary installation</t>
  </si>
  <si>
    <t>West Shannonview</t>
  </si>
  <si>
    <t>Face-to-face modular customer loyalty</t>
  </si>
  <si>
    <t>South Jasontown</t>
  </si>
  <si>
    <t>Synchronized modular adapter</t>
  </si>
  <si>
    <t>Self-enabling optimal hierarchy</t>
  </si>
  <si>
    <t>Normanfort</t>
  </si>
  <si>
    <t>UAE, UK, Israel</t>
  </si>
  <si>
    <t>Persistent non-volatile knowledge user</t>
  </si>
  <si>
    <t>Port Sarah</t>
  </si>
  <si>
    <t>Open-architected national software</t>
  </si>
  <si>
    <t>Port Brittany</t>
  </si>
  <si>
    <t>Ameliorated web-enabled pricing structure</t>
  </si>
  <si>
    <t>New Cheryl</t>
  </si>
  <si>
    <t>Focused fresh-thinking framework</t>
  </si>
  <si>
    <t>Wrightshire</t>
  </si>
  <si>
    <t>Quality-focused even-keeled functionalities</t>
  </si>
  <si>
    <t>Carterbury</t>
  </si>
  <si>
    <t>Devolved even-keeled contingency</t>
  </si>
  <si>
    <t>Richardfort</t>
  </si>
  <si>
    <t>Israel, UAE, France</t>
  </si>
  <si>
    <t>Optional local capacity</t>
  </si>
  <si>
    <t>West Tammy</t>
  </si>
  <si>
    <t>Total fresh-thinking orchestration</t>
  </si>
  <si>
    <t>Garciaport</t>
  </si>
  <si>
    <t>Profound disintermediate leverage</t>
  </si>
  <si>
    <t>Israel, China, UK</t>
  </si>
  <si>
    <t>Business-focused logistical adapter</t>
  </si>
  <si>
    <t>Davidtown</t>
  </si>
  <si>
    <t>Multi-channeled maximized utilization</t>
  </si>
  <si>
    <t>East Haleymouth</t>
  </si>
  <si>
    <t>Extended asynchronous time-frame</t>
  </si>
  <si>
    <t>Future-proofed fault-tolerant orchestration</t>
  </si>
  <si>
    <t>Carrieland</t>
  </si>
  <si>
    <t>Object-based homogeneous policy</t>
  </si>
  <si>
    <t>Lake Crystal</t>
  </si>
  <si>
    <t>Total grid-enabled Graphical User Interface</t>
  </si>
  <si>
    <t>South Kyleborough</t>
  </si>
  <si>
    <t>UAE, India, USA</t>
  </si>
  <si>
    <t>Upgradable grid-enabled database</t>
  </si>
  <si>
    <t>Jacobview</t>
  </si>
  <si>
    <t>Organic object-oriented interface</t>
  </si>
  <si>
    <t>Lake Wendymouth</t>
  </si>
  <si>
    <t>Optimized systemic superstructure</t>
  </si>
  <si>
    <t>North Theresamouth</t>
  </si>
  <si>
    <t>Profound asynchronous help-desk</t>
  </si>
  <si>
    <t>Lake Adam</t>
  </si>
  <si>
    <t>Self-enabling composite challenge</t>
  </si>
  <si>
    <t>West Leslie</t>
  </si>
  <si>
    <t>Diverse tertiary flexibility</t>
  </si>
  <si>
    <t>North Tyler</t>
  </si>
  <si>
    <t>UAE, Russia, UK</t>
  </si>
  <si>
    <t>Multi-layered contextually-based help-desk</t>
  </si>
  <si>
    <t>Harrisfurt</t>
  </si>
  <si>
    <t>Sharable clear-thinking strategy</t>
  </si>
  <si>
    <t>Open-source empowering system engine</t>
  </si>
  <si>
    <t>Thomashaven</t>
  </si>
  <si>
    <t>Israel, Japan, UK</t>
  </si>
  <si>
    <t>Advanced maximized implementation</t>
  </si>
  <si>
    <t>Williamsside</t>
  </si>
  <si>
    <t>De-engineered value-added workforce</t>
  </si>
  <si>
    <t>Bishopside</t>
  </si>
  <si>
    <t>Cross-group secondary portal</t>
  </si>
  <si>
    <t>Lake Mandymouth</t>
  </si>
  <si>
    <t>Progressive national methodology</t>
  </si>
  <si>
    <t>South Richard</t>
  </si>
  <si>
    <t>User-centric client-driven hierarchy</t>
  </si>
  <si>
    <t>Lake Briannahaven</t>
  </si>
  <si>
    <t>Visionary dynamic capacity</t>
  </si>
  <si>
    <t>East Karen</t>
  </si>
  <si>
    <t>Mandatory maximized archive</t>
  </si>
  <si>
    <t>New Rebeccaview</t>
  </si>
  <si>
    <t>Operative next generation approach</t>
  </si>
  <si>
    <t>North Sarahbury</t>
  </si>
  <si>
    <t>USA, UAE, Russia</t>
  </si>
  <si>
    <t>De-engineered dynamic task-force</t>
  </si>
  <si>
    <t>Carrollfurt</t>
  </si>
  <si>
    <t>Seamless homogeneous methodology</t>
  </si>
  <si>
    <t>Enterprise-wide static collaboration</t>
  </si>
  <si>
    <t>Lorimouth</t>
  </si>
  <si>
    <t>User-centric transitional help-desk</t>
  </si>
  <si>
    <t>Lopezshire</t>
  </si>
  <si>
    <t>Automated asynchronous emulation</t>
  </si>
  <si>
    <t>Lake Austin</t>
  </si>
  <si>
    <t>Germany, Japan, UK</t>
  </si>
  <si>
    <t>Proactive discrete architecture</t>
  </si>
  <si>
    <t>North Curtisland</t>
  </si>
  <si>
    <t>Japan, Germany, Russia</t>
  </si>
  <si>
    <t>Reduced discrete customer loyalty</t>
  </si>
  <si>
    <t>Port Angelica</t>
  </si>
  <si>
    <t>Ergonomic bifurcated framework</t>
  </si>
  <si>
    <t>Newmanhaven</t>
  </si>
  <si>
    <t>Seamless transitional paradigm</t>
  </si>
  <si>
    <t>North Jeremy</t>
  </si>
  <si>
    <t>Decentralized optimal toolset</t>
  </si>
  <si>
    <t>Buckleymouth</t>
  </si>
  <si>
    <t>Balanced intangible secured line</t>
  </si>
  <si>
    <t>Total 5thgeneration conglomeration</t>
  </si>
  <si>
    <t>Port Justinbury</t>
  </si>
  <si>
    <t>Quality-focused multi-state solution</t>
  </si>
  <si>
    <t>Decentralized interactive policy</t>
  </si>
  <si>
    <t>Upgradable high-level installation</t>
  </si>
  <si>
    <t>Walkerchester</t>
  </si>
  <si>
    <t>USA, India, UK</t>
  </si>
  <si>
    <t>Reverse-engineered 24hour project</t>
  </si>
  <si>
    <t>Singletonport</t>
  </si>
  <si>
    <t>Cloned object-oriented algorithm</t>
  </si>
  <si>
    <t>Jamesburgh</t>
  </si>
  <si>
    <t>Persistent bottom-line capability</t>
  </si>
  <si>
    <t>Scottberg</t>
  </si>
  <si>
    <t>Phased homogeneous initiative</t>
  </si>
  <si>
    <t>Donaldchester</t>
  </si>
  <si>
    <t>Realigned executive website</t>
  </si>
  <si>
    <t>South Kyletown</t>
  </si>
  <si>
    <t>Fully-configurable uniform software</t>
  </si>
  <si>
    <t>Sandraberg</t>
  </si>
  <si>
    <t>Organized client-driven approach</t>
  </si>
  <si>
    <t>Lake Austinmouth</t>
  </si>
  <si>
    <t>Optimized static website</t>
  </si>
  <si>
    <t>Reedhaven</t>
  </si>
  <si>
    <t>Customer-focused demand-driven moderator</t>
  </si>
  <si>
    <t>Morsehaven</t>
  </si>
  <si>
    <t>Germany, Russia, USA</t>
  </si>
  <si>
    <t>Devolved real-time process improvement</t>
  </si>
  <si>
    <t>Port Steven</t>
  </si>
  <si>
    <t>Russia, Israel, USA</t>
  </si>
  <si>
    <t>Implemented global time-frame</t>
  </si>
  <si>
    <t>Clarkeburgh</t>
  </si>
  <si>
    <t>Assimilated analyzing function</t>
  </si>
  <si>
    <t>Jasonberg</t>
  </si>
  <si>
    <t>Sharable national Local Area Network</t>
  </si>
  <si>
    <t>Wendybury</t>
  </si>
  <si>
    <t>Streamlined clear-thinking groupware</t>
  </si>
  <si>
    <t>Aimeemouth</t>
  </si>
  <si>
    <t>France, UK, India</t>
  </si>
  <si>
    <t>Face-to-face 24hour open system</t>
  </si>
  <si>
    <t>Profit-focused fault-tolerant flexibility</t>
  </si>
  <si>
    <t>South Brenda</t>
  </si>
  <si>
    <t>De-engineered eco-centric architecture</t>
  </si>
  <si>
    <t>Multi-tiered multi-state task-force</t>
  </si>
  <si>
    <t>South Nicole</t>
  </si>
  <si>
    <t>Managed composite array</t>
  </si>
  <si>
    <t>Down-sized bandwidth-monitored architecture</t>
  </si>
  <si>
    <t>Wyattbury</t>
  </si>
  <si>
    <t>Virtual foreground conglomeration</t>
  </si>
  <si>
    <t>User-friendly 4thgeneration encryption</t>
  </si>
  <si>
    <t>East Jane</t>
  </si>
  <si>
    <t>Mandatory eco-centric matrix</t>
  </si>
  <si>
    <t>Stephenland</t>
  </si>
  <si>
    <t>India, USA, Germany</t>
  </si>
  <si>
    <t>Distributed grid-enabled algorithm</t>
  </si>
  <si>
    <t>West Morgan</t>
  </si>
  <si>
    <t>Function-based local framework</t>
  </si>
  <si>
    <t>West William</t>
  </si>
  <si>
    <t>Upgradable 24/7 contingency</t>
  </si>
  <si>
    <t>Open-architected bi-directional installation</t>
  </si>
  <si>
    <t>South Scottbury</t>
  </si>
  <si>
    <t>Horizontal 24hour product</t>
  </si>
  <si>
    <t>South Nathan</t>
  </si>
  <si>
    <t>Up-sized neutral framework</t>
  </si>
  <si>
    <t>West Miguelbury</t>
  </si>
  <si>
    <t>Enterprise-wide impactful strategy</t>
  </si>
  <si>
    <t>South Monicashire</t>
  </si>
  <si>
    <t>Decentralized intangible array</t>
  </si>
  <si>
    <t>Brettport</t>
  </si>
  <si>
    <t>Proactive empowering contingency</t>
  </si>
  <si>
    <t>Thomasborough</t>
  </si>
  <si>
    <t>Integrated national service-desk</t>
  </si>
  <si>
    <t>South Allison</t>
  </si>
  <si>
    <t>Public-key global installation</t>
  </si>
  <si>
    <t>Millerport</t>
  </si>
  <si>
    <t>Open-architected discrete structure</t>
  </si>
  <si>
    <t>New Joseland</t>
  </si>
  <si>
    <t>Function-based optimizing Local Area Network</t>
  </si>
  <si>
    <t>West Zoemouth</t>
  </si>
  <si>
    <t>Multi-layered local workforce</t>
  </si>
  <si>
    <t>South Matthewfort</t>
  </si>
  <si>
    <t>Intuitive even-keeled project</t>
  </si>
  <si>
    <t>East Jessicashire</t>
  </si>
  <si>
    <t>Organized content-based algorithm</t>
  </si>
  <si>
    <t>Vaughnhaven</t>
  </si>
  <si>
    <t>Profound heuristic Internet solution</t>
  </si>
  <si>
    <t>North Danamouth</t>
  </si>
  <si>
    <t>Grass-roots explicit alliance</t>
  </si>
  <si>
    <t>North Ariana</t>
  </si>
  <si>
    <t>Function-based intermediate knowledgebase</t>
  </si>
  <si>
    <t>Optional methodical parallelism</t>
  </si>
  <si>
    <t>East Christopherbury</t>
  </si>
  <si>
    <t>France, Israel, Russia</t>
  </si>
  <si>
    <t>Secured 24hour circuit</t>
  </si>
  <si>
    <t>Aaronmouth</t>
  </si>
  <si>
    <t>China, UK, India</t>
  </si>
  <si>
    <t>Fully-configurable object-oriented data-warehouse</t>
  </si>
  <si>
    <t>Port Beth</t>
  </si>
  <si>
    <t>Open-architected solution-oriented artificial intelligence</t>
  </si>
  <si>
    <t>South Michaeltown</t>
  </si>
  <si>
    <t>Monitored executive extranet</t>
  </si>
  <si>
    <t>Lake Jasonfort</t>
  </si>
  <si>
    <t>Exclusive fresh-thinking model</t>
  </si>
  <si>
    <t>Jasmineport</t>
  </si>
  <si>
    <t>Versatile bifurcated open architecture</t>
  </si>
  <si>
    <t>Taylorhaven</t>
  </si>
  <si>
    <t>Grass-roots next generation process improvement</t>
  </si>
  <si>
    <t>Gibsonhaven</t>
  </si>
  <si>
    <t>Sharable national installation</t>
  </si>
  <si>
    <t>New Stacey</t>
  </si>
  <si>
    <t>Horizontal bifurcated methodology</t>
  </si>
  <si>
    <t>Port Teresa</t>
  </si>
  <si>
    <t>Compatible non-volatile middleware</t>
  </si>
  <si>
    <t>Murraybury</t>
  </si>
  <si>
    <t>Operative client-driven process improvement</t>
  </si>
  <si>
    <t>East Ronald</t>
  </si>
  <si>
    <t>User-centric context-sensitive approach</t>
  </si>
  <si>
    <t>Sydneymouth</t>
  </si>
  <si>
    <t>Public-key hybrid hub</t>
  </si>
  <si>
    <t>Scottstad</t>
  </si>
  <si>
    <t>Diverse 24hour forecast</t>
  </si>
  <si>
    <t>East Kristy</t>
  </si>
  <si>
    <t>Digitized bi-directional Local Area Network</t>
  </si>
  <si>
    <t>Julietown</t>
  </si>
  <si>
    <t>Pre-emptive scalable installation</t>
  </si>
  <si>
    <t>Tapiamouth</t>
  </si>
  <si>
    <t>Optimized transitional collaboration</t>
  </si>
  <si>
    <t>Lake Kelly</t>
  </si>
  <si>
    <t>Cross-group next generation alliance</t>
  </si>
  <si>
    <t>Eileenview</t>
  </si>
  <si>
    <t>Networked composite encryption</t>
  </si>
  <si>
    <t>Ricktown</t>
  </si>
  <si>
    <t>Vision-oriented 24/7 database</t>
  </si>
  <si>
    <t>Louisshire</t>
  </si>
  <si>
    <t>Managed interactive emulation</t>
  </si>
  <si>
    <t>Port Andrewville</t>
  </si>
  <si>
    <t>Stand-alone systemic knowledge user</t>
  </si>
  <si>
    <t>Up-sized demand-driven ability</t>
  </si>
  <si>
    <t>Jensenbury</t>
  </si>
  <si>
    <t>Implemented background process improvement</t>
  </si>
  <si>
    <t>Alejandromouth</t>
  </si>
  <si>
    <t>Mandatory object-oriented challenge</t>
  </si>
  <si>
    <t>Natalieshire</t>
  </si>
  <si>
    <t>User-friendly bifurcated hardware</t>
  </si>
  <si>
    <t>North Johnside</t>
  </si>
  <si>
    <t>Mandatory object-oriented synergy</t>
  </si>
  <si>
    <t>Tranton</t>
  </si>
  <si>
    <t>Integrated real-time moratorium</t>
  </si>
  <si>
    <t>Multi-channeled fresh-thinking concept</t>
  </si>
  <si>
    <t>North Stephanietown</t>
  </si>
  <si>
    <t>UK, Israel, India</t>
  </si>
  <si>
    <t>Focused user-facing archive</t>
  </si>
  <si>
    <t>Michaelfurt</t>
  </si>
  <si>
    <t>Focused next generation approach</t>
  </si>
  <si>
    <t>Quinnberg</t>
  </si>
  <si>
    <t>Inverse 24hour array</t>
  </si>
  <si>
    <t>North Gabrielleton</t>
  </si>
  <si>
    <t>Mandatory national hierarchy</t>
  </si>
  <si>
    <t>South Jimmyville</t>
  </si>
  <si>
    <t>Mandatory secondary extranet</t>
  </si>
  <si>
    <t>Diverse homogeneous emulation</t>
  </si>
  <si>
    <t>Mcgrathport</t>
  </si>
  <si>
    <t>Customizable empowering policy</t>
  </si>
  <si>
    <t>South Taylorton</t>
  </si>
  <si>
    <t>Centralized regional database</t>
  </si>
  <si>
    <t>South Peggy</t>
  </si>
  <si>
    <t>Digitized 5thgeneration support</t>
  </si>
  <si>
    <t>West Jeremyville</t>
  </si>
  <si>
    <t>Customer-focused context-sensitive definition</t>
  </si>
  <si>
    <t>Port Richard</t>
  </si>
  <si>
    <t>Reduced asynchronous product</t>
  </si>
  <si>
    <t>South Timothy</t>
  </si>
  <si>
    <t>Function-based eco-centric initiative</t>
  </si>
  <si>
    <t>Nathanmouth</t>
  </si>
  <si>
    <t>Cloned tertiary hardware</t>
  </si>
  <si>
    <t>Austinton</t>
  </si>
  <si>
    <t>USA, France, UAE</t>
  </si>
  <si>
    <t>Assimilated bi-directional matrix</t>
  </si>
  <si>
    <t>Harrisonside</t>
  </si>
  <si>
    <t>India, China, Germany</t>
  </si>
  <si>
    <t>Quality-focused transitional synergy</t>
  </si>
  <si>
    <t>Israel, USA, UAE</t>
  </si>
  <si>
    <t>Expanded neutral strategy</t>
  </si>
  <si>
    <t>South Olivia</t>
  </si>
  <si>
    <t>Multi-tiered systemic archive</t>
  </si>
  <si>
    <t>East Travisfort</t>
  </si>
  <si>
    <t>Reverse-engineered zero administration hub</t>
  </si>
  <si>
    <t>Davisshire</t>
  </si>
  <si>
    <t>Persevering fault-tolerant matrices</t>
  </si>
  <si>
    <t>West Scottville</t>
  </si>
  <si>
    <t>Inverse optimal throughput</t>
  </si>
  <si>
    <t>Donnaport</t>
  </si>
  <si>
    <t>Ergonomic stable middleware</t>
  </si>
  <si>
    <t>South Stephaniefurt</t>
  </si>
  <si>
    <t>User-friendly background core</t>
  </si>
  <si>
    <t>Extended static instruction set</t>
  </si>
  <si>
    <t>Justinburgh</t>
  </si>
  <si>
    <t>Ameliorated non-volatile open architecture</t>
  </si>
  <si>
    <t>Codyfort</t>
  </si>
  <si>
    <t>Multi-tiered full-range extranet</t>
  </si>
  <si>
    <t>Bobbyview</t>
  </si>
  <si>
    <t>Team-oriented fresh-thinking ability</t>
  </si>
  <si>
    <t>Vision-oriented intangible focus group</t>
  </si>
  <si>
    <t>Garnermouth</t>
  </si>
  <si>
    <t>Down-sized asynchronous functionalities</t>
  </si>
  <si>
    <t>Amyview</t>
  </si>
  <si>
    <t>UK, Japan, China</t>
  </si>
  <si>
    <t>Proactive global parallelism</t>
  </si>
  <si>
    <t>Barronview</t>
  </si>
  <si>
    <t>Implemented actuating website</t>
  </si>
  <si>
    <t>West Carlosbury</t>
  </si>
  <si>
    <t>Expanded high-level help-desk</t>
  </si>
  <si>
    <t>Rebeccaberg</t>
  </si>
  <si>
    <t>UAE, Russia, Japan</t>
  </si>
  <si>
    <t>Persevering 3rdgeneration firmware</t>
  </si>
  <si>
    <t>New Anthonyfurt</t>
  </si>
  <si>
    <t>UK, UAE, Russia</t>
  </si>
  <si>
    <t>Digitized holistic strategy</t>
  </si>
  <si>
    <t>Port Stephanieview</t>
  </si>
  <si>
    <t>Reactive heuristic knowledge user</t>
  </si>
  <si>
    <t>South Kathleen</t>
  </si>
  <si>
    <t>Organized static analyzer</t>
  </si>
  <si>
    <t>Adamfort</t>
  </si>
  <si>
    <t>Integrated exuding matrix</t>
  </si>
  <si>
    <t>Port Lisaborough</t>
  </si>
  <si>
    <t>Re-engineered responsive function</t>
  </si>
  <si>
    <t>Lake Josephburgh</t>
  </si>
  <si>
    <t>UAE, India, Germany</t>
  </si>
  <si>
    <t>Extended real-time hierarchy</t>
  </si>
  <si>
    <t>New Maryfurt</t>
  </si>
  <si>
    <t>Right-sized local application</t>
  </si>
  <si>
    <t>Danielsmouth</t>
  </si>
  <si>
    <t>Open-architected 24hour customer loyalty</t>
  </si>
  <si>
    <t>South Trevorport</t>
  </si>
  <si>
    <t>Monitored composite artificial intelligence</t>
  </si>
  <si>
    <t>Armstrongside</t>
  </si>
  <si>
    <t>Ameliorated discrete help-desk</t>
  </si>
  <si>
    <t>South Suzannebury</t>
  </si>
  <si>
    <t>Reduced bi-directional artificial intelligence</t>
  </si>
  <si>
    <t>South Angelafurt</t>
  </si>
  <si>
    <t>Multi-lateral content-based Graphical User Interface</t>
  </si>
  <si>
    <t>Port Georgetown</t>
  </si>
  <si>
    <t>Visionary disintermediate contingency</t>
  </si>
  <si>
    <t>West Jordanberg</t>
  </si>
  <si>
    <t>France, Japan, Russia</t>
  </si>
  <si>
    <t>Persevering dynamic success</t>
  </si>
  <si>
    <t>Extended radical ability</t>
  </si>
  <si>
    <t>Andreaside</t>
  </si>
  <si>
    <t>Open-source 24/7 definition</t>
  </si>
  <si>
    <t>South Williamville</t>
  </si>
  <si>
    <t>Reverse-engineered optimal model</t>
  </si>
  <si>
    <t>Reginaland</t>
  </si>
  <si>
    <t>User-centric asymmetric website</t>
  </si>
  <si>
    <t>East Mollyhaven</t>
  </si>
  <si>
    <t>Visionary zero administration throughput</t>
  </si>
  <si>
    <t>Patrickchester</t>
  </si>
  <si>
    <t>Persevering well-modulated function</t>
  </si>
  <si>
    <t>Perezview</t>
  </si>
  <si>
    <t>Cross-platform eco-centric groupware</t>
  </si>
  <si>
    <t>South Kathrynland</t>
  </si>
  <si>
    <t>Automated mobile capability</t>
  </si>
  <si>
    <t>Lake Raymond</t>
  </si>
  <si>
    <t>Customer-focused interactive knowledge user</t>
  </si>
  <si>
    <t>Christinamouth</t>
  </si>
  <si>
    <t>Operative responsive support</t>
  </si>
  <si>
    <t>Down-sized homogeneous concept</t>
  </si>
  <si>
    <t>Jamesfort</t>
  </si>
  <si>
    <t>Monitored web-enabled attitude</t>
  </si>
  <si>
    <t>Port Stephenbury</t>
  </si>
  <si>
    <t>Focused solution-oriented algorithm</t>
  </si>
  <si>
    <t>New Kathleenport</t>
  </si>
  <si>
    <t>Russia, Japan, Germany</t>
  </si>
  <si>
    <t>Organic object-oriented groupware</t>
  </si>
  <si>
    <t>West Shannon</t>
  </si>
  <si>
    <t>Ergonomic system-worthy installation</t>
  </si>
  <si>
    <t>West Margaret</t>
  </si>
  <si>
    <t>Self-enabling demand-driven system engine</t>
  </si>
  <si>
    <t>Tatestad</t>
  </si>
  <si>
    <t>Virtual bandwidth-monitored standardization</t>
  </si>
  <si>
    <t>New Tonyafurt</t>
  </si>
  <si>
    <t>Digitized fresh-thinking open architecture</t>
  </si>
  <si>
    <t>Organic empowering contingency</t>
  </si>
  <si>
    <t>UK, China, Russia</t>
  </si>
  <si>
    <t>Stand-alone optimal challenge</t>
  </si>
  <si>
    <t>Lake Rebeccafurt</t>
  </si>
  <si>
    <t>Down-sized 4thgeneration middleware</t>
  </si>
  <si>
    <t>Lambland</t>
  </si>
  <si>
    <t>USA, UK, Israel</t>
  </si>
  <si>
    <t>Seamless next generation budgetary management</t>
  </si>
  <si>
    <t>Open-source real-time open architecture</t>
  </si>
  <si>
    <t>Briannamouth</t>
  </si>
  <si>
    <t>Right-sized eco-centric extranet</t>
  </si>
  <si>
    <t>Marshalltown</t>
  </si>
  <si>
    <t>De-engineered scalable project</t>
  </si>
  <si>
    <t>South Amandashire</t>
  </si>
  <si>
    <t>Sharable stable approach</t>
  </si>
  <si>
    <t>South Carolfort</t>
  </si>
  <si>
    <t>Enterprise-wide zero administration firmware</t>
  </si>
  <si>
    <t>Yorkbury</t>
  </si>
  <si>
    <t>Up-sized 5thgeneration info-mediaries</t>
  </si>
  <si>
    <t>East Nicoleside</t>
  </si>
  <si>
    <t>Team-oriented client-driven framework</t>
  </si>
  <si>
    <t>Nealmouth</t>
  </si>
  <si>
    <t>Pre-emptive hybrid productivity</t>
  </si>
  <si>
    <t>South Kathryn</t>
  </si>
  <si>
    <t>Triple-buffered directional interface</t>
  </si>
  <si>
    <t>Lake Jennystad</t>
  </si>
  <si>
    <t>Operative explicit strategy</t>
  </si>
  <si>
    <t>North Connorton</t>
  </si>
  <si>
    <t>Germany, France, Russia</t>
  </si>
  <si>
    <t>Innovative composite open system</t>
  </si>
  <si>
    <t>Jonesside</t>
  </si>
  <si>
    <t>Vision-oriented zero tolerance leverage</t>
  </si>
  <si>
    <t>Royside</t>
  </si>
  <si>
    <t>Compatible logistical circuit</t>
  </si>
  <si>
    <t>Flemingshire</t>
  </si>
  <si>
    <t>Cross-group stable framework</t>
  </si>
  <si>
    <t>Richardside</t>
  </si>
  <si>
    <t>Mandatory local circuit</t>
  </si>
  <si>
    <t>Donaldbury</t>
  </si>
  <si>
    <t>Persistent explicit application</t>
  </si>
  <si>
    <t>Lake Amberburgh</t>
  </si>
  <si>
    <t>Distributed systemic synergy</t>
  </si>
  <si>
    <t>Fully-configurable client-server service-desk</t>
  </si>
  <si>
    <t>Benjaminborough</t>
  </si>
  <si>
    <t>User-centric 24/7 capability</t>
  </si>
  <si>
    <t>Synchronized mobile data-warehouse</t>
  </si>
  <si>
    <t>Lake Juliestad</t>
  </si>
  <si>
    <t>Ameliorated mobile encryption</t>
  </si>
  <si>
    <t>Margaretborough</t>
  </si>
  <si>
    <t>Realigned incremental policy</t>
  </si>
  <si>
    <t>South Sherylview</t>
  </si>
  <si>
    <t>Streamlined dynamic infrastructure</t>
  </si>
  <si>
    <t>Nguyenburgh</t>
  </si>
  <si>
    <t>Adaptive demand-driven infrastructure</t>
  </si>
  <si>
    <t>Synergistic object-oriented synergy</t>
  </si>
  <si>
    <t>Hartchester</t>
  </si>
  <si>
    <t>Phased bandwidth-monitored functionalities</t>
  </si>
  <si>
    <t>Progressive optimizing definition</t>
  </si>
  <si>
    <t>Jeffreymouth</t>
  </si>
  <si>
    <t>Stand-alone incremental instruction set</t>
  </si>
  <si>
    <t>Gardnerville</t>
  </si>
  <si>
    <t>Cross-platform clear-thinking data-warehouse</t>
  </si>
  <si>
    <t>Port Mary</t>
  </si>
  <si>
    <t>Focused empowering middleware</t>
  </si>
  <si>
    <t>Enhanced bottom-line approach</t>
  </si>
  <si>
    <t>Margaretfurt</t>
  </si>
  <si>
    <t>Progressive client-server instruction set</t>
  </si>
  <si>
    <t>Jamestown</t>
  </si>
  <si>
    <t>Phased fresh-thinking help-desk</t>
  </si>
  <si>
    <t>Robinsonville</t>
  </si>
  <si>
    <t>USA, Japan, France</t>
  </si>
  <si>
    <t>Inverse even-keeled help-desk</t>
  </si>
  <si>
    <t>Ortegaport</t>
  </si>
  <si>
    <t>Germany, UK, China</t>
  </si>
  <si>
    <t>De-engineered radical instruction set</t>
  </si>
  <si>
    <t>Richardsfort</t>
  </si>
  <si>
    <t>USA, India, China</t>
  </si>
  <si>
    <t>Ergonomic logistical secured line</t>
  </si>
  <si>
    <t>Briannafurt</t>
  </si>
  <si>
    <t>De-engineered incremental neural-net</t>
  </si>
  <si>
    <t>Maryfurt</t>
  </si>
  <si>
    <t>Open-architected coherent task-force</t>
  </si>
  <si>
    <t>Melanieport</t>
  </si>
  <si>
    <t>Grass-roots 24hour ability</t>
  </si>
  <si>
    <t>South Samuel</t>
  </si>
  <si>
    <t>Operative value-added solution</t>
  </si>
  <si>
    <t>North Shelly</t>
  </si>
  <si>
    <t>Advanced 5thgeneration intranet</t>
  </si>
  <si>
    <t>Schneiderchester</t>
  </si>
  <si>
    <t>UAE, India, Russia</t>
  </si>
  <si>
    <t>Distributed 24hour model</t>
  </si>
  <si>
    <t>Port Douglasburgh</t>
  </si>
  <si>
    <t>Self-enabling foreground encoding</t>
  </si>
  <si>
    <t>Carrieport</t>
  </si>
  <si>
    <t>Stand-alone systematic intranet</t>
  </si>
  <si>
    <t>Grass-roots modular extranet</t>
  </si>
  <si>
    <t>Paulaview</t>
  </si>
  <si>
    <t>Japan, UK, Russia</t>
  </si>
  <si>
    <t>Open-architected national instruction set</t>
  </si>
  <si>
    <t>Snyderfort</t>
  </si>
  <si>
    <t>Synergistic intermediate secured line</t>
  </si>
  <si>
    <t>South Kimberlyfort</t>
  </si>
  <si>
    <t>Persevering motivating service-desk</t>
  </si>
  <si>
    <t>West Kirkburgh</t>
  </si>
  <si>
    <t>Pre-emptive impactful infrastructure</t>
  </si>
  <si>
    <t>East Sharon</t>
  </si>
  <si>
    <t>Reverse-engineered zero tolerance instruction set</t>
  </si>
  <si>
    <t>New Jessicamouth</t>
  </si>
  <si>
    <t>De-engineered system-worthy throughput</t>
  </si>
  <si>
    <t>Davisside</t>
  </si>
  <si>
    <t>Automated bandwidth-monitored hub</t>
  </si>
  <si>
    <t>Brandonbury</t>
  </si>
  <si>
    <t>Face-to-face mobile protocol</t>
  </si>
  <si>
    <t>Kennethhaven</t>
  </si>
  <si>
    <t>De-engineered fault-tolerant throughput</t>
  </si>
  <si>
    <t>Wilsonfort</t>
  </si>
  <si>
    <t>Progressive 6thgeneration strategy</t>
  </si>
  <si>
    <t>Progressive coherent matrix</t>
  </si>
  <si>
    <t>North Courtney</t>
  </si>
  <si>
    <t>Reduced empowering system engine</t>
  </si>
  <si>
    <t>Port Dylanville</t>
  </si>
  <si>
    <t>Face-to-face bi-directional benchmark</t>
  </si>
  <si>
    <t>West Collinfurt</t>
  </si>
  <si>
    <t>Versatile bottom-line initiative</t>
  </si>
  <si>
    <t>Ameliorated optimal time-frame</t>
  </si>
  <si>
    <t>Myersburgh</t>
  </si>
  <si>
    <t>Versatile radical algorithm</t>
  </si>
  <si>
    <t>Bethanyhaven</t>
  </si>
  <si>
    <t>User-friendly national customer loyalty</t>
  </si>
  <si>
    <t>Steelemouth</t>
  </si>
  <si>
    <t>Integrated 6thgeneration alliance</t>
  </si>
  <si>
    <t>New Justinberg</t>
  </si>
  <si>
    <t>Secured exuding hardware</t>
  </si>
  <si>
    <t>North Samuel</t>
  </si>
  <si>
    <t>Optional zero-defect installation</t>
  </si>
  <si>
    <t>Adamsshire</t>
  </si>
  <si>
    <t>Russia, USA, UAE</t>
  </si>
  <si>
    <t>Versatile stable definition</t>
  </si>
  <si>
    <t>West Alexander</t>
  </si>
  <si>
    <t>Implemented even-keeled monitoring</t>
  </si>
  <si>
    <t>Horizontal zero-defect success</t>
  </si>
  <si>
    <t>Lake Crystalmouth</t>
  </si>
  <si>
    <t>Open-source actuating flexibility</t>
  </si>
  <si>
    <t>Multi-lateral attitude-oriented alliance</t>
  </si>
  <si>
    <t>West Kevinfurt</t>
  </si>
  <si>
    <t>Multi-tiered object-oriented Internet solution</t>
  </si>
  <si>
    <t>New Laceyland</t>
  </si>
  <si>
    <t>Ameliorated client-server data-warehouse</t>
  </si>
  <si>
    <t>Kristaborough</t>
  </si>
  <si>
    <t>Synchronized needs-based capability</t>
  </si>
  <si>
    <t>Francoshire</t>
  </si>
  <si>
    <t>Programmable context-sensitive architecture</t>
  </si>
  <si>
    <t>Parkberg</t>
  </si>
  <si>
    <t>Business-focused user-facing benchmark</t>
  </si>
  <si>
    <t>Jonland</t>
  </si>
  <si>
    <t>Cross-group multimedia matrix</t>
  </si>
  <si>
    <t>Huntstad</t>
  </si>
  <si>
    <t>User-centric eco-centric open architecture</t>
  </si>
  <si>
    <t>East Rogershire</t>
  </si>
  <si>
    <t>Germany, Israel, France</t>
  </si>
  <si>
    <t>Cloned impactful Local Area Network</t>
  </si>
  <si>
    <t>Georgebury</t>
  </si>
  <si>
    <t>Digitized content-based Internet solution</t>
  </si>
  <si>
    <t>Russia, India, UAE</t>
  </si>
  <si>
    <t>Upgradable bi-directional initiative</t>
  </si>
  <si>
    <t>Jamieview</t>
  </si>
  <si>
    <t>Switchable bandwidth-monitored hub</t>
  </si>
  <si>
    <t>Johnfort</t>
  </si>
  <si>
    <t>Open-architected object-oriented knowledge user</t>
  </si>
  <si>
    <t>Lisafort</t>
  </si>
  <si>
    <t>Cross-group non-volatile migration</t>
  </si>
  <si>
    <t>Priscillafurt</t>
  </si>
  <si>
    <t>Face-to-face modular parallelism</t>
  </si>
  <si>
    <t>Jonesberg</t>
  </si>
  <si>
    <t>UK, USA, Russia</t>
  </si>
  <si>
    <t>Future-proofed dynamic help-desk</t>
  </si>
  <si>
    <t>Stephentown</t>
  </si>
  <si>
    <t>Reduced secondary framework</t>
  </si>
  <si>
    <t>Chadfort</t>
  </si>
  <si>
    <t>Team-oriented web-enabled leverage</t>
  </si>
  <si>
    <t>Cross-platform motivating extranet</t>
  </si>
  <si>
    <t>Robertsland</t>
  </si>
  <si>
    <t>Quality-focused real-time matrices</t>
  </si>
  <si>
    <t>Greenfort</t>
  </si>
  <si>
    <t>Multi-layered foreground access</t>
  </si>
  <si>
    <t>Raymouth</t>
  </si>
  <si>
    <t>Centralized object-oriented function</t>
  </si>
  <si>
    <t>East Kaylaville</t>
  </si>
  <si>
    <t>Right-sized zero-defect emulation</t>
  </si>
  <si>
    <t>Benjaminhaven</t>
  </si>
  <si>
    <t>Open-source executive solution</t>
  </si>
  <si>
    <t>North Lisafort</t>
  </si>
  <si>
    <t>France, India, UAE</t>
  </si>
  <si>
    <t>Cross-platform logistical application</t>
  </si>
  <si>
    <t>Jasonfort</t>
  </si>
  <si>
    <t>Horizontal contextually-based flexibility</t>
  </si>
  <si>
    <t>Ergonomic dedicated encryption</t>
  </si>
  <si>
    <t>West Michaelchester</t>
  </si>
  <si>
    <t>Mandatory disintermediate middleware</t>
  </si>
  <si>
    <t>Advanced mobile installation</t>
  </si>
  <si>
    <t>South John</t>
  </si>
  <si>
    <t>Streamlined mission-critical structure</t>
  </si>
  <si>
    <t>Martinezmouth</t>
  </si>
  <si>
    <t>Advanced analyzing algorithm</t>
  </si>
  <si>
    <t>Travischester</t>
  </si>
  <si>
    <t>Public-key bandwidth-monitored service-desk</t>
  </si>
  <si>
    <t>Sarahville</t>
  </si>
  <si>
    <t>Right-sized upward-trending open system</t>
  </si>
  <si>
    <t>Alanberg</t>
  </si>
  <si>
    <t>France, Germany, Japan</t>
  </si>
  <si>
    <t>Devolved contextually-based architecture</t>
  </si>
  <si>
    <t>Port Gregory</t>
  </si>
  <si>
    <t>Switchable uniform budgetary management</t>
  </si>
  <si>
    <t>West Henryport</t>
  </si>
  <si>
    <t>Extended hybrid support</t>
  </si>
  <si>
    <t>Self-enabling impactful ability</t>
  </si>
  <si>
    <t>Kaneborough</t>
  </si>
  <si>
    <t>Robust grid-enabled website</t>
  </si>
  <si>
    <t>Jasonborough</t>
  </si>
  <si>
    <t>Profound holistic knowledgebase</t>
  </si>
  <si>
    <t>North Jeffrey</t>
  </si>
  <si>
    <t>Upgradable well-modulated extranet</t>
  </si>
  <si>
    <t>Garciaton</t>
  </si>
  <si>
    <t>Centralized multimedia process improvement</t>
  </si>
  <si>
    <t>Sandraton</t>
  </si>
  <si>
    <t>Right-sized 3rdgeneration support</t>
  </si>
  <si>
    <t>Kimberlystad</t>
  </si>
  <si>
    <t>Assimilated local paradigm</t>
  </si>
  <si>
    <t>New Travis</t>
  </si>
  <si>
    <t>Configurable solution-oriented product</t>
  </si>
  <si>
    <t>North Dylan</t>
  </si>
  <si>
    <t>Re-contextualized optimizing website</t>
  </si>
  <si>
    <t>New Amanda</t>
  </si>
  <si>
    <t>Business-focused maximized artificial intelligence</t>
  </si>
  <si>
    <t>West Johnborough</t>
  </si>
  <si>
    <t>Proactive interactive implementation</t>
  </si>
  <si>
    <t>Customer-focused national initiative</t>
  </si>
  <si>
    <t>Virtual attitude-oriented archive</t>
  </si>
  <si>
    <t>Lake Kaitlyn</t>
  </si>
  <si>
    <t>Networked background knowledgebase</t>
  </si>
  <si>
    <t>Lake Brandifurt</t>
  </si>
  <si>
    <t>Business-focused tangible database</t>
  </si>
  <si>
    <t>Profound high-level encoding</t>
  </si>
  <si>
    <t>Decentralized directional ability</t>
  </si>
  <si>
    <t>Stand-alone web-enabled parallelism</t>
  </si>
  <si>
    <t>Implemented directional secured line</t>
  </si>
  <si>
    <t>Lake Christophermouth</t>
  </si>
  <si>
    <t>Configurable logistical orchestration</t>
  </si>
  <si>
    <t>Mackland</t>
  </si>
  <si>
    <t>User-friendly zero tolerance structure</t>
  </si>
  <si>
    <t>Lake Laura</t>
  </si>
  <si>
    <t>Triple-buffered content-based algorithm</t>
  </si>
  <si>
    <t>Jenniferfort</t>
  </si>
  <si>
    <t>Business-focused hybrid productivity</t>
  </si>
  <si>
    <t>Crystalmouth</t>
  </si>
  <si>
    <t>China, UK, Israel</t>
  </si>
  <si>
    <t>Distributed content-based pricing structure</t>
  </si>
  <si>
    <t>Josehaven</t>
  </si>
  <si>
    <t>Focused incremental structure</t>
  </si>
  <si>
    <t>Port Samuelbury</t>
  </si>
  <si>
    <t>Persistent optimal software</t>
  </si>
  <si>
    <t>Exclusive intangible algorithm</t>
  </si>
  <si>
    <t>Adambury</t>
  </si>
  <si>
    <t>Compatible heuristic capacity</t>
  </si>
  <si>
    <t>New Megan</t>
  </si>
  <si>
    <t>User-centric neutral paradigm</t>
  </si>
  <si>
    <t>Robertborough</t>
  </si>
  <si>
    <t>Managed hybrid parallelism</t>
  </si>
  <si>
    <t>Polarized impactful moratorium</t>
  </si>
  <si>
    <t>Nunezhaven</t>
  </si>
  <si>
    <t>Front-line human-resource solution</t>
  </si>
  <si>
    <t>Toddmouth</t>
  </si>
  <si>
    <t>Managed next generation focus group</t>
  </si>
  <si>
    <t>Wendyberg</t>
  </si>
  <si>
    <t>Organized content-based architecture</t>
  </si>
  <si>
    <t>North Michellefurt</t>
  </si>
  <si>
    <t>Function-based systematic benchmark</t>
  </si>
  <si>
    <t>South Walterberg</t>
  </si>
  <si>
    <t>Visionary modular attitude</t>
  </si>
  <si>
    <t>Racheltown</t>
  </si>
  <si>
    <t>User-friendly asynchronous paradigm</t>
  </si>
  <si>
    <t>Lake Brianna</t>
  </si>
  <si>
    <t>User-centric zero tolerance collaboration</t>
  </si>
  <si>
    <t>North Walter</t>
  </si>
  <si>
    <t>Polarized holistic data-warehouse</t>
  </si>
  <si>
    <t>Upgradable directional firmware</t>
  </si>
  <si>
    <t>Victoriatown</t>
  </si>
  <si>
    <t>Compatible directional concept</t>
  </si>
  <si>
    <t>North Danielchester</t>
  </si>
  <si>
    <t>Business-focused global projection</t>
  </si>
  <si>
    <t>North Sheila</t>
  </si>
  <si>
    <t>Enterprise-wide tertiary collaboration</t>
  </si>
  <si>
    <t>East Candaceton</t>
  </si>
  <si>
    <t>Multi-channeled optimal core</t>
  </si>
  <si>
    <t>Nunezfort</t>
  </si>
  <si>
    <t>Robust 24/7 website</t>
  </si>
  <si>
    <t>Bennetttown</t>
  </si>
  <si>
    <t>Inverse holistic utilization</t>
  </si>
  <si>
    <t>Innovative tertiary structure</t>
  </si>
  <si>
    <t>Lake Brendanmouth</t>
  </si>
  <si>
    <t>Compatible intangible workforce</t>
  </si>
  <si>
    <t>Realigned web-enabled algorithm</t>
  </si>
  <si>
    <t>West Tammyville</t>
  </si>
  <si>
    <t>Adaptive tangible installation</t>
  </si>
  <si>
    <t>North Tinaburgh</t>
  </si>
  <si>
    <t>Digitized exuding support</t>
  </si>
  <si>
    <t>Lindaview</t>
  </si>
  <si>
    <t>De-engineered tangible migration</t>
  </si>
  <si>
    <t>Julianstad</t>
  </si>
  <si>
    <t>Front-line global focus group</t>
  </si>
  <si>
    <t>East Renee</t>
  </si>
  <si>
    <t>Function-based even-keeled algorithm</t>
  </si>
  <si>
    <t>South Amandaton</t>
  </si>
  <si>
    <t>Automated asynchronous model</t>
  </si>
  <si>
    <t>East Toddhaven</t>
  </si>
  <si>
    <t>Fundamental homogeneous ability</t>
  </si>
  <si>
    <t>Carterview</t>
  </si>
  <si>
    <t>Synergized user-facing emulation</t>
  </si>
  <si>
    <t>Robertsshire</t>
  </si>
  <si>
    <t>Organic bottom-line adapter</t>
  </si>
  <si>
    <t>Mistyberg</t>
  </si>
  <si>
    <t>Secured executive complexity</t>
  </si>
  <si>
    <t>Grass-roots intermediate alliance</t>
  </si>
  <si>
    <t>Lake Eric</t>
  </si>
  <si>
    <t>Balanced upward-trending alliance</t>
  </si>
  <si>
    <t>Quality-focused upward-trending project</t>
  </si>
  <si>
    <t>Israel, UK, Japan</t>
  </si>
  <si>
    <t>West Dustin</t>
  </si>
  <si>
    <t>Customer-focused bottom-line benchmark</t>
  </si>
  <si>
    <t>Morrisville</t>
  </si>
  <si>
    <t>Robust scalable initiative</t>
  </si>
  <si>
    <t>South Kristinborough</t>
  </si>
  <si>
    <t>Persevering stable access</t>
  </si>
  <si>
    <t>China, Germany, UAE</t>
  </si>
  <si>
    <t>Multi-lateral executive strategy</t>
  </si>
  <si>
    <t>Jamesstad</t>
  </si>
  <si>
    <t>Team-oriented context-sensitive interface</t>
  </si>
  <si>
    <t>East Tina</t>
  </si>
  <si>
    <t>Assimilated client-driven functionalities</t>
  </si>
  <si>
    <t>South Tony</t>
  </si>
  <si>
    <t>Proactive solution-oriented standardization</t>
  </si>
  <si>
    <t>East Shannon</t>
  </si>
  <si>
    <t>France, Japan, USA</t>
  </si>
  <si>
    <t>Pre-emptive context-sensitive utilization</t>
  </si>
  <si>
    <t>Port Anthonyport</t>
  </si>
  <si>
    <t>Seamless 24hour contingency</t>
  </si>
  <si>
    <t>Clarkshire</t>
  </si>
  <si>
    <t>UK, UAE, USA</t>
  </si>
  <si>
    <t>Progressive directional customer loyalty</t>
  </si>
  <si>
    <t>Vision-oriented global infrastructure</t>
  </si>
  <si>
    <t>Port Amyville</t>
  </si>
  <si>
    <t>Centralized asymmetric system engine</t>
  </si>
  <si>
    <t>North Benjamin</t>
  </si>
  <si>
    <t>Right-sized optimizing moratorium</t>
  </si>
  <si>
    <t>Lake Mike</t>
  </si>
  <si>
    <t>Centralized fresh-thinking neural-net</t>
  </si>
  <si>
    <t>Switchable client-server open system</t>
  </si>
  <si>
    <t>Wardfurt</t>
  </si>
  <si>
    <t>Stand-alone tangible protocol</t>
  </si>
  <si>
    <t>Expanded real-time function</t>
  </si>
  <si>
    <t>Lake Ryanborough</t>
  </si>
  <si>
    <t>De-engineered 24/7 analyzer</t>
  </si>
  <si>
    <t>Dianamouth</t>
  </si>
  <si>
    <t>Virtual non-volatile productivity</t>
  </si>
  <si>
    <t>West Brent</t>
  </si>
  <si>
    <t>Re-contextualized content-based leverage</t>
  </si>
  <si>
    <t>Lake Alexandratown</t>
  </si>
  <si>
    <t>Reactive upward-trending success</t>
  </si>
  <si>
    <t>User-friendly full-range toolset</t>
  </si>
  <si>
    <t>Luisland</t>
  </si>
  <si>
    <t>Face-to-face responsive system engine</t>
  </si>
  <si>
    <t>New Hunterfurt</t>
  </si>
  <si>
    <t>India, Russia, Japan</t>
  </si>
  <si>
    <t>Horizontal static approach</t>
  </si>
  <si>
    <t>Payneside</t>
  </si>
  <si>
    <t>Re-contextualized coherent hardware</t>
  </si>
  <si>
    <t>West Annfurt</t>
  </si>
  <si>
    <t>Japan, India, Russia</t>
  </si>
  <si>
    <t>Phased object-oriented focus group</t>
  </si>
  <si>
    <t>New Jessica</t>
  </si>
  <si>
    <t>Realigned value-added task-force</t>
  </si>
  <si>
    <t>North Matthewtown</t>
  </si>
  <si>
    <t>Adaptive homogeneous data-warehouse</t>
  </si>
  <si>
    <t>Micheleville</t>
  </si>
  <si>
    <t>Seamless responsive leverage</t>
  </si>
  <si>
    <t>Bennettshire</t>
  </si>
  <si>
    <t>Cross-group regional Local Area Network</t>
  </si>
  <si>
    <t>Amberfort</t>
  </si>
  <si>
    <t>Open-architected human-resource capability</t>
  </si>
  <si>
    <t>Port Monica</t>
  </si>
  <si>
    <t>Multi-lateral intermediate database</t>
  </si>
  <si>
    <t>Perezbury</t>
  </si>
  <si>
    <t>Open-source holistic array</t>
  </si>
  <si>
    <t>New Amandafort</t>
  </si>
  <si>
    <t>Quality-focused systemic contingency</t>
  </si>
  <si>
    <t>East Isaacshire</t>
  </si>
  <si>
    <t>Centralized transitional focus group</t>
  </si>
  <si>
    <t>Lisashire</t>
  </si>
  <si>
    <t>Innovative 4thgeneration archive</t>
  </si>
  <si>
    <t>Carlosview</t>
  </si>
  <si>
    <t>Digitized composite pricing structure</t>
  </si>
  <si>
    <t>Zamorastad</t>
  </si>
  <si>
    <t>Realigned coherent utilization</t>
  </si>
  <si>
    <t>Kevinhaven</t>
  </si>
  <si>
    <t>Configurable empowering data-warehouse</t>
  </si>
  <si>
    <t>South Melaniestad</t>
  </si>
  <si>
    <t>Sharable demand-driven strategy</t>
  </si>
  <si>
    <t>Lake Phyllisborough</t>
  </si>
  <si>
    <t>Multi-layered global algorithm</t>
  </si>
  <si>
    <t>Robbinsville</t>
  </si>
  <si>
    <t>Customizable value-added attitude</t>
  </si>
  <si>
    <t>Mathewsmouth</t>
  </si>
  <si>
    <t>Multi-lateral encompassing info-mediaries</t>
  </si>
  <si>
    <t>Polarized tangible open architecture</t>
  </si>
  <si>
    <t>Yoderfurt</t>
  </si>
  <si>
    <t>Customizable attitude-oriented support</t>
  </si>
  <si>
    <t>Port Bradleyland</t>
  </si>
  <si>
    <t>Synchronized disintermediate function</t>
  </si>
  <si>
    <t>Villanuevaton</t>
  </si>
  <si>
    <t>Phased systemic matrices</t>
  </si>
  <si>
    <t>Gregoryshire</t>
  </si>
  <si>
    <t>Robust even-keeled task-force</t>
  </si>
  <si>
    <t>Morrowhaven</t>
  </si>
  <si>
    <t>Reverse-engineered incremental neural-net</t>
  </si>
  <si>
    <t>Port Tiffanybury</t>
  </si>
  <si>
    <t>User-centric encompassing interface</t>
  </si>
  <si>
    <t>Customizable asymmetric framework</t>
  </si>
  <si>
    <t>Total optimal emulation</t>
  </si>
  <si>
    <t>East David</t>
  </si>
  <si>
    <t>Business-focused well-modulated frame</t>
  </si>
  <si>
    <t>Heatherberg</t>
  </si>
  <si>
    <t>Fundamental executive time-frame</t>
  </si>
  <si>
    <t>North Bruce</t>
  </si>
  <si>
    <t>Enhanced fault-tolerant budgetary management</t>
  </si>
  <si>
    <t>Cross-group regional moratorium</t>
  </si>
  <si>
    <t>New Steveburgh</t>
  </si>
  <si>
    <t>Compatible neutral projection</t>
  </si>
  <si>
    <t>West Erikaton</t>
  </si>
  <si>
    <t>Enhanced upward-trending hierarchy</t>
  </si>
  <si>
    <t>Bridgesfurt</t>
  </si>
  <si>
    <t>Down-sized disintermediate pricing structure</t>
  </si>
  <si>
    <t>Zunigachester</t>
  </si>
  <si>
    <t>User-friendly 6thgeneration protocol</t>
  </si>
  <si>
    <t>East Ricky</t>
  </si>
  <si>
    <t>Object-based local software</t>
  </si>
  <si>
    <t>Open-architected explicit time-frame</t>
  </si>
  <si>
    <t>Polarized multimedia interface</t>
  </si>
  <si>
    <t>Port Williamtown</t>
  </si>
  <si>
    <t>Profit-focused even-keeled flexibility</t>
  </si>
  <si>
    <t>Bryanhaven</t>
  </si>
  <si>
    <t>Organic bifurcated ability</t>
  </si>
  <si>
    <t>East Donnachester</t>
  </si>
  <si>
    <t>Vision-oriented coherent function</t>
  </si>
  <si>
    <t>Youngberg</t>
  </si>
  <si>
    <t>Balanced responsive instruction set</t>
  </si>
  <si>
    <t>Terryberg</t>
  </si>
  <si>
    <t>Expanded explicit migration</t>
  </si>
  <si>
    <t>Port Alexandra</t>
  </si>
  <si>
    <t>Virtual secondary productivity</t>
  </si>
  <si>
    <t>Customer-focused real-time Local Area Network</t>
  </si>
  <si>
    <t>Customer-focused 4thgeneration projection</t>
  </si>
  <si>
    <t>Port Charlotte</t>
  </si>
  <si>
    <t>Mandatory background toolset</t>
  </si>
  <si>
    <t>Wellsfurt</t>
  </si>
  <si>
    <t>Synergistic logistical productivity</t>
  </si>
  <si>
    <t>Moyerview</t>
  </si>
  <si>
    <t>UK, UAE, Japan</t>
  </si>
  <si>
    <t>Face-to-face foreground open architecture</t>
  </si>
  <si>
    <t>Yvonnebury</t>
  </si>
  <si>
    <t>Multi-channeled national circuit</t>
  </si>
  <si>
    <t>Greeneton</t>
  </si>
  <si>
    <t>Front-line clear-thinking focus group</t>
  </si>
  <si>
    <t>Grass-roots empowering open architecture</t>
  </si>
  <si>
    <t>Laceyfort</t>
  </si>
  <si>
    <t>Cross-platform mobile instruction set</t>
  </si>
  <si>
    <t>Amyside</t>
  </si>
  <si>
    <t>Innovative system-worthy data-warehouse</t>
  </si>
  <si>
    <t>Griffithstad</t>
  </si>
  <si>
    <t>Stand-alone bi-directional Graphical User Interface</t>
  </si>
  <si>
    <t>Whiteheadport</t>
  </si>
  <si>
    <t>Persistent dynamic Internet solution</t>
  </si>
  <si>
    <t>South Johnborough</t>
  </si>
  <si>
    <t>Upgradable incremental groupware</t>
  </si>
  <si>
    <t>East Shawnburgh</t>
  </si>
  <si>
    <t>Customer-focused tangible capability</t>
  </si>
  <si>
    <t>Lake Andrea</t>
  </si>
  <si>
    <t>Cloned global Internet solution</t>
  </si>
  <si>
    <t>Lake Nataliehaven</t>
  </si>
  <si>
    <t>Face-to-face clear-thinking functionalities</t>
  </si>
  <si>
    <t>Parksport</t>
  </si>
  <si>
    <t>Balanced mobile strategy</t>
  </si>
  <si>
    <t>Doylefort</t>
  </si>
  <si>
    <t>Configurable upward-trending process improvement</t>
  </si>
  <si>
    <t>France, Russia, Germany</t>
  </si>
  <si>
    <t>Synergistic impactful synergy</t>
  </si>
  <si>
    <t>Mariahshire</t>
  </si>
  <si>
    <t>Optional hybrid contingency</t>
  </si>
  <si>
    <t>Fundamental foreground open architecture</t>
  </si>
  <si>
    <t>South Andrewborough</t>
  </si>
  <si>
    <t>Monitored optimal access</t>
  </si>
  <si>
    <t>Morganside</t>
  </si>
  <si>
    <t>Business-focused 4thgeneration definition</t>
  </si>
  <si>
    <t>Fuentesberg</t>
  </si>
  <si>
    <t>China, UAE, France</t>
  </si>
  <si>
    <t>Automated transitional monitoring</t>
  </si>
  <si>
    <t>New Philipburgh</t>
  </si>
  <si>
    <t>Synchronized static productivity</t>
  </si>
  <si>
    <t>Andersonview</t>
  </si>
  <si>
    <t>USA, UAE, India</t>
  </si>
  <si>
    <t>Reactive value-added archive</t>
  </si>
  <si>
    <t>East Michelle</t>
  </si>
  <si>
    <t>Lisatown</t>
  </si>
  <si>
    <t>Configurable directional matrices</t>
  </si>
  <si>
    <t>New Raymondmouth</t>
  </si>
  <si>
    <t>Open-source didactic infrastructure</t>
  </si>
  <si>
    <t>Ashleyfurt</t>
  </si>
  <si>
    <t>Proactive asymmetric application</t>
  </si>
  <si>
    <t>West Williamview</t>
  </si>
  <si>
    <t>Business-focused reciprocal adapter</t>
  </si>
  <si>
    <t>Port Josephview</t>
  </si>
  <si>
    <t>User-friendly upward-trending migration</t>
  </si>
  <si>
    <t>North Ericaland</t>
  </si>
  <si>
    <t>Reduced static groupware</t>
  </si>
  <si>
    <t>New Paula</t>
  </si>
  <si>
    <t>Japan, USA, Germany</t>
  </si>
  <si>
    <t>Programmable asynchronous help-desk</t>
  </si>
  <si>
    <t>Trevorstad</t>
  </si>
  <si>
    <t>Automated uniform forecast</t>
  </si>
  <si>
    <t>Johnsonfurt</t>
  </si>
  <si>
    <t>Multi-lateral bifurcated complexity</t>
  </si>
  <si>
    <t>Japan, UAE, Russia</t>
  </si>
  <si>
    <t>Object-based static projection</t>
  </si>
  <si>
    <t>Benjaminfort</t>
  </si>
  <si>
    <t>Vision-oriented attitude-oriented forecast</t>
  </si>
  <si>
    <t>Gomezshire</t>
  </si>
  <si>
    <t>Multi-channeled homogeneous customer loyalty</t>
  </si>
  <si>
    <t>Glendastad</t>
  </si>
  <si>
    <t>Balanced local moratorium</t>
  </si>
  <si>
    <t>New Aliciabury</t>
  </si>
  <si>
    <t>Reverse-engineered well-modulated process improvement</t>
  </si>
  <si>
    <t>Charlesland</t>
  </si>
  <si>
    <t>Horizontal executive productivity</t>
  </si>
  <si>
    <t>Moniqueberg</t>
  </si>
  <si>
    <t>Enterprise-wide multi-state artificial intelligence</t>
  </si>
  <si>
    <t>West Margaretfort</t>
  </si>
  <si>
    <t>Proactive content-based matrix</t>
  </si>
  <si>
    <t>Autumnfurt</t>
  </si>
  <si>
    <t>Multi-layered multi-state intranet</t>
  </si>
  <si>
    <t>Port Allenburgh</t>
  </si>
  <si>
    <t>Centralized real-time matrix</t>
  </si>
  <si>
    <t>Hestermouth</t>
  </si>
  <si>
    <t>Re-contextualized coherent groupware</t>
  </si>
  <si>
    <t>Port Erinburgh</t>
  </si>
  <si>
    <t>Face-to-face systematic implementation</t>
  </si>
  <si>
    <t>Port Hollyburgh</t>
  </si>
  <si>
    <t>Exclusive dedicated customer loyalty</t>
  </si>
  <si>
    <t>East Antonio</t>
  </si>
  <si>
    <t>Israel, UK, France</t>
  </si>
  <si>
    <t>Upgradable optimal service-desk</t>
  </si>
  <si>
    <t>Contreraschester</t>
  </si>
  <si>
    <t>User-centric cohesive data-warehouse</t>
  </si>
  <si>
    <t>Future-proofed solution-oriented paradigm</t>
  </si>
  <si>
    <t>Carrollberg</t>
  </si>
  <si>
    <t>Cross-group mission-critical workforce</t>
  </si>
  <si>
    <t>Lake Mariaside</t>
  </si>
  <si>
    <t>Visionary maximized monitoring</t>
  </si>
  <si>
    <t>Balanced dynamic implementation</t>
  </si>
  <si>
    <t>Stephenport</t>
  </si>
  <si>
    <t>Function-based heuristic system engine</t>
  </si>
  <si>
    <t>Masonmouth</t>
  </si>
  <si>
    <t>Re-contextualized zero-defect core</t>
  </si>
  <si>
    <t>Port Jenniferchester</t>
  </si>
  <si>
    <t>Organized incremental groupware</t>
  </si>
  <si>
    <t>Stand-alone content-based application</t>
  </si>
  <si>
    <t>De-engineered dedicated utilization</t>
  </si>
  <si>
    <t>Angelaburgh</t>
  </si>
  <si>
    <t>Operative actuating process improvement</t>
  </si>
  <si>
    <t>Jenniferside</t>
  </si>
  <si>
    <t>Balanced non-volatile flexibility</t>
  </si>
  <si>
    <t>North Ethanfurt</t>
  </si>
  <si>
    <t>Configurable composite open architecture</t>
  </si>
  <si>
    <t>Port Sarahtown</t>
  </si>
  <si>
    <t>Organized reciprocal hardware</t>
  </si>
  <si>
    <t>West Donaldside</t>
  </si>
  <si>
    <t>Automated tertiary benchmark</t>
  </si>
  <si>
    <t>Visionary grid-enabled task-force</t>
  </si>
  <si>
    <t>Amyton</t>
  </si>
  <si>
    <t>Russia, USA, France</t>
  </si>
  <si>
    <t>Persistent clear-thinking solution</t>
  </si>
  <si>
    <t>Lake Katherinemouth</t>
  </si>
  <si>
    <t>Intuitive optimizing circuit</t>
  </si>
  <si>
    <t>Implemented zero tolerance leverage</t>
  </si>
  <si>
    <t>Angelicaport</t>
  </si>
  <si>
    <t>Streamlined optimizing leverage</t>
  </si>
  <si>
    <t>Danielbury</t>
  </si>
  <si>
    <t>Customer-focused coherent standardization</t>
  </si>
  <si>
    <t>Port Nicoleberg</t>
  </si>
  <si>
    <t>France, Germany, UK</t>
  </si>
  <si>
    <t>Fully-configurable heuristic hardware</t>
  </si>
  <si>
    <t>North Andrewshire</t>
  </si>
  <si>
    <t>Persistent optimal encoding</t>
  </si>
  <si>
    <t>Wandachester</t>
  </si>
  <si>
    <t>Profound exuding secured line</t>
  </si>
  <si>
    <t>South Bruce</t>
  </si>
  <si>
    <t>Decentralized motivating framework</t>
  </si>
  <si>
    <t>Port Heidi</t>
  </si>
  <si>
    <t>Innovative transitional infrastructure</t>
  </si>
  <si>
    <t>Jonestown</t>
  </si>
  <si>
    <t>Reduced contextually-based forecast</t>
  </si>
  <si>
    <t>South Donaldville</t>
  </si>
  <si>
    <t>Decentralized scalable software</t>
  </si>
  <si>
    <t>UAE, UK, Germany</t>
  </si>
  <si>
    <t>Face-to-face demand-driven toolset</t>
  </si>
  <si>
    <t>North Alexbury</t>
  </si>
  <si>
    <t>Horizontal disintermediate algorithm</t>
  </si>
  <si>
    <t>Multi-lateral asymmetric Local Area Network</t>
  </si>
  <si>
    <t>Port Michelle</t>
  </si>
  <si>
    <t>Public-key demand-driven migration</t>
  </si>
  <si>
    <t>Turnerstad</t>
  </si>
  <si>
    <t>Enterprise-wide solution-oriented customer loyalty</t>
  </si>
  <si>
    <t>Lake Cindy</t>
  </si>
  <si>
    <t>Exclusive well-modulated policy</t>
  </si>
  <si>
    <t>South Kelly</t>
  </si>
  <si>
    <t>Re-contextualized multi-state challenge</t>
  </si>
  <si>
    <t>Osbornefort</t>
  </si>
  <si>
    <t>Total dynamic middleware</t>
  </si>
  <si>
    <t>Brendashire</t>
  </si>
  <si>
    <t>Exclusive optimizing emulation</t>
  </si>
  <si>
    <t>Jennifertown</t>
  </si>
  <si>
    <t>Re-engineered tertiary core</t>
  </si>
  <si>
    <t>Nicholasborough</t>
  </si>
  <si>
    <t>Optimized optimizing contingency</t>
  </si>
  <si>
    <t>North Georgeborough</t>
  </si>
  <si>
    <t>Up-sized mobile archive</t>
  </si>
  <si>
    <t>Decentralized didactic website</t>
  </si>
  <si>
    <t>Universal actuating Graphic Interface</t>
  </si>
  <si>
    <t>Bakerborough</t>
  </si>
  <si>
    <t>Organized 4thgeneration database</t>
  </si>
  <si>
    <t>Brookebury</t>
  </si>
  <si>
    <t>Cross-group leadingedge migration</t>
  </si>
  <si>
    <t>West Paulland</t>
  </si>
  <si>
    <t>Intuitive high-level adapter</t>
  </si>
  <si>
    <t>Seamless web-enabled projection</t>
  </si>
  <si>
    <t>North Jason</t>
  </si>
  <si>
    <t>Upgradable local solution</t>
  </si>
  <si>
    <t>Cloned didactic software</t>
  </si>
  <si>
    <t>Mcdanielhaven</t>
  </si>
  <si>
    <t>Diverse client-driven initiative</t>
  </si>
  <si>
    <t>Roblesville</t>
  </si>
  <si>
    <t>Virtual optimal initiative</t>
  </si>
  <si>
    <t>Christinastad</t>
  </si>
  <si>
    <t>UAE, Germany, India</t>
  </si>
  <si>
    <t>Open-architected reciprocal installation</t>
  </si>
  <si>
    <t>New Cody</t>
  </si>
  <si>
    <t>Focused systematic success</t>
  </si>
  <si>
    <t>Lake Matthewstad</t>
  </si>
  <si>
    <t>Profound foreground initiative</t>
  </si>
  <si>
    <t>Colemanmouth</t>
  </si>
  <si>
    <t>Expanded background matrices</t>
  </si>
  <si>
    <t>Thompsonshire</t>
  </si>
  <si>
    <t>Synchronized dedicated contingency</t>
  </si>
  <si>
    <t>New Cindy</t>
  </si>
  <si>
    <t>Implemented next generation hierarchy</t>
  </si>
  <si>
    <t>North Shannonshire</t>
  </si>
  <si>
    <t>Cross-platform interactive functionalities</t>
  </si>
  <si>
    <t>Ethanhaven</t>
  </si>
  <si>
    <t>India, China, UK</t>
  </si>
  <si>
    <t>Reactive directional middleware</t>
  </si>
  <si>
    <t>Intuitive incremental standardization</t>
  </si>
  <si>
    <t>Ronaldmouth</t>
  </si>
  <si>
    <t>Israel, Germany, Japan</t>
  </si>
  <si>
    <t>Object-based disintermediate data-warehouse</t>
  </si>
  <si>
    <t>Assimilated attitude-oriented customer loyalty</t>
  </si>
  <si>
    <t>Timothyburgh</t>
  </si>
  <si>
    <t>Decentralized bottom-line neural-net</t>
  </si>
  <si>
    <t>Matthewfort</t>
  </si>
  <si>
    <t>Persevering demand-driven approach</t>
  </si>
  <si>
    <t>East Ryanmouth</t>
  </si>
  <si>
    <t>Triple-buffered background methodology</t>
  </si>
  <si>
    <t>Organic high-level hardware</t>
  </si>
  <si>
    <t>Allisonburgh</t>
  </si>
  <si>
    <t>Multi-layered optimizing protocol</t>
  </si>
  <si>
    <t>Port Angela</t>
  </si>
  <si>
    <t>Open-architected even-keeled conglomeration</t>
  </si>
  <si>
    <t>South Joan</t>
  </si>
  <si>
    <t>Switchable holistic success</t>
  </si>
  <si>
    <t>Ballport</t>
  </si>
  <si>
    <t>Object-based responsive structure</t>
  </si>
  <si>
    <t>South Bonniemouth</t>
  </si>
  <si>
    <t>Reduced secondary productivity</t>
  </si>
  <si>
    <t>Up-sized disintermediate ability</t>
  </si>
  <si>
    <t>Melissashire</t>
  </si>
  <si>
    <t>Distributed reciprocal superstructure</t>
  </si>
  <si>
    <t>South Raymondville</t>
  </si>
  <si>
    <t>Synergistic executive secured line</t>
  </si>
  <si>
    <t>Kerrport</t>
  </si>
  <si>
    <t>India, Russia, France</t>
  </si>
  <si>
    <t>Up-sized methodical intranet</t>
  </si>
  <si>
    <t>Inverse motivating system engine</t>
  </si>
  <si>
    <t>East Pamela</t>
  </si>
  <si>
    <t>Cloned client-server focus group</t>
  </si>
  <si>
    <t>Debbieland</t>
  </si>
  <si>
    <t>Switchable solution-oriented Internet solution</t>
  </si>
  <si>
    <t>Skinnerburgh</t>
  </si>
  <si>
    <t>Grass-roots holistic conglomeration</t>
  </si>
  <si>
    <t>Villanuevahaven</t>
  </si>
  <si>
    <t>Stand-alone bottom-line process improvement</t>
  </si>
  <si>
    <t>Terryhaven</t>
  </si>
  <si>
    <t>Germany, Israel, USA</t>
  </si>
  <si>
    <t>Synergized well-modulated forecast</t>
  </si>
  <si>
    <t>East Aaron</t>
  </si>
  <si>
    <t>Cross-platform homogeneous info-mediaries</t>
  </si>
  <si>
    <t>West Josephmouth</t>
  </si>
  <si>
    <t>Proactive logistical help-desk</t>
  </si>
  <si>
    <t>Port Erikafurt</t>
  </si>
  <si>
    <t>Multi-lateral logistical archive</t>
  </si>
  <si>
    <t>Ergonomic real-time productivity</t>
  </si>
  <si>
    <t>West Cheyenneburgh</t>
  </si>
  <si>
    <t>UAE, India, Japan</t>
  </si>
  <si>
    <t>Open-source intangible archive</t>
  </si>
  <si>
    <t>Self-enabling object-oriented solution</t>
  </si>
  <si>
    <t>North Mark</t>
  </si>
  <si>
    <t>Up-sized methodical Local Area Network</t>
  </si>
  <si>
    <t>East Rogerchester</t>
  </si>
  <si>
    <t>Phased executive info-mediaries</t>
  </si>
  <si>
    <t>Multi-tiered bi-directional definition</t>
  </si>
  <si>
    <t>Allenchester</t>
  </si>
  <si>
    <t>Programmable client-server toolset</t>
  </si>
  <si>
    <t>Jacksonview</t>
  </si>
  <si>
    <t>Cross-platform stable alliance</t>
  </si>
  <si>
    <t>New Brittany</t>
  </si>
  <si>
    <t>Decentralized needs-based open system</t>
  </si>
  <si>
    <t>Optimized motivating hardware</t>
  </si>
  <si>
    <t>North Robert</t>
  </si>
  <si>
    <t>Down-sized multi-state complexity</t>
  </si>
  <si>
    <t>Ergonomic dedicated leverage</t>
  </si>
  <si>
    <t>South Danielburgh</t>
  </si>
  <si>
    <t>Operative value-added budgetary management</t>
  </si>
  <si>
    <t>Smithfurt</t>
  </si>
  <si>
    <t>Enterprise-wide demand-driven migration</t>
  </si>
  <si>
    <t>South Russell</t>
  </si>
  <si>
    <t>Public-key optimizing extranet</t>
  </si>
  <si>
    <t>Ashleyberg</t>
  </si>
  <si>
    <t>Robust 6thgeneration standardization</t>
  </si>
  <si>
    <t>Garyview</t>
  </si>
  <si>
    <t>Intuitive human-resource Local Area Network</t>
  </si>
  <si>
    <t>Balanced fault-tolerant Local Area Network</t>
  </si>
  <si>
    <t>Deanport</t>
  </si>
  <si>
    <t>Front-line intermediate initiative</t>
  </si>
  <si>
    <t>Inverse 4thgeneration portal</t>
  </si>
  <si>
    <t>North Kellyton</t>
  </si>
  <si>
    <t>Distributed real-time instruction set</t>
  </si>
  <si>
    <t>Business-focused eco-centric groupware</t>
  </si>
  <si>
    <t>Carpenterside</t>
  </si>
  <si>
    <t>Re-contextualized explicit emulation</t>
  </si>
  <si>
    <t>Matthewburgh</t>
  </si>
  <si>
    <t>Open-architected systemic solution</t>
  </si>
  <si>
    <t>Wagnerton</t>
  </si>
  <si>
    <t>Robust fault-tolerant knowledgebase</t>
  </si>
  <si>
    <t>Frederickland</t>
  </si>
  <si>
    <t>France, Japan, India</t>
  </si>
  <si>
    <t>Customer-focused neutral service-desk</t>
  </si>
  <si>
    <t>Port Sarahville</t>
  </si>
  <si>
    <t>Profound motivating time-frame</t>
  </si>
  <si>
    <t>South Anitafort</t>
  </si>
  <si>
    <t>Distributed 24/7 strategy</t>
  </si>
  <si>
    <t>New Racheltown</t>
  </si>
  <si>
    <t>Switchable interactive analyzer</t>
  </si>
  <si>
    <t>Millerborough</t>
  </si>
  <si>
    <t>Multi-tiered context-sensitive budgetary management</t>
  </si>
  <si>
    <t>Japan, USA, UK</t>
  </si>
  <si>
    <t>Configurable system-worthy leverage</t>
  </si>
  <si>
    <t>Luistown</t>
  </si>
  <si>
    <t>Cloned client-server protocol</t>
  </si>
  <si>
    <t>Jamesborough</t>
  </si>
  <si>
    <t>Switchable zero tolerance time-frame</t>
  </si>
  <si>
    <t>South Lisashire</t>
  </si>
  <si>
    <t>Streamlined interactive artificial intelligence</t>
  </si>
  <si>
    <t>Lake Austinberg</t>
  </si>
  <si>
    <t>Universal fresh-thinking groupware</t>
  </si>
  <si>
    <t>Ballardport</t>
  </si>
  <si>
    <t>Optional exuding definition</t>
  </si>
  <si>
    <t>Amymouth</t>
  </si>
  <si>
    <t>Distributed dynamic circuit</t>
  </si>
  <si>
    <t>Masontown</t>
  </si>
  <si>
    <t>Cross-platform next generation architecture</t>
  </si>
  <si>
    <t>Port Stephenton</t>
  </si>
  <si>
    <t>UAE, China, USA</t>
  </si>
  <si>
    <t>Organized human-resource throughput</t>
  </si>
  <si>
    <t>Lake Stephanieland</t>
  </si>
  <si>
    <t>Automated foreground moratorium</t>
  </si>
  <si>
    <t>Triple-buffered demand-driven conglomeration</t>
  </si>
  <si>
    <t>Future-proofed even-keeled data-warehouse</t>
  </si>
  <si>
    <t>Holdenbury</t>
  </si>
  <si>
    <t>Russia, UAE, Japan</t>
  </si>
  <si>
    <t>Reverse-engineered bifurcated collaboration</t>
  </si>
  <si>
    <t>Danaton</t>
  </si>
  <si>
    <t>Robust grid-enabled alliance</t>
  </si>
  <si>
    <t>West Ann</t>
  </si>
  <si>
    <t>Multi-layered next generation encoding</t>
  </si>
  <si>
    <t>West Zachary</t>
  </si>
  <si>
    <t>Proactive attitude-oriented complexity</t>
  </si>
  <si>
    <t>Russia, China, Israel</t>
  </si>
  <si>
    <t>Assimilated 24/7 solution</t>
  </si>
  <si>
    <t>Business-focused local website</t>
  </si>
  <si>
    <t>Port Jeremy</t>
  </si>
  <si>
    <t>Managed 6thgeneration utilization</t>
  </si>
  <si>
    <t>Thompsonstad</t>
  </si>
  <si>
    <t>Down-sized system-worthy productivity</t>
  </si>
  <si>
    <t>Operative leadingedge frame</t>
  </si>
  <si>
    <t>Lake Lindaview</t>
  </si>
  <si>
    <t>Digitized full-range pricing structure</t>
  </si>
  <si>
    <t>Troystad</t>
  </si>
  <si>
    <t>Self-enabling uniform projection</t>
  </si>
  <si>
    <t>North Ashleytown</t>
  </si>
  <si>
    <t>Up-sized grid-enabled hierarchy</t>
  </si>
  <si>
    <t>Lake Jonathanstad</t>
  </si>
  <si>
    <t>Mandatory user-facing knowledgebase</t>
  </si>
  <si>
    <t>Lukeview</t>
  </si>
  <si>
    <t>Enterprise-wide bi-directional frame</t>
  </si>
  <si>
    <t>Decentralized object-oriented secured line</t>
  </si>
  <si>
    <t>Freemantown</t>
  </si>
  <si>
    <t>Integrated high-level complexity</t>
  </si>
  <si>
    <t>Up-sized object-oriented open architecture</t>
  </si>
  <si>
    <t>North Melissahaven</t>
  </si>
  <si>
    <t>User-friendly contextually-based installation</t>
  </si>
  <si>
    <t>Carlaport</t>
  </si>
  <si>
    <t>Proactive non-volatile time-frame</t>
  </si>
  <si>
    <t>Brentland</t>
  </si>
  <si>
    <t>Customizable even-keeled throughput</t>
  </si>
  <si>
    <t>North Becky</t>
  </si>
  <si>
    <t>Multi-channeled motivating toolset</t>
  </si>
  <si>
    <t>New Melissa</t>
  </si>
  <si>
    <t>India, Germany, Japan</t>
  </si>
  <si>
    <t>Operative full-range service-desk</t>
  </si>
  <si>
    <t>Marychester</t>
  </si>
  <si>
    <t>Multi-channeled composite knowledge user</t>
  </si>
  <si>
    <t>Port Johnchester</t>
  </si>
  <si>
    <t>Robust bifurcated methodology</t>
  </si>
  <si>
    <t>Matthewborough</t>
  </si>
  <si>
    <t>Focused stable flexibility</t>
  </si>
  <si>
    <t>Down-sized discrete hardware</t>
  </si>
  <si>
    <t>Orozcoport</t>
  </si>
  <si>
    <t>Right-sized tangible info-mediaries</t>
  </si>
  <si>
    <t>Reverse-engineered 24hour frame</t>
  </si>
  <si>
    <t>South Sonya</t>
  </si>
  <si>
    <t>Phased analyzing Graphic Interface</t>
  </si>
  <si>
    <t>New Jon</t>
  </si>
  <si>
    <t>Japan, France, Israel</t>
  </si>
  <si>
    <t>Grass-roots asynchronous middleware</t>
  </si>
  <si>
    <t>Port Cory</t>
  </si>
  <si>
    <t>Persistent heuristic complexity</t>
  </si>
  <si>
    <t>Re-engineered disintermediate moratorium</t>
  </si>
  <si>
    <t>Lawsonview</t>
  </si>
  <si>
    <t>User-friendly didactic complexity</t>
  </si>
  <si>
    <t>Markland</t>
  </si>
  <si>
    <t>France, China, USA</t>
  </si>
  <si>
    <t>Object-based scalable focus group</t>
  </si>
  <si>
    <t>Sandershaven</t>
  </si>
  <si>
    <t>Synergistic scalable database</t>
  </si>
  <si>
    <t>West Helenland</t>
  </si>
  <si>
    <t>Networked modular support</t>
  </si>
  <si>
    <t>Lake Nicholasburgh</t>
  </si>
  <si>
    <t>Reverse-engineered bi-directional capability</t>
  </si>
  <si>
    <t>Kevinbury</t>
  </si>
  <si>
    <t>Team-oriented radical projection</t>
  </si>
  <si>
    <t>Millerview</t>
  </si>
  <si>
    <t>Business-focused bottom-line hierarchy</t>
  </si>
  <si>
    <t>Synergized cohesive adapter</t>
  </si>
  <si>
    <t>North Shawn</t>
  </si>
  <si>
    <t>Mandatory uniform orchestration</t>
  </si>
  <si>
    <t>West Vanessa</t>
  </si>
  <si>
    <t>Grass-roots empowering Local Area Network</t>
  </si>
  <si>
    <t>Martinhaven</t>
  </si>
  <si>
    <t>Face-to-face neutral artificial intelligence</t>
  </si>
  <si>
    <t>East Stevenville</t>
  </si>
  <si>
    <t>Organic needs-based Local Area Network</t>
  </si>
  <si>
    <t>Jimfort</t>
  </si>
  <si>
    <t>Inverse bifurcated Graphical User Interface</t>
  </si>
  <si>
    <t>North Terrance</t>
  </si>
  <si>
    <t>Inverse mission-critical moderator</t>
  </si>
  <si>
    <t>West Tiffany</t>
  </si>
  <si>
    <t>Distributed directional challenge</t>
  </si>
  <si>
    <t>Port Deborah</t>
  </si>
  <si>
    <t>Cloned object-oriented framework</t>
  </si>
  <si>
    <t>Port Sarahfort</t>
  </si>
  <si>
    <t>Enhanced bandwidth-monitored forecast</t>
  </si>
  <si>
    <t>Davidstad</t>
  </si>
  <si>
    <t>Adaptive bandwidth-monitored workforce</t>
  </si>
  <si>
    <t>Coleshire</t>
  </si>
  <si>
    <t>Cross-platform demand-driven support</t>
  </si>
  <si>
    <t>Wallport</t>
  </si>
  <si>
    <t>Monitored composite array</t>
  </si>
  <si>
    <t>Wilsonland</t>
  </si>
  <si>
    <t>Enterprise-wide hybrid budgetary management</t>
  </si>
  <si>
    <t>Joannaland</t>
  </si>
  <si>
    <t>Programmable eco-centric open system</t>
  </si>
  <si>
    <t>West Frank</t>
  </si>
  <si>
    <t>Profit-focused eco-centric toolset</t>
  </si>
  <si>
    <t>Lake Autumn</t>
  </si>
  <si>
    <t>Customizable regional support</t>
  </si>
  <si>
    <t>New Michaelhaven</t>
  </si>
  <si>
    <t>Re-contextualized bi-directional matrix</t>
  </si>
  <si>
    <t>North Christopherchester</t>
  </si>
  <si>
    <t>Public-key bottom-line service-desk</t>
  </si>
  <si>
    <t>Programmable static extranet</t>
  </si>
  <si>
    <t>Assimilated impactful functionalities</t>
  </si>
  <si>
    <t>Scottton</t>
  </si>
  <si>
    <t>Robust foreground focus group</t>
  </si>
  <si>
    <t>Barbarafurt</t>
  </si>
  <si>
    <t>Fully-configurable systemic productivity</t>
  </si>
  <si>
    <t>Mooreport</t>
  </si>
  <si>
    <t>Phased clear-thinking firmware</t>
  </si>
  <si>
    <t>Port Troyville</t>
  </si>
  <si>
    <t>Future-proofed responsive contingency</t>
  </si>
  <si>
    <t>Mandatory zero-defect structure</t>
  </si>
  <si>
    <t>Meyerfurt</t>
  </si>
  <si>
    <t>Mandatory secondary benchmark</t>
  </si>
  <si>
    <t>West Justin</t>
  </si>
  <si>
    <t>Germany, China, Russia</t>
  </si>
  <si>
    <t>Cross-group impactful firmware</t>
  </si>
  <si>
    <t>Johnton</t>
  </si>
  <si>
    <t>Down-sized asymmetric core</t>
  </si>
  <si>
    <t>Petersonfort</t>
  </si>
  <si>
    <t>Advanced multi-tasking concept</t>
  </si>
  <si>
    <t>Brentville</t>
  </si>
  <si>
    <t>Decentralized modular intranet</t>
  </si>
  <si>
    <t>East Jonathanberg</t>
  </si>
  <si>
    <t>Persevering stable hub</t>
  </si>
  <si>
    <t>Jefferyland</t>
  </si>
  <si>
    <t>Focused needs-based algorithm</t>
  </si>
  <si>
    <t>Nguyenfurt</t>
  </si>
  <si>
    <t>Horizontal even-keeled orchestration</t>
  </si>
  <si>
    <t>Veronicafort</t>
  </si>
  <si>
    <t>Monitored reciprocal project</t>
  </si>
  <si>
    <t>Pre-emptive modular infrastructure</t>
  </si>
  <si>
    <t>South Brittneymouth</t>
  </si>
  <si>
    <t>Innovative static infrastructure</t>
  </si>
  <si>
    <t>Port Toddmouth</t>
  </si>
  <si>
    <t>Monitored multimedia circuit</t>
  </si>
  <si>
    <t>Davisville</t>
  </si>
  <si>
    <t>Extended discrete encoding</t>
  </si>
  <si>
    <t>Carlshire</t>
  </si>
  <si>
    <t>Ameliorated full-range architecture</t>
  </si>
  <si>
    <t>North Patriciahaven</t>
  </si>
  <si>
    <t>UAE, Germany, USA</t>
  </si>
  <si>
    <t>Configurable fault-tolerant throughput</t>
  </si>
  <si>
    <t>East Ashley</t>
  </si>
  <si>
    <t>User-friendly global policy</t>
  </si>
  <si>
    <t>West Gloria</t>
  </si>
  <si>
    <t>India, Germany, France</t>
  </si>
  <si>
    <t>Reduced regional artificial intelligence</t>
  </si>
  <si>
    <t>Paulland</t>
  </si>
  <si>
    <t>UK, India, France</t>
  </si>
  <si>
    <t>Open-architected fault-tolerant parallelism</t>
  </si>
  <si>
    <t>Balanced background adapter</t>
  </si>
  <si>
    <t>East Ericbury</t>
  </si>
  <si>
    <t>Diverse encompassing time-frame</t>
  </si>
  <si>
    <t>South Amandahaven</t>
  </si>
  <si>
    <t>Operative coherent model</t>
  </si>
  <si>
    <t>Brandonland</t>
  </si>
  <si>
    <t>India, Japan, USA</t>
  </si>
  <si>
    <t>Organic fresh-thinking policy</t>
  </si>
  <si>
    <t>New Ariel</t>
  </si>
  <si>
    <t>Upgradable modular access</t>
  </si>
  <si>
    <t>Seamless directional monitoring</t>
  </si>
  <si>
    <t>Floreshaven</t>
  </si>
  <si>
    <t>Monitored needs-based software</t>
  </si>
  <si>
    <t>Youngside</t>
  </si>
  <si>
    <t>Multi-lateral high-level infrastructure</t>
  </si>
  <si>
    <t>South Teresa</t>
  </si>
  <si>
    <t>Business-focused tertiary architecture</t>
  </si>
  <si>
    <t>Morachester</t>
  </si>
  <si>
    <t>Reduced attitude-oriented pricing structure</t>
  </si>
  <si>
    <t>Configurable fresh-thinking synergy</t>
  </si>
  <si>
    <t>East Patrick</t>
  </si>
  <si>
    <t>Configurable web-enabled core</t>
  </si>
  <si>
    <t>Port Joshua</t>
  </si>
  <si>
    <t>Business-focused real-time circuit</t>
  </si>
  <si>
    <t>Tannerberg</t>
  </si>
  <si>
    <t>Compatible explicit product</t>
  </si>
  <si>
    <t>Lake Robin</t>
  </si>
  <si>
    <t>Realigned dedicated flexibility</t>
  </si>
  <si>
    <t>Masseyhaven</t>
  </si>
  <si>
    <t>Inverse eco-centric Graphic Interface</t>
  </si>
  <si>
    <t>Re-contextualized grid-enabled standardization</t>
  </si>
  <si>
    <t>Briannahaven</t>
  </si>
  <si>
    <t>Programmable background Internet solution</t>
  </si>
  <si>
    <t>Team-oriented didactic Internet solution</t>
  </si>
  <si>
    <t>Swansonchester</t>
  </si>
  <si>
    <t>Seamless tertiary hardware</t>
  </si>
  <si>
    <t>Gloriamouth</t>
  </si>
  <si>
    <t>Configurable optimal hub</t>
  </si>
  <si>
    <t>East Kelly</t>
  </si>
  <si>
    <t>Israel, Germany, France</t>
  </si>
  <si>
    <t>Future-proofed 5thgeneration migration</t>
  </si>
  <si>
    <t>Frazierbury</t>
  </si>
  <si>
    <t>Profit-focused homogeneous adapter</t>
  </si>
  <si>
    <t>East Alisonland</t>
  </si>
  <si>
    <t>Enterprise-wide 24/7 function</t>
  </si>
  <si>
    <t>New Chadshire</t>
  </si>
  <si>
    <t>Face-to-face bifurcated installation</t>
  </si>
  <si>
    <t>South Dana</t>
  </si>
  <si>
    <t>Quality-focused static monitoring</t>
  </si>
  <si>
    <t>Robertafort</t>
  </si>
  <si>
    <t>Networked hybrid neural-net</t>
  </si>
  <si>
    <t>China, Japan, India</t>
  </si>
  <si>
    <t>Down-sized national project</t>
  </si>
  <si>
    <t>Port Andrew</t>
  </si>
  <si>
    <t>Grass-roots intermediate Graphic Interface</t>
  </si>
  <si>
    <t>Jonesmouth</t>
  </si>
  <si>
    <t>Programmable mobile infrastructure</t>
  </si>
  <si>
    <t>Marcusberg</t>
  </si>
  <si>
    <t>Cross-platform full-range framework</t>
  </si>
  <si>
    <t>North Richardchester</t>
  </si>
  <si>
    <t>Organized bandwidth-monitored installation</t>
  </si>
  <si>
    <t>Ericside</t>
  </si>
  <si>
    <t>UAE, China, Russia</t>
  </si>
  <si>
    <t>Enhanced 6thgeneration installation</t>
  </si>
  <si>
    <t>Joshuaburgh</t>
  </si>
  <si>
    <t>Programmable motivating intranet</t>
  </si>
  <si>
    <t>Lake Ronaldfurt</t>
  </si>
  <si>
    <t>Organized 24/7 methodology</t>
  </si>
  <si>
    <t>Brownview</t>
  </si>
  <si>
    <t>Upgradable upward-trending emulation</t>
  </si>
  <si>
    <t>Curtisport</t>
  </si>
  <si>
    <t>Virtual dedicated monitoring</t>
  </si>
  <si>
    <t>Versatile bi-directional contingency</t>
  </si>
  <si>
    <t>South Daveport</t>
  </si>
  <si>
    <t>Enterprise-wide multi-tasking process improvement</t>
  </si>
  <si>
    <t>Jenniferview</t>
  </si>
  <si>
    <t>Japan, UAE, China</t>
  </si>
  <si>
    <t>Networked intangible knowledge user</t>
  </si>
  <si>
    <t>Lake Kathyfort</t>
  </si>
  <si>
    <t>USA, China, UK</t>
  </si>
  <si>
    <t>Balanced impactful workforce</t>
  </si>
  <si>
    <t>West Shawn</t>
  </si>
  <si>
    <t>Configurable heuristic standardization</t>
  </si>
  <si>
    <t>Kathytown</t>
  </si>
  <si>
    <t>Customizable modular attitude</t>
  </si>
  <si>
    <t>East Jenniferbury</t>
  </si>
  <si>
    <t>Synchronized leadingedge instruction set</t>
  </si>
  <si>
    <t>Future-proofed modular info-mediaries</t>
  </si>
  <si>
    <t>Reynoldsport</t>
  </si>
  <si>
    <t>Monitored optimizing customer loyalty</t>
  </si>
  <si>
    <t>Intuitive intangible database</t>
  </si>
  <si>
    <t>East Cheyenne</t>
  </si>
  <si>
    <t>Fundamental attitude-oriented complexity</t>
  </si>
  <si>
    <t>Optional radical middleware</t>
  </si>
  <si>
    <t>Re-engineered human-resource protocol</t>
  </si>
  <si>
    <t>East Marcus</t>
  </si>
  <si>
    <t>User-centric object-oriented capability</t>
  </si>
  <si>
    <t>Elizabethbury</t>
  </si>
  <si>
    <t>Multi-channeled incremental synergy</t>
  </si>
  <si>
    <t>East Andrewport</t>
  </si>
  <si>
    <t>Distributed mobile help-desk</t>
  </si>
  <si>
    <t>New Garymouth</t>
  </si>
  <si>
    <t>Upgradable explicit model</t>
  </si>
  <si>
    <t>Multi-layered grid-enabled methodology</t>
  </si>
  <si>
    <t>Salasstad</t>
  </si>
  <si>
    <t>Secured mobile collaboration</t>
  </si>
  <si>
    <t>North Bonnie</t>
  </si>
  <si>
    <t>Down-sized solution-oriented software</t>
  </si>
  <si>
    <t>Scottbury</t>
  </si>
  <si>
    <t>Fully-configurable maximized concept</t>
  </si>
  <si>
    <t>North Chadshire</t>
  </si>
  <si>
    <t>Germany, China, USA</t>
  </si>
  <si>
    <t>Centralized responsive installation</t>
  </si>
  <si>
    <t>Boonemouth</t>
  </si>
  <si>
    <t>Seamless bottom-line software</t>
  </si>
  <si>
    <t>Josechester</t>
  </si>
  <si>
    <t>Networked transitional workforce</t>
  </si>
  <si>
    <t>Port Morganport</t>
  </si>
  <si>
    <t>Configurable interactive hub</t>
  </si>
  <si>
    <t>Re-contextualized asymmetric solution</t>
  </si>
  <si>
    <t>East Adriennebury</t>
  </si>
  <si>
    <t>Japan, France, Russia</t>
  </si>
  <si>
    <t>Total analyzing forecast</t>
  </si>
  <si>
    <t>Brownstad</t>
  </si>
  <si>
    <t>Multi-tiered needs-based productivity</t>
  </si>
  <si>
    <t>Reduced bifurcated customer loyalty</t>
  </si>
  <si>
    <t>Emmamouth</t>
  </si>
  <si>
    <t>Japan, UK, Germany</t>
  </si>
  <si>
    <t>Cross-group bandwidth-monitored Graphical User Interface</t>
  </si>
  <si>
    <t>Kellerport</t>
  </si>
  <si>
    <t>Networked human-resource array</t>
  </si>
  <si>
    <t>West Jamesbury</t>
  </si>
  <si>
    <t>China, France, UAE</t>
  </si>
  <si>
    <t>Programmable 5thgeneration instruction set</t>
  </si>
  <si>
    <t>Williamport</t>
  </si>
  <si>
    <t>Self-enabling mobile model</t>
  </si>
  <si>
    <t>West Dawnport</t>
  </si>
  <si>
    <t>Fully-configurable fault-tolerant functionalities</t>
  </si>
  <si>
    <t>Expanded non-volatile hub</t>
  </si>
  <si>
    <t>South Robertland</t>
  </si>
  <si>
    <t>Scottland</t>
  </si>
  <si>
    <t>Reduced multimedia complexity</t>
  </si>
  <si>
    <t>Mataton</t>
  </si>
  <si>
    <t>Networked exuding pricing structure</t>
  </si>
  <si>
    <t>Swansonhaven</t>
  </si>
  <si>
    <t>Front-line tertiary interface</t>
  </si>
  <si>
    <t>Evanmouth</t>
  </si>
  <si>
    <t>Persistent system-worthy policy</t>
  </si>
  <si>
    <t>East Kevinport</t>
  </si>
  <si>
    <t>Object-based logistical intranet</t>
  </si>
  <si>
    <t>New Ashley</t>
  </si>
  <si>
    <t>Digitized heuristic groupware</t>
  </si>
  <si>
    <t>West Sherry</t>
  </si>
  <si>
    <t>Cross-platform client-server frame</t>
  </si>
  <si>
    <t>Burkemouth</t>
  </si>
  <si>
    <t>Optimized zero-defect system engine</t>
  </si>
  <si>
    <t>Mcdonaldtown</t>
  </si>
  <si>
    <t>Grass-roots stable task-force</t>
  </si>
  <si>
    <t>Thomasview</t>
  </si>
  <si>
    <t>Re-contextualized directional service-desk</t>
  </si>
  <si>
    <t>Fernandezview</t>
  </si>
  <si>
    <t>Organized responsive project</t>
  </si>
  <si>
    <t>Bellville</t>
  </si>
  <si>
    <t>Robust 6thgeneration encryption</t>
  </si>
  <si>
    <t>Valdezstad</t>
  </si>
  <si>
    <t>Implemented dynamic knowledge user</t>
  </si>
  <si>
    <t>East Laurenburgh</t>
  </si>
  <si>
    <t>Profound radical concept</t>
  </si>
  <si>
    <t>East Marilynport</t>
  </si>
  <si>
    <t>Intuitive intangible firmware</t>
  </si>
  <si>
    <t>Karenshire</t>
  </si>
  <si>
    <t>Customer-focused foreground algorithm</t>
  </si>
  <si>
    <t>Davilaburgh</t>
  </si>
  <si>
    <t>Digitized composite array</t>
  </si>
  <si>
    <t>Enterprise-wide methodical infrastructure</t>
  </si>
  <si>
    <t>Robertsfort</t>
  </si>
  <si>
    <t>Monitored composite adapter</t>
  </si>
  <si>
    <t>Switchable 24/7 encryption</t>
  </si>
  <si>
    <t>Codyville</t>
  </si>
  <si>
    <t>Quality-focused explicit data-warehouse</t>
  </si>
  <si>
    <t>Port Patriciaborough</t>
  </si>
  <si>
    <t>Public-key leadingedge artificial intelligence</t>
  </si>
  <si>
    <t>Lake Gail</t>
  </si>
  <si>
    <t>Implemented optimal attitude</t>
  </si>
  <si>
    <t>East Angelafurt</t>
  </si>
  <si>
    <t>Digitized leadingedge data-warehouse</t>
  </si>
  <si>
    <t>Public-key uniform flexibility</t>
  </si>
  <si>
    <t>Integrated tangible Local Area Network</t>
  </si>
  <si>
    <t>East Bryan</t>
  </si>
  <si>
    <t>Virtual coherent Graphic Interface</t>
  </si>
  <si>
    <t>Pereztown</t>
  </si>
  <si>
    <t>Visionary actuating alliance</t>
  </si>
  <si>
    <t>Synergized responsive structure</t>
  </si>
  <si>
    <t>Murphyland</t>
  </si>
  <si>
    <t>Proactive content-based software</t>
  </si>
  <si>
    <t>East Dianeview</t>
  </si>
  <si>
    <t>China, USA, UAE</t>
  </si>
  <si>
    <t>Cross-platform heuristic time-frame</t>
  </si>
  <si>
    <t>Rosemouth</t>
  </si>
  <si>
    <t>Customer-focused grid-enabled data-warehouse</t>
  </si>
  <si>
    <t>Port Craigberg</t>
  </si>
  <si>
    <t>Stand-alone multi-state firmware</t>
  </si>
  <si>
    <t>Elijahfurt</t>
  </si>
  <si>
    <t>Compatible client-server moratorium</t>
  </si>
  <si>
    <t>Acostaton</t>
  </si>
  <si>
    <t>Phased 5thgeneration interface</t>
  </si>
  <si>
    <t>Manuelshire</t>
  </si>
  <si>
    <t>Decentralized multi-tasking installation</t>
  </si>
  <si>
    <t>Simmonsstad</t>
  </si>
  <si>
    <t>Expanded demand-driven analyzer</t>
  </si>
  <si>
    <t>East Codyborough</t>
  </si>
  <si>
    <t>Progressive modular Local Area Network</t>
  </si>
  <si>
    <t>West Jodymouth</t>
  </si>
  <si>
    <t>Ameliorated local extranet</t>
  </si>
  <si>
    <t>Cross-group regional Graphic Interface</t>
  </si>
  <si>
    <t>Quality-focused radical synergy</t>
  </si>
  <si>
    <t>De-engineered next generation access</t>
  </si>
  <si>
    <t>Marilynside</t>
  </si>
  <si>
    <t>Centralized high-level solution</t>
  </si>
  <si>
    <t>Configurable well-modulated productivity</t>
  </si>
  <si>
    <t>Port Gabriel</t>
  </si>
  <si>
    <t>Switchable analyzing ability</t>
  </si>
  <si>
    <t>Jimenezfurt</t>
  </si>
  <si>
    <t>Grass-roots grid-enabled extranet</t>
  </si>
  <si>
    <t>Front-line hybrid hub</t>
  </si>
  <si>
    <t>Allisonview</t>
  </si>
  <si>
    <t>Virtual leadingedge task-force</t>
  </si>
  <si>
    <t>South Deanside</t>
  </si>
  <si>
    <t>Customer-focused 3rdgeneration model</t>
  </si>
  <si>
    <t>Lake Daisy</t>
  </si>
  <si>
    <t>Multi-lateral bandwidth-monitored framework</t>
  </si>
  <si>
    <t>New Brandonside</t>
  </si>
  <si>
    <t>Seamless methodical complexity</t>
  </si>
  <si>
    <t>New Scott</t>
  </si>
  <si>
    <t>Multi-layered incremental functionalities</t>
  </si>
  <si>
    <t>Mckeefurt</t>
  </si>
  <si>
    <t>Synergized multi-state process improvement</t>
  </si>
  <si>
    <t>Masonburgh</t>
  </si>
  <si>
    <t>Advanced cohesive website</t>
  </si>
  <si>
    <t>Laurenside</t>
  </si>
  <si>
    <t>Implemented content-based success</t>
  </si>
  <si>
    <t>Barnestown</t>
  </si>
  <si>
    <t>Assimilated tertiary adapter</t>
  </si>
  <si>
    <t>Port Carlos</t>
  </si>
  <si>
    <t>Sharable regional neural-net</t>
  </si>
  <si>
    <t>Versatile didactic budgetary management</t>
  </si>
  <si>
    <t>North Collinfurt</t>
  </si>
  <si>
    <t>Upgradable dynamic contingency</t>
  </si>
  <si>
    <t>West Doris</t>
  </si>
  <si>
    <t>Multi-channeled 3rdgeneration success</t>
  </si>
  <si>
    <t>Cynthiaton</t>
  </si>
  <si>
    <t>Profound 24/7 matrix</t>
  </si>
  <si>
    <t>Function-based needs-based alliance</t>
  </si>
  <si>
    <t>Profit-focused leadingedge benchmark</t>
  </si>
  <si>
    <t>Reneeberg</t>
  </si>
  <si>
    <t>Proactive real-time model</t>
  </si>
  <si>
    <t>Lake Brandon</t>
  </si>
  <si>
    <t>Expanded zero tolerance portal</t>
  </si>
  <si>
    <t>Front-line national protocol</t>
  </si>
  <si>
    <t>Wilsonberg</t>
  </si>
  <si>
    <t>Self-enabling object-oriented synergy</t>
  </si>
  <si>
    <t>Lake Laurenton</t>
  </si>
  <si>
    <t>Multi-lateral value-added focus group</t>
  </si>
  <si>
    <t>Port Kylemouth</t>
  </si>
  <si>
    <t>Down-sized encompassing firmware</t>
  </si>
  <si>
    <t>New Jillian</t>
  </si>
  <si>
    <t>Persistent exuding portal</t>
  </si>
  <si>
    <t>Jacksonville</t>
  </si>
  <si>
    <t>France, USA, India</t>
  </si>
  <si>
    <t>Organized system-worthy groupware</t>
  </si>
  <si>
    <t>New Donberg</t>
  </si>
  <si>
    <t>Customer-focused 3rdgeneration leverage</t>
  </si>
  <si>
    <t>Lake Nathaniel</t>
  </si>
  <si>
    <t>Reactive executive support</t>
  </si>
  <si>
    <t>Israel, France, Germany</t>
  </si>
  <si>
    <t>Customizable context-sensitive encryption</t>
  </si>
  <si>
    <t>Seamless non-volatile access</t>
  </si>
  <si>
    <t>Shannonfort</t>
  </si>
  <si>
    <t>Configurable client-driven emulation</t>
  </si>
  <si>
    <t>East Charlestown</t>
  </si>
  <si>
    <t>Adaptive systemic pricing structure</t>
  </si>
  <si>
    <t>Edwardsview</t>
  </si>
  <si>
    <t>Reactive maximized challenge</t>
  </si>
  <si>
    <t>Centralized tangible customer loyalty</t>
  </si>
  <si>
    <t>South Deannaside</t>
  </si>
  <si>
    <t>Total logistical leverage</t>
  </si>
  <si>
    <t>South Alexanderfort</t>
  </si>
  <si>
    <t>Compatible optimal workforce</t>
  </si>
  <si>
    <t>Derrickview</t>
  </si>
  <si>
    <t>Adaptive grid-enabled firmware</t>
  </si>
  <si>
    <t>Brandyborough</t>
  </si>
  <si>
    <t>Compatible 6thgeneration implementation</t>
  </si>
  <si>
    <t>Inverse fault-tolerant hub</t>
  </si>
  <si>
    <t>Proactive next generation infrastructure</t>
  </si>
  <si>
    <t>Organic mission-critical infrastructure</t>
  </si>
  <si>
    <t>Elizabethberg</t>
  </si>
  <si>
    <t>User-centric executive time-frame</t>
  </si>
  <si>
    <t>Martinezbury</t>
  </si>
  <si>
    <t>Upgradable national functionalities</t>
  </si>
  <si>
    <t>Riverashire</t>
  </si>
  <si>
    <t>Extended systematic middleware</t>
  </si>
  <si>
    <t>West Sharonborough</t>
  </si>
  <si>
    <t>Mandatory zero administration matrices</t>
  </si>
  <si>
    <t>West Gary</t>
  </si>
  <si>
    <t>Russia, Israel, China</t>
  </si>
  <si>
    <t>Configurable methodical product</t>
  </si>
  <si>
    <t>New Sandratown</t>
  </si>
  <si>
    <t>Universal directional encryption</t>
  </si>
  <si>
    <t>Millerburgh</t>
  </si>
  <si>
    <t>Centralized incremental function</t>
  </si>
  <si>
    <t>Rodriguezland</t>
  </si>
  <si>
    <t>Exclusive optimizing portal</t>
  </si>
  <si>
    <t>Profound asynchronous initiative</t>
  </si>
  <si>
    <t>Lake Rayberg</t>
  </si>
  <si>
    <t>Re-contextualized systemic secured line</t>
  </si>
  <si>
    <t>Lake Victorside</t>
  </si>
  <si>
    <t>UAE, USA, India</t>
  </si>
  <si>
    <t>Stand-alone solution-oriented artificial intelligence</t>
  </si>
  <si>
    <t>Lake Jamiestad</t>
  </si>
  <si>
    <t>Proactive uniform paradigm</t>
  </si>
  <si>
    <t>Streamlined solution-oriented Internet solution</t>
  </si>
  <si>
    <t>Lake Todd</t>
  </si>
  <si>
    <t>Cross-group grid-enabled concept</t>
  </si>
  <si>
    <t>South Lisamouth</t>
  </si>
  <si>
    <t>Enterprise-wide local open system</t>
  </si>
  <si>
    <t>Business-focused cohesive frame</t>
  </si>
  <si>
    <t>Maryfort</t>
  </si>
  <si>
    <t>Automated 24/7 migration</t>
  </si>
  <si>
    <t>New Wesley</t>
  </si>
  <si>
    <t>Multi-lateral 4thgeneration alliance</t>
  </si>
  <si>
    <t>Julieborough</t>
  </si>
  <si>
    <t>User-centric maximized core</t>
  </si>
  <si>
    <t>North Mariatown</t>
  </si>
  <si>
    <t>Visionary tangible orchestration</t>
  </si>
  <si>
    <t>East Vincent</t>
  </si>
  <si>
    <t>Monitored static access</t>
  </si>
  <si>
    <t>Paceborough</t>
  </si>
  <si>
    <t>Germany, Japan, UAE</t>
  </si>
  <si>
    <t>Programmable scalable frame</t>
  </si>
  <si>
    <t>East Elaineburgh</t>
  </si>
  <si>
    <t>Synergistic scalable intranet</t>
  </si>
  <si>
    <t>East Shawna</t>
  </si>
  <si>
    <t>Team-oriented value-added extranet</t>
  </si>
  <si>
    <t>Douglasborough</t>
  </si>
  <si>
    <t>Face-to-face even-keeled matrix</t>
  </si>
  <si>
    <t>Bellhaven</t>
  </si>
  <si>
    <t>Open-source secondary software</t>
  </si>
  <si>
    <t>Deniseview</t>
  </si>
  <si>
    <t>Public-key cohesive artificial intelligence</t>
  </si>
  <si>
    <t>Budget Category</t>
  </si>
  <si>
    <t>Success Category</t>
  </si>
  <si>
    <t>Total Missions</t>
  </si>
  <si>
    <t>Row Labels</t>
  </si>
  <si>
    <t>Grand Total</t>
  </si>
  <si>
    <t>Count of Mission Name</t>
  </si>
  <si>
    <t>Sum of Budget (in Billion $)</t>
  </si>
  <si>
    <t>Average of Success Rate (%)</t>
  </si>
  <si>
    <t>Avg Success Rate</t>
  </si>
  <si>
    <t>Excellent Missions</t>
  </si>
  <si>
    <t>Total Budget</t>
  </si>
  <si>
    <t>KPIS</t>
  </si>
  <si>
    <t>(All)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</si>
</sst>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_);_(* \(#,##0\);_(* &quot;-&quot;??_);_(@_)"/>
    <numFmt numFmtId="166" formatCode="_(&quot;$&quot;* #,##0.0_);_(&quot;$&quot;* \(#,##0.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EBF4"/>
        <bgColor indexed="64"/>
      </patternFill>
    </fill>
    <fill>
      <patternFill patternType="solid">
        <fgColor rgb="FF12182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9" fontId="0" fillId="0" borderId="0" xfId="3" applyFont="1"/>
    <xf numFmtId="0" fontId="0" fillId="0" borderId="0" xfId="0" applyAlignment="1">
      <alignment horizontal="right"/>
    </xf>
    <xf numFmtId="165" fontId="0" fillId="0" borderId="0" xfId="1" applyNumberFormat="1" applyFont="1"/>
    <xf numFmtId="166" fontId="0" fillId="0" borderId="0" xfId="2" applyNumberFormat="1" applyFont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4" fillId="3" borderId="0" xfId="3" applyFont="1" applyFill="1" applyAlignment="1">
      <alignment horizontal="center" vertical="center"/>
    </xf>
    <xf numFmtId="164" fontId="5" fillId="3" borderId="0" xfId="2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1B2233"/>
      <color rgb="FF7AAEFF"/>
      <color rgb="FF233048"/>
      <color rgb="FF121826"/>
      <color rgb="FF38BDF8"/>
      <color rgb="FF334155"/>
      <color rgb="FF191E26"/>
      <color rgb="FF1E293B"/>
      <color rgb="FFCBD5E1"/>
      <color rgb="FF00F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[Space_Mission_Analysis2.xlsx]Sheet3!PivotTable1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>
                <a:solidFill>
                  <a:schemeClr val="bg1">
                    <a:lumMod val="85000"/>
                  </a:schemeClr>
                </a:solidFill>
              </a:rPr>
              <a:t>Mission Trend Over Time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spPr>
          <a:ln>
            <a:solidFill>
              <a:srgbClr val="00F0FF"/>
            </a:solidFill>
          </a:ln>
        </c:spPr>
        <c:marker>
          <c:spPr>
            <a:solidFill>
              <a:schemeClr val="bg1"/>
            </a:solidFill>
          </c:spPr>
        </c:marker>
      </c:pivotFmt>
    </c:pivotFmts>
    <c:plotArea>
      <c:layout>
        <c:manualLayout>
          <c:layoutTarget val="inner"/>
          <c:xMode val="edge"/>
          <c:yMode val="edge"/>
          <c:x val="9.4266970293108585E-2"/>
          <c:y val="0.25952897354449173"/>
          <c:w val="0.85931283711359752"/>
          <c:h val="0.50891417045225951"/>
        </c:manualLayout>
      </c:layout>
      <c:lineChart>
        <c:grouping val="standar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F0FF"/>
              </a:solidFill>
            </a:ln>
          </c:spPr>
          <c:marker>
            <c:spPr>
              <a:solidFill>
                <a:schemeClr val="bg1"/>
              </a:solidFill>
            </c:spPr>
          </c:marker>
          <c:cat>
            <c:strRef>
              <c:f>Sheet3!$A$4:$A$17</c:f>
              <c:strCache>
                <c:ptCount val="13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114</c:v>
                </c:pt>
                <c:pt idx="1">
                  <c:v>126</c:v>
                </c:pt>
                <c:pt idx="2">
                  <c:v>106</c:v>
                </c:pt>
                <c:pt idx="3">
                  <c:v>116</c:v>
                </c:pt>
                <c:pt idx="4">
                  <c:v>115</c:v>
                </c:pt>
                <c:pt idx="5">
                  <c:v>109</c:v>
                </c:pt>
                <c:pt idx="6">
                  <c:v>125</c:v>
                </c:pt>
                <c:pt idx="7">
                  <c:v>118</c:v>
                </c:pt>
                <c:pt idx="8">
                  <c:v>109</c:v>
                </c:pt>
                <c:pt idx="9">
                  <c:v>119</c:v>
                </c:pt>
                <c:pt idx="10">
                  <c:v>116</c:v>
                </c:pt>
                <c:pt idx="11">
                  <c:v>124</c:v>
                </c:pt>
                <c:pt idx="12">
                  <c:v>122</c:v>
                </c:pt>
              </c:numCache>
            </c:numRef>
          </c:val>
        </c:ser>
        <c:marker val="1"/>
        <c:axId val="147740928"/>
        <c:axId val="147747200"/>
      </c:lineChart>
      <c:catAx>
        <c:axId val="147740928"/>
        <c:scaling>
          <c:orientation val="minMax"/>
        </c:scaling>
        <c:axPos val="b"/>
        <c:tickLblPos val="nextTo"/>
        <c:txPr>
          <a:bodyPr rot="1380000" vert="horz"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47747200"/>
        <c:crosses val="autoZero"/>
        <c:auto val="1"/>
        <c:lblAlgn val="ctr"/>
        <c:lblOffset val="100"/>
      </c:catAx>
      <c:valAx>
        <c:axId val="14774720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47740928"/>
        <c:crosses val="autoZero"/>
        <c:crossBetween val="between"/>
      </c:valAx>
      <c:spPr>
        <a:noFill/>
        <a:ln>
          <a:noFill/>
        </a:ln>
        <a:effectLst/>
      </c:spPr>
    </c:plotArea>
    <c:plotVisOnly val="1"/>
  </c:chart>
  <c:spPr>
    <a:solidFill>
      <a:srgbClr val="1B2233"/>
    </a:solidFill>
    <a:ln>
      <a:noFill/>
    </a:ln>
    <a:effectLst/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[Space_Mission_Analysis2.xlsx]Sheet3!PivotTable4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>
                <a:solidFill>
                  <a:schemeClr val="bg1">
                    <a:lumMod val="85000"/>
                  </a:schemeClr>
                </a:solidFill>
              </a:rPr>
              <a:t>Missions by Country</a:t>
            </a:r>
          </a:p>
        </c:rich>
      </c:tx>
      <c:layout>
        <c:manualLayout>
          <c:xMode val="edge"/>
          <c:yMode val="edge"/>
          <c:x val="0.27889180748015763"/>
          <c:y val="3.6148144774742978E-2"/>
        </c:manualLayout>
      </c:layout>
    </c:title>
    <c:pivotFmts>
      <c:pivotFmt>
        <c:idx val="0"/>
      </c:pivotFmt>
      <c:pivotFmt>
        <c:idx val="1"/>
      </c:pivotFmt>
      <c:pivotFmt>
        <c:idx val="2"/>
        <c:spPr>
          <a:solidFill>
            <a:schemeClr val="bg1">
              <a:lumMod val="85000"/>
            </a:schemeClr>
          </a:solidFill>
        </c:spPr>
        <c:marker>
          <c:symbol val="none"/>
        </c:marker>
      </c:pivotFmt>
      <c:pivotFmt>
        <c:idx val="3"/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cat>
            <c:strRef>
              <c:f>Sheet3!$D$4:$D$14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Israel</c:v>
                </c:pt>
                <c:pt idx="5">
                  <c:v>Japan</c:v>
                </c:pt>
                <c:pt idx="6">
                  <c:v>Russia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Sheet3!$E$4:$E$14</c:f>
              <c:numCache>
                <c:formatCode>General</c:formatCode>
                <c:ptCount val="10"/>
                <c:pt idx="0">
                  <c:v>322</c:v>
                </c:pt>
                <c:pt idx="1">
                  <c:v>311</c:v>
                </c:pt>
                <c:pt idx="2">
                  <c:v>250</c:v>
                </c:pt>
                <c:pt idx="3">
                  <c:v>294</c:v>
                </c:pt>
                <c:pt idx="4">
                  <c:v>313</c:v>
                </c:pt>
                <c:pt idx="5">
                  <c:v>290</c:v>
                </c:pt>
                <c:pt idx="6">
                  <c:v>289</c:v>
                </c:pt>
                <c:pt idx="7">
                  <c:v>305</c:v>
                </c:pt>
                <c:pt idx="8">
                  <c:v>322</c:v>
                </c:pt>
                <c:pt idx="9">
                  <c:v>304</c:v>
                </c:pt>
              </c:numCache>
            </c:numRef>
          </c:val>
        </c:ser>
        <c:axId val="146616704"/>
        <c:axId val="146618240"/>
      </c:barChart>
      <c:catAx>
        <c:axId val="146616704"/>
        <c:scaling>
          <c:orientation val="minMax"/>
        </c:scaling>
        <c:axPos val="l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46618240"/>
        <c:crosses val="autoZero"/>
        <c:auto val="1"/>
        <c:lblAlgn val="ctr"/>
        <c:lblOffset val="100"/>
      </c:catAx>
      <c:valAx>
        <c:axId val="14661824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46616704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1B2233"/>
    </a:soli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[Space_Mission_Analysis2.xlsx]Sheet3!PivotTable3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>
                <a:solidFill>
                  <a:schemeClr val="bg1">
                    <a:lumMod val="85000"/>
                  </a:schemeClr>
                </a:solidFill>
              </a:rPr>
              <a:t>Budget by Country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spPr>
          <a:solidFill>
            <a:srgbClr val="CBD5E1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BD5E1"/>
            </a:solidFill>
          </c:spPr>
          <c:cat>
            <c:strRef>
              <c:f>Sheet3!$A$37:$A$47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Israel</c:v>
                </c:pt>
                <c:pt idx="5">
                  <c:v>Japan</c:v>
                </c:pt>
                <c:pt idx="6">
                  <c:v>Russia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Sheet3!$B$37:$B$47</c:f>
              <c:numCache>
                <c:formatCode>General</c:formatCode>
                <c:ptCount val="10"/>
                <c:pt idx="0">
                  <c:v>8261.5899999999983</c:v>
                </c:pt>
                <c:pt idx="1">
                  <c:v>8008.430000000003</c:v>
                </c:pt>
                <c:pt idx="2">
                  <c:v>6031.8000000000011</c:v>
                </c:pt>
                <c:pt idx="3">
                  <c:v>7851.6700000000037</c:v>
                </c:pt>
                <c:pt idx="4">
                  <c:v>7964.5799999999972</c:v>
                </c:pt>
                <c:pt idx="5">
                  <c:v>7300.7100000000028</c:v>
                </c:pt>
                <c:pt idx="6">
                  <c:v>7423.6700000000019</c:v>
                </c:pt>
                <c:pt idx="7">
                  <c:v>7496.1000000000013</c:v>
                </c:pt>
                <c:pt idx="8">
                  <c:v>8027.73</c:v>
                </c:pt>
                <c:pt idx="9">
                  <c:v>7920.4699999999984</c:v>
                </c:pt>
              </c:numCache>
            </c:numRef>
          </c:val>
        </c:ser>
        <c:axId val="146638336"/>
        <c:axId val="146639872"/>
      </c:barChart>
      <c:catAx>
        <c:axId val="146638336"/>
        <c:scaling>
          <c:orientation val="minMax"/>
        </c:scaling>
        <c:axPos val="b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46639872"/>
        <c:crosses val="autoZero"/>
        <c:auto val="1"/>
        <c:lblAlgn val="ctr"/>
        <c:lblOffset val="100"/>
      </c:catAx>
      <c:valAx>
        <c:axId val="14663987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46638336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1B2233"/>
    </a:soli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[Space_Mission_Analysis2.xlsx]Sheet3!PivotTable6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Technology Used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spPr>
          <a:solidFill>
            <a:srgbClr val="CBD5E1"/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Sheet3!$E$36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BD5E1"/>
            </a:solidFill>
          </c:spPr>
          <c:cat>
            <c:strRef>
              <c:f>Sheet3!$D$37:$D$42</c:f>
              <c:strCache>
                <c:ptCount val="5"/>
                <c:pt idx="0">
                  <c:v>AI Navigation</c:v>
                </c:pt>
                <c:pt idx="1">
                  <c:v>Nuclear Propulsion</c:v>
                </c:pt>
                <c:pt idx="2">
                  <c:v>Reusable Rocket</c:v>
                </c:pt>
                <c:pt idx="3">
                  <c:v>Solar Propulsion</c:v>
                </c:pt>
                <c:pt idx="4">
                  <c:v>Traditional Rocket</c:v>
                </c:pt>
              </c:strCache>
            </c:strRef>
          </c:cat>
          <c:val>
            <c:numRef>
              <c:f>Sheet3!$E$37:$E$42</c:f>
              <c:numCache>
                <c:formatCode>General</c:formatCode>
                <c:ptCount val="5"/>
                <c:pt idx="0">
                  <c:v>609</c:v>
                </c:pt>
                <c:pt idx="1">
                  <c:v>562</c:v>
                </c:pt>
                <c:pt idx="2">
                  <c:v>581</c:v>
                </c:pt>
                <c:pt idx="3">
                  <c:v>598</c:v>
                </c:pt>
                <c:pt idx="4">
                  <c:v>650</c:v>
                </c:pt>
              </c:numCache>
            </c:numRef>
          </c:val>
        </c:ser>
        <c:axId val="146659968"/>
        <c:axId val="147804544"/>
      </c:barChart>
      <c:catAx>
        <c:axId val="146659968"/>
        <c:scaling>
          <c:orientation val="minMax"/>
        </c:scaling>
        <c:axPos val="l"/>
        <c:tickLblPos val="nextTo"/>
        <c:spPr>
          <a:noFill/>
          <a:ln>
            <a:noFill/>
          </a:ln>
        </c:spPr>
        <c:crossAx val="147804544"/>
        <c:crosses val="autoZero"/>
        <c:auto val="1"/>
        <c:lblAlgn val="ctr"/>
        <c:lblOffset val="100"/>
      </c:catAx>
      <c:valAx>
        <c:axId val="147804544"/>
        <c:scaling>
          <c:orientation val="minMax"/>
          <c:min val="0"/>
        </c:scaling>
        <c:axPos val="b"/>
        <c:numFmt formatCode="General" sourceLinked="1"/>
        <c:tickLblPos val="nextTo"/>
        <c:crossAx val="146659968"/>
        <c:crosses val="autoZero"/>
        <c:crossBetween val="between"/>
        <c:majorUnit val="100"/>
      </c:valAx>
      <c:spPr>
        <a:noFill/>
        <a:ln>
          <a:noFill/>
        </a:ln>
      </c:spPr>
    </c:plotArea>
    <c:plotVisOnly val="1"/>
  </c:chart>
  <c:spPr>
    <a:solidFill>
      <a:srgbClr val="1B2233"/>
    </a:soli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3"/>
  <c:pivotSource>
    <c:name>[Space_Mission_Analysis2.xlsx]Sheet3!PivotTable9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>
                <a:solidFill>
                  <a:schemeClr val="bg1">
                    <a:lumMod val="85000"/>
                  </a:schemeClr>
                </a:solidFill>
              </a:rPr>
              <a:t>Environmental</a:t>
            </a:r>
            <a:r>
              <a:rPr lang="en-US" baseline="0">
                <a:solidFill>
                  <a:schemeClr val="bg1">
                    <a:lumMod val="85000"/>
                  </a:schemeClr>
                </a:solidFill>
              </a:rPr>
              <a:t> Impact</a:t>
            </a:r>
            <a:endParaRPr lang="en-US">
              <a:solidFill>
                <a:schemeClr val="bg1">
                  <a:lumMod val="85000"/>
                </a:schemeClr>
              </a:solidFill>
            </a:endParaRPr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dLbl>
          <c:idx val="0"/>
          <c:showPercent val="1"/>
        </c:dLbl>
      </c:pivotFmt>
      <c:pivotFmt>
        <c:idx val="2"/>
        <c:dLbl>
          <c:idx val="0"/>
          <c:showPercent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solidFill>
                    <a:schemeClr val="bg1">
                      <a:lumMod val="85000"/>
                    </a:schemeClr>
                  </a:solidFill>
                </a:defRPr>
              </a:pPr>
              <a:endParaRPr lang="en-US"/>
            </a:p>
          </c:txPr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3727892348710249"/>
          <c:y val="0.26270006617726382"/>
          <c:w val="0.71667947769638907"/>
          <c:h val="0.70246201739545633"/>
        </c:manualLayout>
      </c:layout>
      <c:doughnutChart>
        <c:varyColors val="1"/>
        <c:ser>
          <c:idx val="0"/>
          <c:order val="0"/>
          <c:tx>
            <c:strRef>
              <c:f>Sheet3!$H$9</c:f>
              <c:strCache>
                <c:ptCount val="1"/>
                <c:pt idx="0">
                  <c:v>Total</c:v>
                </c:pt>
              </c:strCache>
            </c:strRef>
          </c:tx>
          <c:explosion val="7"/>
          <c:dLbls>
            <c:spPr/>
            <c:txPr>
              <a:bodyPr/>
              <a:lstStyle/>
              <a:p>
                <a:pPr>
                  <a:defRPr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Sheet3!$G$10:$G$13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Sheet3!$H$10:$H$13</c:f>
              <c:numCache>
                <c:formatCode>General</c:formatCode>
                <c:ptCount val="3"/>
                <c:pt idx="0">
                  <c:v>958</c:v>
                </c:pt>
                <c:pt idx="1">
                  <c:v>1010</c:v>
                </c:pt>
                <c:pt idx="2">
                  <c:v>1032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1607262128848139"/>
          <c:y val="0.1587926318363026"/>
          <c:w val="0.65664002340485506"/>
          <c:h val="7.7658697778885427E-2"/>
        </c:manualLayout>
      </c:layout>
      <c:txPr>
        <a:bodyPr/>
        <a:lstStyle/>
        <a:p>
          <a:pPr>
            <a:defRPr>
              <a:solidFill>
                <a:schemeClr val="bg1">
                  <a:lumMod val="85000"/>
                </a:schemeClr>
              </a:solidFill>
            </a:defRPr>
          </a:pPr>
          <a:endParaRPr lang="en-US"/>
        </a:p>
      </c:txPr>
    </c:legend>
    <c:plotVisOnly val="1"/>
  </c:chart>
  <c:spPr>
    <a:solidFill>
      <a:srgbClr val="1B2233"/>
    </a:soli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3"/>
  <c:pivotSource>
    <c:name>[Space_Mission_Analysis2.xlsx]Sheet3!PivotTable7</c:name>
    <c:fmtId val="4"/>
  </c:pivotSource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>
                <a:solidFill>
                  <a:schemeClr val="bg1">
                    <a:lumMod val="85000"/>
                  </a:schemeClr>
                </a:solidFill>
              </a:rPr>
              <a:t>Satellite</a:t>
            </a:r>
            <a:r>
              <a:rPr lang="en-US" baseline="0">
                <a:solidFill>
                  <a:schemeClr val="bg1">
                    <a:lumMod val="85000"/>
                  </a:schemeClr>
                </a:solidFill>
              </a:rPr>
              <a:t> Type</a:t>
            </a:r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marker>
          <c:symbol val="none"/>
        </c:marker>
        <c:dLbl>
          <c:idx val="0"/>
          <c:showPercent val="1"/>
        </c:dLbl>
      </c:pivotFmt>
      <c:pivotFmt>
        <c:idx val="2"/>
        <c:marker>
          <c:symbol val="none"/>
        </c:marker>
        <c:dLbl>
          <c:idx val="0"/>
          <c:showPercent val="1"/>
        </c:dLbl>
      </c:pivotFmt>
      <c:pivotFmt>
        <c:idx val="3"/>
        <c:marker>
          <c:symbol val="none"/>
        </c:marker>
        <c:dLbl>
          <c:idx val="0"/>
          <c:showPercent val="1"/>
        </c:dLbl>
      </c:pivotFmt>
      <c:pivotFmt>
        <c:idx val="4"/>
        <c:marker>
          <c:symbol val="none"/>
        </c:marker>
        <c:dLbl>
          <c:idx val="0"/>
          <c:layout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2521269632725621"/>
          <c:y val="0.20119805053998879"/>
          <c:w val="0.5565802111974727"/>
          <c:h val="0.76961723468621446"/>
        </c:manualLayout>
      </c:layout>
      <c:doughnutChart>
        <c:varyColors val="1"/>
        <c:ser>
          <c:idx val="0"/>
          <c:order val="0"/>
          <c:tx>
            <c:strRef>
              <c:f>Sheet3!$H$36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Sheet3!$G$37:$G$42</c:f>
              <c:strCache>
                <c:ptCount val="5"/>
                <c:pt idx="0">
                  <c:v>Communication</c:v>
                </c:pt>
                <c:pt idx="1">
                  <c:v>Navigation</c:v>
                </c:pt>
                <c:pt idx="2">
                  <c:v>Research</c:v>
                </c:pt>
                <c:pt idx="3">
                  <c:v>Spy</c:v>
                </c:pt>
                <c:pt idx="4">
                  <c:v>Weather</c:v>
                </c:pt>
              </c:strCache>
            </c:strRef>
          </c:cat>
          <c:val>
            <c:numRef>
              <c:f>Sheet3!$H$37:$H$42</c:f>
              <c:numCache>
                <c:formatCode>General</c:formatCode>
                <c:ptCount val="5"/>
                <c:pt idx="0">
                  <c:v>588</c:v>
                </c:pt>
                <c:pt idx="1">
                  <c:v>561</c:v>
                </c:pt>
                <c:pt idx="2">
                  <c:v>649</c:v>
                </c:pt>
                <c:pt idx="3">
                  <c:v>585</c:v>
                </c:pt>
                <c:pt idx="4">
                  <c:v>617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3414261925217961"/>
          <c:y val="0.31646430309184609"/>
          <c:w val="0.24764163459786964"/>
          <c:h val="0.49710470017664693"/>
        </c:manualLayout>
      </c:layout>
      <c:spPr>
        <a:noFill/>
      </c:spPr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rgbClr val="1B2233"/>
    </a:soli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[Space_Mission_Analysis2.xlsx]Sheet3!PivotTable10</c:name>
    <c:fmtId val="11"/>
  </c:pivotSource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>
                <a:solidFill>
                  <a:schemeClr val="bg1">
                    <a:lumMod val="85000"/>
                  </a:schemeClr>
                </a:solidFill>
              </a:rPr>
              <a:t>Success Rate % by Country</a:t>
            </a:r>
          </a:p>
        </c:rich>
      </c:tx>
      <c:layout>
        <c:manualLayout>
          <c:xMode val="edge"/>
          <c:yMode val="edge"/>
          <c:x val="9.6715763470742636E-2"/>
          <c:y val="2.7111108581057239E-2"/>
        </c:manualLayout>
      </c:layout>
    </c:title>
    <c:pivotFmts>
      <c:pivotFmt>
        <c:idx val="0"/>
        <c:marker>
          <c:symbol val="circle"/>
          <c:size val="5"/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1"/>
        <c:marker>
          <c:symbol val="circle"/>
          <c:size val="5"/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2"/>
        <c:marker>
          <c:symbol val="circle"/>
          <c:size val="5"/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3"/>
        <c:marker>
          <c:spPr>
            <a:solidFill>
              <a:srgbClr val="38BDF8"/>
            </a:solidFill>
          </c:spPr>
        </c:marker>
      </c:pivotFmt>
    </c:pivotFmts>
    <c:plotArea>
      <c:layout/>
      <c:radarChart>
        <c:radarStyle val="marker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dPt>
            <c:idx val="9"/>
            <c:marker>
              <c:spPr>
                <a:solidFill>
                  <a:srgbClr val="38BDF8"/>
                </a:solidFill>
              </c:spPr>
            </c:marker>
          </c:dPt>
          <c:cat>
            <c:strRef>
              <c:f>Sheet3!$J$4:$J$14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Israel</c:v>
                </c:pt>
                <c:pt idx="5">
                  <c:v>Japan</c:v>
                </c:pt>
                <c:pt idx="6">
                  <c:v>Russia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Sheet3!$K$4:$K$14</c:f>
              <c:numCache>
                <c:formatCode>General</c:formatCode>
                <c:ptCount val="10"/>
                <c:pt idx="0">
                  <c:v>74.990683229813669</c:v>
                </c:pt>
                <c:pt idx="1">
                  <c:v>75.463022508038591</c:v>
                </c:pt>
                <c:pt idx="2">
                  <c:v>76.248000000000005</c:v>
                </c:pt>
                <c:pt idx="3">
                  <c:v>75.765306122448976</c:v>
                </c:pt>
                <c:pt idx="4">
                  <c:v>74.108626198083073</c:v>
                </c:pt>
                <c:pt idx="5">
                  <c:v>74.451724137931038</c:v>
                </c:pt>
                <c:pt idx="6">
                  <c:v>75.252595155709344</c:v>
                </c:pt>
                <c:pt idx="7">
                  <c:v>74.734426229508202</c:v>
                </c:pt>
                <c:pt idx="8">
                  <c:v>75.043478260869563</c:v>
                </c:pt>
                <c:pt idx="9">
                  <c:v>74.04276315789474</c:v>
                </c:pt>
              </c:numCache>
            </c:numRef>
          </c:val>
        </c:ser>
        <c:axId val="148087552"/>
        <c:axId val="148089088"/>
      </c:radarChart>
      <c:catAx>
        <c:axId val="148087552"/>
        <c:scaling>
          <c:orientation val="minMax"/>
        </c:scaling>
        <c:axPos val="b"/>
        <c:majorGridlines/>
        <c:tickLblPos val="nextTo"/>
        <c:txPr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endParaRPr lang="en-US"/>
          </a:p>
        </c:txPr>
        <c:crossAx val="148089088"/>
        <c:crosses val="autoZero"/>
        <c:auto val="1"/>
        <c:lblAlgn val="ctr"/>
        <c:lblOffset val="100"/>
      </c:catAx>
      <c:valAx>
        <c:axId val="148089088"/>
        <c:scaling>
          <c:orientation val="minMax"/>
        </c:scaling>
        <c:delete val="1"/>
        <c:axPos val="l"/>
        <c:majorGridlines>
          <c:spPr>
            <a:ln>
              <a:solidFill>
                <a:srgbClr val="1E293B"/>
              </a:solidFill>
            </a:ln>
          </c:spPr>
        </c:majorGridlines>
        <c:numFmt formatCode="General" sourceLinked="1"/>
        <c:majorTickMark val="cross"/>
        <c:tickLblPos val="nextTo"/>
        <c:crossAx val="148087552"/>
        <c:crosses val="autoZero"/>
        <c:crossBetween val="between"/>
      </c:valAx>
      <c:spPr>
        <a:noFill/>
      </c:spPr>
    </c:plotArea>
    <c:plotVisOnly val="1"/>
  </c:chart>
  <c:spPr>
    <a:solidFill>
      <a:srgbClr val="1B2233"/>
    </a:soli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3"/>
  <c:pivotSource>
    <c:name>[Space_Mission_Analysis2.xlsx]Sheet3!PivotTable5</c:name>
    <c:fmtId val="8"/>
  </c:pivotSource>
  <c:chart>
    <c:title>
      <c:tx>
        <c:rich>
          <a:bodyPr/>
          <a:lstStyle/>
          <a:p>
            <a:pPr>
              <a:defRPr sz="1600">
                <a:solidFill>
                  <a:schemeClr val="bg1"/>
                </a:solidFill>
              </a:defRPr>
            </a:pPr>
            <a:r>
              <a:rPr lang="en-US" sz="1600">
                <a:solidFill>
                  <a:schemeClr val="bg1"/>
                </a:solidFill>
              </a:rPr>
              <a:t>Manned vs Unmanned</a:t>
            </a:r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marker>
          <c:symbol val="none"/>
        </c:marker>
        <c:dLbl>
          <c:idx val="0"/>
          <c:showPercent val="1"/>
        </c:dLbl>
      </c:pivotFmt>
      <c:pivotFmt>
        <c:idx val="2"/>
        <c:marker>
          <c:symbol val="none"/>
        </c:marker>
        <c:dLbl>
          <c:idx val="0"/>
          <c:layout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23933054226871783"/>
          <c:y val="0.33556642319630403"/>
          <c:w val="0.52133891546256428"/>
          <c:h val="0.62174506437646093"/>
        </c:manualLayout>
      </c:layout>
      <c:pieChart>
        <c:varyColors val="1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Sheet3!$G$4:$G$6</c:f>
              <c:strCache>
                <c:ptCount val="2"/>
                <c:pt idx="0">
                  <c:v>Manned</c:v>
                </c:pt>
                <c:pt idx="1">
                  <c:v>Unmanned</c:v>
                </c:pt>
              </c:strCache>
            </c:strRef>
          </c:cat>
          <c:val>
            <c:numRef>
              <c:f>Sheet3!$H$4:$H$6</c:f>
              <c:numCache>
                <c:formatCode>General</c:formatCode>
                <c:ptCount val="2"/>
                <c:pt idx="0">
                  <c:v>1528</c:v>
                </c:pt>
                <c:pt idx="1">
                  <c:v>1472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t"/>
      <c:layout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rgbClr val="1B2233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147670</xdr:colOff>
      <xdr:row>7</xdr:row>
      <xdr:rowOff>156148</xdr:rowOff>
    </xdr:from>
    <xdr:to>
      <xdr:col>2</xdr:col>
      <xdr:colOff>1545860</xdr:colOff>
      <xdr:row>19</xdr:row>
      <xdr:rowOff>15615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1610328</xdr:colOff>
      <xdr:row>7</xdr:row>
      <xdr:rowOff>156147</xdr:rowOff>
    </xdr:from>
    <xdr:to>
      <xdr:col>6</xdr:col>
      <xdr:colOff>281066</xdr:colOff>
      <xdr:row>19</xdr:row>
      <xdr:rowOff>15614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1077419</xdr:colOff>
      <xdr:row>20</xdr:row>
      <xdr:rowOff>15613</xdr:rowOff>
    </xdr:from>
    <xdr:to>
      <xdr:col>6</xdr:col>
      <xdr:colOff>577747</xdr:colOff>
      <xdr:row>34</xdr:row>
      <xdr:rowOff>54428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249836</xdr:colOff>
      <xdr:row>7</xdr:row>
      <xdr:rowOff>171762</xdr:rowOff>
    </xdr:from>
    <xdr:to>
      <xdr:col>13</xdr:col>
      <xdr:colOff>468442</xdr:colOff>
      <xdr:row>19</xdr:row>
      <xdr:rowOff>38370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13609</xdr:colOff>
      <xdr:row>20</xdr:row>
      <xdr:rowOff>15614</xdr:rowOff>
    </xdr:from>
    <xdr:to>
      <xdr:col>13</xdr:col>
      <xdr:colOff>476251</xdr:colOff>
      <xdr:row>34</xdr:row>
      <xdr:rowOff>27213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163285</xdr:colOff>
      <xdr:row>20</xdr:row>
      <xdr:rowOff>15613</xdr:rowOff>
    </xdr:from>
    <xdr:to>
      <xdr:col>2</xdr:col>
      <xdr:colOff>1020536</xdr:colOff>
      <xdr:row>34</xdr:row>
      <xdr:rowOff>54430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149679</xdr:colOff>
      <xdr:row>0</xdr:row>
      <xdr:rowOff>136069</xdr:rowOff>
    </xdr:from>
    <xdr:to>
      <xdr:col>5</xdr:col>
      <xdr:colOff>343524</xdr:colOff>
      <xdr:row>2</xdr:row>
      <xdr:rowOff>386953</xdr:rowOff>
    </xdr:to>
    <xdr:sp macro="" textlink="">
      <xdr:nvSpPr>
        <xdr:cNvPr id="17" name="Rounded Rectangle 16"/>
        <xdr:cNvSpPr/>
      </xdr:nvSpPr>
      <xdr:spPr>
        <a:xfrm>
          <a:off x="149679" y="136069"/>
          <a:ext cx="8469665" cy="844245"/>
        </a:xfrm>
        <a:prstGeom prst="roundRect">
          <a:avLst/>
        </a:prstGeom>
        <a:solidFill>
          <a:srgbClr val="1B2233"/>
        </a:solidFill>
        <a:ln>
          <a:noFill/>
        </a:ln>
        <a:effectLst>
          <a:outerShdw blurRad="50800" dist="38100" dir="2700000" sx="51000" sy="51000" algn="tl" rotWithShape="0">
            <a:srgbClr val="334155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172736</xdr:colOff>
      <xdr:row>0</xdr:row>
      <xdr:rowOff>138545</xdr:rowOff>
    </xdr:from>
    <xdr:to>
      <xdr:col>5</xdr:col>
      <xdr:colOff>404279</xdr:colOff>
      <xdr:row>2</xdr:row>
      <xdr:rowOff>315438</xdr:rowOff>
    </xdr:to>
    <xdr:sp macro="" textlink="">
      <xdr:nvSpPr>
        <xdr:cNvPr id="18" name="TextBox 17"/>
        <xdr:cNvSpPr txBox="1"/>
      </xdr:nvSpPr>
      <xdr:spPr>
        <a:xfrm>
          <a:off x="172736" y="138545"/>
          <a:ext cx="8492316" cy="765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3600" b="1">
              <a:solidFill>
                <a:schemeClr val="bg1">
                  <a:lumMod val="95000"/>
                </a:schemeClr>
              </a:solidFill>
              <a:latin typeface="Segoe UI Semibold" pitchFamily="34" charset="0"/>
              <a:cs typeface="Segoe UI Semibold" pitchFamily="34" charset="0"/>
            </a:rPr>
            <a:t>GLOBAL SPACE</a:t>
          </a:r>
          <a:r>
            <a:rPr lang="en-US" sz="3600" b="1" baseline="0">
              <a:solidFill>
                <a:schemeClr val="bg1">
                  <a:lumMod val="95000"/>
                </a:schemeClr>
              </a:solidFill>
              <a:latin typeface="Segoe UI Semibold" pitchFamily="34" charset="0"/>
              <a:cs typeface="Segoe UI Semibold" pitchFamily="34" charset="0"/>
            </a:rPr>
            <a:t> MISSION ANALYSIS</a:t>
          </a:r>
          <a:endParaRPr lang="en-US" sz="3600" b="1">
            <a:solidFill>
              <a:schemeClr val="bg1">
                <a:lumMod val="95000"/>
              </a:schemeClr>
            </a:solidFill>
            <a:latin typeface="Segoe UI Semibold" pitchFamily="34" charset="0"/>
            <a:cs typeface="Segoe UI Semibold" pitchFamily="34" charset="0"/>
          </a:endParaRPr>
        </a:p>
      </xdr:txBody>
    </xdr:sp>
    <xdr:clientData/>
  </xdr:twoCellAnchor>
  <xdr:twoCellAnchor editAs="oneCell">
    <xdr:from>
      <xdr:col>7</xdr:col>
      <xdr:colOff>57149</xdr:colOff>
      <xdr:row>0</xdr:row>
      <xdr:rowOff>152399</xdr:rowOff>
    </xdr:from>
    <xdr:to>
      <xdr:col>7</xdr:col>
      <xdr:colOff>81535</xdr:colOff>
      <xdr:row>0</xdr:row>
      <xdr:rowOff>176785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64042" y="152399"/>
          <a:ext cx="24386" cy="24386"/>
        </a:xfrm>
        <a:prstGeom prst="rect">
          <a:avLst/>
        </a:prstGeom>
      </xdr:spPr>
    </xdr:pic>
    <xdr:clientData/>
  </xdr:twoCellAnchor>
  <xdr:twoCellAnchor>
    <xdr:from>
      <xdr:col>6</xdr:col>
      <xdr:colOff>640205</xdr:colOff>
      <xdr:row>20</xdr:row>
      <xdr:rowOff>31228</xdr:rowOff>
    </xdr:from>
    <xdr:to>
      <xdr:col>8</xdr:col>
      <xdr:colOff>552762</xdr:colOff>
      <xdr:row>34</xdr:row>
      <xdr:rowOff>46845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218607</xdr:colOff>
      <xdr:row>3</xdr:row>
      <xdr:rowOff>140533</xdr:rowOff>
    </xdr:from>
    <xdr:to>
      <xdr:col>2</xdr:col>
      <xdr:colOff>624590</xdr:colOff>
      <xdr:row>7</xdr:row>
      <xdr:rowOff>49298</xdr:rowOff>
    </xdr:to>
    <xdr:sp macro="" textlink="">
      <xdr:nvSpPr>
        <xdr:cNvPr id="35" name="Rounded Rectangle 34"/>
        <xdr:cNvSpPr/>
      </xdr:nvSpPr>
      <xdr:spPr>
        <a:xfrm>
          <a:off x="218607" y="1139877"/>
          <a:ext cx="3731926" cy="876880"/>
        </a:xfrm>
        <a:prstGeom prst="roundRect">
          <a:avLst/>
        </a:prstGeom>
        <a:solidFill>
          <a:srgbClr val="1B223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1960856</xdr:colOff>
      <xdr:row>3</xdr:row>
      <xdr:rowOff>204420</xdr:rowOff>
    </xdr:from>
    <xdr:to>
      <xdr:col>2</xdr:col>
      <xdr:colOff>462954</xdr:colOff>
      <xdr:row>4</xdr:row>
      <xdr:rowOff>108276</xdr:rowOff>
    </xdr:to>
    <xdr:sp macro="" textlink="">
      <xdr:nvSpPr>
        <xdr:cNvPr id="36" name="TextBox 35"/>
        <xdr:cNvSpPr txBox="1"/>
      </xdr:nvSpPr>
      <xdr:spPr>
        <a:xfrm>
          <a:off x="1960856" y="1203764"/>
          <a:ext cx="1828041" cy="309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>
              <a:solidFill>
                <a:schemeClr val="bg1">
                  <a:lumMod val="85000"/>
                </a:schemeClr>
              </a:solidFill>
            </a:rPr>
            <a:t>Total Missions</a:t>
          </a:r>
        </a:p>
      </xdr:txBody>
    </xdr:sp>
    <xdr:clientData/>
  </xdr:twoCellAnchor>
  <xdr:twoCellAnchor>
    <xdr:from>
      <xdr:col>0</xdr:col>
      <xdr:colOff>1808726</xdr:colOff>
      <xdr:row>4</xdr:row>
      <xdr:rowOff>149098</xdr:rowOff>
    </xdr:from>
    <xdr:to>
      <xdr:col>2</xdr:col>
      <xdr:colOff>351645</xdr:colOff>
      <xdr:row>7</xdr:row>
      <xdr:rowOff>6559</xdr:rowOff>
    </xdr:to>
    <xdr:sp macro="" textlink="Sheet3!D16">
      <xdr:nvSpPr>
        <xdr:cNvPr id="37" name="TextBox 36"/>
        <xdr:cNvSpPr txBox="1"/>
      </xdr:nvSpPr>
      <xdr:spPr>
        <a:xfrm>
          <a:off x="1808726" y="1554426"/>
          <a:ext cx="1868862" cy="4195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F233FA18-4657-43F2-90C7-5552FC8CF12E}" type="TxLink">
            <a:rPr lang="en-US" sz="4000" b="1">
              <a:solidFill>
                <a:schemeClr val="bg1">
                  <a:lumMod val="85000"/>
                </a:schemeClr>
              </a:solidFill>
            </a:rPr>
            <a:pPr algn="ctr"/>
            <a:t> 3,000 </a:t>
          </a:fld>
          <a:endParaRPr lang="en-US" sz="40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2</xdr:col>
      <xdr:colOff>718278</xdr:colOff>
      <xdr:row>3</xdr:row>
      <xdr:rowOff>124917</xdr:rowOff>
    </xdr:from>
    <xdr:to>
      <xdr:col>4</xdr:col>
      <xdr:colOff>1436557</xdr:colOff>
      <xdr:row>7</xdr:row>
      <xdr:rowOff>33682</xdr:rowOff>
    </xdr:to>
    <xdr:sp macro="" textlink="">
      <xdr:nvSpPr>
        <xdr:cNvPr id="38" name="Rounded Rectangle 37"/>
        <xdr:cNvSpPr/>
      </xdr:nvSpPr>
      <xdr:spPr>
        <a:xfrm>
          <a:off x="4044221" y="1124261"/>
          <a:ext cx="3700697" cy="876880"/>
        </a:xfrm>
        <a:prstGeom prst="roundRect">
          <a:avLst/>
        </a:prstGeom>
        <a:solidFill>
          <a:srgbClr val="1B223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rgbClr val="334155"/>
            </a:solidFill>
          </a:endParaRPr>
        </a:p>
      </xdr:txBody>
    </xdr:sp>
    <xdr:clientData/>
  </xdr:twoCellAnchor>
  <xdr:twoCellAnchor>
    <xdr:from>
      <xdr:col>2</xdr:col>
      <xdr:colOff>1936229</xdr:colOff>
      <xdr:row>3</xdr:row>
      <xdr:rowOff>148697</xdr:rowOff>
    </xdr:from>
    <xdr:to>
      <xdr:col>4</xdr:col>
      <xdr:colOff>1514631</xdr:colOff>
      <xdr:row>4</xdr:row>
      <xdr:rowOff>109303</xdr:rowOff>
    </xdr:to>
    <xdr:sp macro="" textlink="">
      <xdr:nvSpPr>
        <xdr:cNvPr id="39" name="TextBox 38"/>
        <xdr:cNvSpPr txBox="1"/>
      </xdr:nvSpPr>
      <xdr:spPr>
        <a:xfrm>
          <a:off x="5262172" y="1148041"/>
          <a:ext cx="2560820" cy="366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>
              <a:solidFill>
                <a:schemeClr val="bg1">
                  <a:lumMod val="85000"/>
                </a:schemeClr>
              </a:solidFill>
            </a:rPr>
            <a:t>Average Success Rate</a:t>
          </a:r>
        </a:p>
      </xdr:txBody>
    </xdr:sp>
    <xdr:clientData/>
  </xdr:twoCellAnchor>
  <xdr:twoCellAnchor>
    <xdr:from>
      <xdr:col>2</xdr:col>
      <xdr:colOff>2309827</xdr:colOff>
      <xdr:row>4</xdr:row>
      <xdr:rowOff>136917</xdr:rowOff>
    </xdr:from>
    <xdr:to>
      <xdr:col>4</xdr:col>
      <xdr:colOff>1123551</xdr:colOff>
      <xdr:row>6</xdr:row>
      <xdr:rowOff>181755</xdr:rowOff>
    </xdr:to>
    <xdr:sp macro="" textlink="Sheet3!D17">
      <xdr:nvSpPr>
        <xdr:cNvPr id="40" name="TextBox 39"/>
        <xdr:cNvSpPr txBox="1"/>
      </xdr:nvSpPr>
      <xdr:spPr>
        <a:xfrm>
          <a:off x="5635770" y="1542245"/>
          <a:ext cx="1796142" cy="4195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CA43FC1D-6393-40D0-A8AE-8ADD65B6B9F7}" type="TxLink">
            <a:rPr lang="en-US" sz="4000" b="1">
              <a:solidFill>
                <a:schemeClr val="bg1">
                  <a:lumMod val="85000"/>
                </a:schemeClr>
              </a:solidFill>
            </a:rPr>
            <a:pPr algn="ctr"/>
            <a:t>75%</a:t>
          </a:fld>
          <a:endParaRPr lang="en-US" sz="40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4</xdr:col>
      <xdr:colOff>1514631</xdr:colOff>
      <xdr:row>3</xdr:row>
      <xdr:rowOff>109303</xdr:rowOff>
    </xdr:from>
    <xdr:to>
      <xdr:col>7</xdr:col>
      <xdr:colOff>234222</xdr:colOff>
      <xdr:row>7</xdr:row>
      <xdr:rowOff>18068</xdr:rowOff>
    </xdr:to>
    <xdr:sp macro="" textlink="">
      <xdr:nvSpPr>
        <xdr:cNvPr id="41" name="Rounded Rectangle 40"/>
        <xdr:cNvSpPr/>
      </xdr:nvSpPr>
      <xdr:spPr>
        <a:xfrm>
          <a:off x="7822992" y="1108647"/>
          <a:ext cx="4012992" cy="876880"/>
        </a:xfrm>
        <a:prstGeom prst="roundRect">
          <a:avLst/>
        </a:prstGeom>
        <a:solidFill>
          <a:srgbClr val="1B223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rgbClr val="334155"/>
            </a:solidFill>
          </a:endParaRPr>
        </a:p>
      </xdr:txBody>
    </xdr:sp>
    <xdr:clientData/>
  </xdr:twoCellAnchor>
  <xdr:twoCellAnchor>
    <xdr:from>
      <xdr:col>6</xdr:col>
      <xdr:colOff>690616</xdr:colOff>
      <xdr:row>3</xdr:row>
      <xdr:rowOff>92707</xdr:rowOff>
    </xdr:from>
    <xdr:to>
      <xdr:col>6</xdr:col>
      <xdr:colOff>2503936</xdr:colOff>
      <xdr:row>4</xdr:row>
      <xdr:rowOff>40509</xdr:rowOff>
    </xdr:to>
    <xdr:sp macro="" textlink="">
      <xdr:nvSpPr>
        <xdr:cNvPr id="42" name="TextBox 41"/>
        <xdr:cNvSpPr txBox="1"/>
      </xdr:nvSpPr>
      <xdr:spPr>
        <a:xfrm>
          <a:off x="9575411" y="1092051"/>
          <a:ext cx="1813320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>
              <a:solidFill>
                <a:schemeClr val="bg1">
                  <a:lumMod val="85000"/>
                </a:schemeClr>
              </a:solidFill>
            </a:rPr>
            <a:t>Total Budget</a:t>
          </a:r>
        </a:p>
      </xdr:txBody>
    </xdr:sp>
    <xdr:clientData/>
  </xdr:twoCellAnchor>
  <xdr:twoCellAnchor>
    <xdr:from>
      <xdr:col>6</xdr:col>
      <xdr:colOff>327909</xdr:colOff>
      <xdr:row>4</xdr:row>
      <xdr:rowOff>11289</xdr:rowOff>
    </xdr:from>
    <xdr:to>
      <xdr:col>7</xdr:col>
      <xdr:colOff>109304</xdr:colOff>
      <xdr:row>6</xdr:row>
      <xdr:rowOff>121930</xdr:rowOff>
    </xdr:to>
    <xdr:sp macro="" textlink="Sheet3!D18">
      <xdr:nvSpPr>
        <xdr:cNvPr id="43" name="TextBox 42"/>
        <xdr:cNvSpPr txBox="1"/>
      </xdr:nvSpPr>
      <xdr:spPr>
        <a:xfrm>
          <a:off x="9212704" y="1416617"/>
          <a:ext cx="2498362" cy="485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65F9E6F0-5C62-48F3-9D42-CB6FB0EDCE5C}" type="TxLink">
            <a:rPr lang="en-US" sz="4000" b="1">
              <a:solidFill>
                <a:schemeClr val="bg1">
                  <a:lumMod val="85000"/>
                </a:schemeClr>
              </a:solidFill>
            </a:rPr>
            <a:pPr algn="ctr"/>
            <a:t> $76,286.7 </a:t>
          </a:fld>
          <a:endParaRPr lang="en-US" sz="40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7</xdr:col>
      <xdr:colOff>343524</xdr:colOff>
      <xdr:row>3</xdr:row>
      <xdr:rowOff>93687</xdr:rowOff>
    </xdr:from>
    <xdr:to>
      <xdr:col>13</xdr:col>
      <xdr:colOff>390369</xdr:colOff>
      <xdr:row>7</xdr:row>
      <xdr:rowOff>2452</xdr:rowOff>
    </xdr:to>
    <xdr:sp macro="" textlink="">
      <xdr:nvSpPr>
        <xdr:cNvPr id="44" name="Rounded Rectangle 43"/>
        <xdr:cNvSpPr/>
      </xdr:nvSpPr>
      <xdr:spPr>
        <a:xfrm>
          <a:off x="11945286" y="1093031"/>
          <a:ext cx="3700698" cy="876880"/>
        </a:xfrm>
        <a:prstGeom prst="roundRect">
          <a:avLst/>
        </a:prstGeom>
        <a:solidFill>
          <a:srgbClr val="1B223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rgbClr val="334155"/>
            </a:solidFill>
          </a:endParaRPr>
        </a:p>
      </xdr:txBody>
    </xdr:sp>
    <xdr:clientData/>
  </xdr:twoCellAnchor>
  <xdr:twoCellAnchor>
    <xdr:from>
      <xdr:col>9</xdr:col>
      <xdr:colOff>499673</xdr:colOff>
      <xdr:row>3</xdr:row>
      <xdr:rowOff>134822</xdr:rowOff>
    </xdr:from>
    <xdr:to>
      <xdr:col>13</xdr:col>
      <xdr:colOff>218607</xdr:colOff>
      <xdr:row>4</xdr:row>
      <xdr:rowOff>120321</xdr:rowOff>
    </xdr:to>
    <xdr:sp macro="" textlink="">
      <xdr:nvSpPr>
        <xdr:cNvPr id="45" name="TextBox 44"/>
        <xdr:cNvSpPr txBox="1"/>
      </xdr:nvSpPr>
      <xdr:spPr>
        <a:xfrm>
          <a:off x="13319386" y="1134166"/>
          <a:ext cx="2154836" cy="3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>
              <a:solidFill>
                <a:schemeClr val="bg1">
                  <a:lumMod val="85000"/>
                </a:schemeClr>
              </a:solidFill>
            </a:rPr>
            <a:t>Excellent Missions</a:t>
          </a:r>
        </a:p>
      </xdr:txBody>
    </xdr:sp>
    <xdr:clientData/>
  </xdr:twoCellAnchor>
  <xdr:twoCellAnchor>
    <xdr:from>
      <xdr:col>9</xdr:col>
      <xdr:colOff>327911</xdr:colOff>
      <xdr:row>4</xdr:row>
      <xdr:rowOff>65225</xdr:rowOff>
    </xdr:from>
    <xdr:to>
      <xdr:col>13</xdr:col>
      <xdr:colOff>275369</xdr:colOff>
      <xdr:row>6</xdr:row>
      <xdr:rowOff>110061</xdr:rowOff>
    </xdr:to>
    <xdr:sp macro="" textlink="Sheet3!D19">
      <xdr:nvSpPr>
        <xdr:cNvPr id="46" name="TextBox 45"/>
        <xdr:cNvSpPr txBox="1"/>
      </xdr:nvSpPr>
      <xdr:spPr>
        <a:xfrm>
          <a:off x="13147624" y="1470553"/>
          <a:ext cx="2383360" cy="419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7B5F447C-DE86-4CEE-90D9-E84C276C3665}" type="TxLink">
            <a:rPr lang="en-US" sz="4000" b="1">
              <a:solidFill>
                <a:schemeClr val="bg1">
                  <a:lumMod val="85000"/>
                </a:schemeClr>
              </a:solidFill>
            </a:rPr>
            <a:pPr algn="ctr"/>
            <a:t>670</a:t>
          </a:fld>
          <a:endParaRPr lang="en-US" sz="40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6</xdr:col>
      <xdr:colOff>343525</xdr:colOff>
      <xdr:row>7</xdr:row>
      <xdr:rowOff>156148</xdr:rowOff>
    </xdr:from>
    <xdr:to>
      <xdr:col>7</xdr:col>
      <xdr:colOff>171763</xdr:colOff>
      <xdr:row>19</xdr:row>
      <xdr:rowOff>46845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846113</xdr:colOff>
      <xdr:row>3</xdr:row>
      <xdr:rowOff>55254</xdr:rowOff>
    </xdr:from>
    <xdr:to>
      <xdr:col>0</xdr:col>
      <xdr:colOff>1911338</xdr:colOff>
      <xdr:row>8</xdr:row>
      <xdr:rowOff>45550</xdr:rowOff>
    </xdr:to>
    <xdr:pic>
      <xdr:nvPicPr>
        <xdr:cNvPr id="27" name="Picture 26" descr="file_00000000a8f8720797b1ec3d8d26856c (1) (1)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 rot="1644656">
          <a:off x="846113" y="1054598"/>
          <a:ext cx="1065225" cy="1145788"/>
        </a:xfrm>
        <a:prstGeom prst="rect">
          <a:avLst/>
        </a:prstGeom>
      </xdr:spPr>
    </xdr:pic>
    <xdr:clientData/>
  </xdr:twoCellAnchor>
  <xdr:twoCellAnchor editAs="oneCell">
    <xdr:from>
      <xdr:col>2</xdr:col>
      <xdr:colOff>858811</xdr:colOff>
      <xdr:row>3</xdr:row>
      <xdr:rowOff>31231</xdr:rowOff>
    </xdr:from>
    <xdr:to>
      <xdr:col>2</xdr:col>
      <xdr:colOff>2145753</xdr:colOff>
      <xdr:row>7</xdr:row>
      <xdr:rowOff>31229</xdr:rowOff>
    </xdr:to>
    <xdr:pic>
      <xdr:nvPicPr>
        <xdr:cNvPr id="29" name="Picture 28" descr="file_00000000a8f8720797b1ec3d8d26856c (2).pn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184754" y="1030575"/>
          <a:ext cx="1286942" cy="968113"/>
        </a:xfrm>
        <a:prstGeom prst="rect">
          <a:avLst/>
        </a:prstGeom>
      </xdr:spPr>
    </xdr:pic>
    <xdr:clientData/>
  </xdr:twoCellAnchor>
  <xdr:twoCellAnchor editAs="oneCell">
    <xdr:from>
      <xdr:col>8</xdr:col>
      <xdr:colOff>218606</xdr:colOff>
      <xdr:row>3</xdr:row>
      <xdr:rowOff>109304</xdr:rowOff>
    </xdr:from>
    <xdr:to>
      <xdr:col>9</xdr:col>
      <xdr:colOff>452828</xdr:colOff>
      <xdr:row>7</xdr:row>
      <xdr:rowOff>52753</xdr:rowOff>
    </xdr:to>
    <xdr:pic>
      <xdr:nvPicPr>
        <xdr:cNvPr id="30" name="Picture 29" descr="file_00000000a8f8720797b1ec3d8d26856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429344" y="1108648"/>
          <a:ext cx="843197" cy="911564"/>
        </a:xfrm>
        <a:prstGeom prst="rect">
          <a:avLst/>
        </a:prstGeom>
      </xdr:spPr>
    </xdr:pic>
    <xdr:clientData/>
  </xdr:twoCellAnchor>
  <xdr:twoCellAnchor editAs="oneCell">
    <xdr:from>
      <xdr:col>4</xdr:col>
      <xdr:colOff>1951844</xdr:colOff>
      <xdr:row>2</xdr:row>
      <xdr:rowOff>390369</xdr:rowOff>
    </xdr:from>
    <xdr:to>
      <xdr:col>6</xdr:col>
      <xdr:colOff>405984</xdr:colOff>
      <xdr:row>7</xdr:row>
      <xdr:rowOff>85783</xdr:rowOff>
    </xdr:to>
    <xdr:pic>
      <xdr:nvPicPr>
        <xdr:cNvPr id="32" name="Picture 31" descr="file_00000000a8f8720797b1ec3d8d26856c (1)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60205" y="983730"/>
          <a:ext cx="1030574" cy="106951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gukt" refreshedDate="46197.660793750001" createdVersion="3" refreshedVersion="3" minRefreshableVersion="3" recordCount="3000">
  <cacheSource type="worksheet">
    <worksheetSource ref="A1:N3001" sheet="Sheet1"/>
  </cacheSource>
  <cacheFields count="14">
    <cacheField name="Country" numFmtId="0">
      <sharedItems count="10">
        <s v="China"/>
        <s v="Japan"/>
        <s v="Israel"/>
        <s v="UAE"/>
        <s v="India"/>
        <s v="USA"/>
        <s v="Germany"/>
        <s v="France"/>
        <s v="UK"/>
        <s v="Russia"/>
      </sharedItems>
    </cacheField>
    <cacheField name="Year" numFmtId="0">
      <sharedItems containsSemiMixedTypes="0" containsString="0" containsNumber="1" containsInteger="1" minValue="2000" maxValue="2025" count="26">
        <n v="2008"/>
        <n v="2018"/>
        <n v="2013"/>
        <n v="2010"/>
        <n v="2006"/>
        <n v="2011"/>
        <n v="2012"/>
        <n v="2024"/>
        <n v="2014"/>
        <n v="2007"/>
        <n v="2023"/>
        <n v="2002"/>
        <n v="2020"/>
        <n v="2017"/>
        <n v="2019"/>
        <n v="2003"/>
        <n v="2015"/>
        <n v="2022"/>
        <n v="2004"/>
        <n v="2025"/>
        <n v="2009"/>
        <n v="2016"/>
        <n v="2000"/>
        <n v="2005"/>
        <n v="2001"/>
        <n v="2021"/>
      </sharedItems>
    </cacheField>
    <cacheField name="Mission Name" numFmtId="0">
      <sharedItems count="2996">
        <s v="Sharable tertiary superstructure"/>
        <s v="Re-engineered composite flexibility"/>
        <s v="Reactive disintermediate projection"/>
        <s v="Grass-roots 6thgeneration implementation"/>
        <s v="Balanced discrete orchestration"/>
        <s v="Down-sized holistic methodology"/>
        <s v="Adaptive coherent definition"/>
        <s v="Innovative 6thgeneration algorithm"/>
        <s v="Business-focused exuding contingency"/>
        <s v="Cross-group incremental function"/>
        <s v="Reactive heuristic pricing structure"/>
        <s v="Innovative client-server matrix"/>
        <s v="Up-sized bifurcated conglomeration"/>
        <s v="Public-key disintermediate matrix"/>
        <s v="Vision-oriented fresh-thinking pricing structure"/>
        <s v="Enterprise-wide heuristic knowledge user"/>
        <s v="Innovative zero tolerance workforce"/>
        <s v="Digitized intangible encryption"/>
        <s v="Organic tertiary access"/>
        <s v="Phased context-sensitive intranet"/>
        <s v="Persevering holistic open architecture"/>
        <s v="Exclusive actuating conglomeration"/>
        <s v="Cross-group bandwidth-monitored help-desk"/>
        <s v="Quality-focused discrete implementation"/>
        <s v="De-engineered mission-critical time-frame"/>
        <s v="Exclusive object-oriented adapter"/>
        <s v="Streamlined 4thgeneration middleware"/>
        <s v="Versatile 4thgeneration Local Area Network"/>
        <s v="Balanced multimedia challenge"/>
        <s v="Front-line even-keeled help-desk"/>
        <s v="Optimized zero administration project"/>
        <s v="Virtual homogeneous analyzer"/>
        <s v="Programmable global ability"/>
        <s v="Open-source logistical hierarchy"/>
        <s v="Ergonomic systematic access"/>
        <s v="Face-to-face homogeneous circuit"/>
        <s v="Advanced client-driven budgetary management"/>
        <s v="Implemented didactic middleware"/>
        <s v="Down-sized systemic leverage"/>
        <s v="Open-source bi-directional benchmark"/>
        <s v="Business-focused grid-enabled success"/>
        <s v="Programmable demand-driven knowledge user"/>
        <s v="Decentralized leadingedge standardization"/>
        <s v="Reduced local capability"/>
        <s v="Centralized multi-tasking monitoring"/>
        <s v="Distributed responsive system engine"/>
        <s v="Synergized fault-tolerant portal"/>
        <s v="Upgradable zero tolerance collaboration"/>
        <s v="Cloned mobile policy"/>
        <s v="User-friendly optimizing array"/>
        <s v="Implemented value-added complexity"/>
        <s v="Managed actuating definition"/>
        <s v="Polarized motivating project"/>
        <s v="Customizable fault-tolerant secured line"/>
        <s v="Monitored impactful architecture"/>
        <s v="Managed actuating emulation"/>
        <s v="Vision-oriented modular website"/>
        <s v="Inverse mission-critical task-force"/>
        <s v="Fundamental mission-critical knowledge user"/>
        <s v="Distributed coherent workforce"/>
        <s v="Implemented actuating info-mediaries"/>
        <s v="Proactive context-sensitive utilization"/>
        <s v="Up-sized clear-thinking alliance"/>
        <s v="Re-engineered needs-based approach"/>
        <s v="Front-line context-sensitive encryption"/>
        <s v="Optional dedicated implementation"/>
        <s v="Reduced solution-oriented migration"/>
        <s v="Synchronized user-facing Local Area Network"/>
        <s v="Down-sized empowering circuit"/>
        <s v="Front-line client-driven Internet solution"/>
        <s v="Self-enabling encompassing neural-net"/>
        <s v="Total foreground contingency"/>
        <s v="Innovative directional collaboration"/>
        <s v="Optional web-enabled secured line"/>
        <s v="Advanced encompassing contingency"/>
        <s v="Right-sized high-level help-desk"/>
        <s v="Reduced optimizing artificial intelligence"/>
        <s v="Mandatory homogeneous success"/>
        <s v="Profound actuating customer loyalty"/>
        <s v="Expanded homogeneous concept"/>
        <s v="Mandatory next generation strategy"/>
        <s v="Secured asymmetric array"/>
        <s v="Object-based reciprocal data-warehouse"/>
        <s v="Fully-configurable analyzing database"/>
        <s v="Seamless local utilization"/>
        <s v="Universal static open architecture"/>
        <s v="Reactive dynamic moderator"/>
        <s v="Cross-platform modular website"/>
        <s v="Diverse exuding matrices"/>
        <s v="Persistent homogeneous infrastructure"/>
        <s v="Focused needs-based open architecture"/>
        <s v="Fundamental intermediate standardization"/>
        <s v="Visionary next generation firmware"/>
        <s v="Versatile regional application"/>
        <s v="Synergized radical orchestration"/>
        <s v="Exclusive 24hour Local Area Network"/>
        <s v="Assimilated leadingedge adapter"/>
        <s v="Public-key systematic access"/>
        <s v="Public-key actuating capacity"/>
        <s v="Inverse contextually-based capability"/>
        <s v="Innovative intangible interface"/>
        <s v="Automated mission-critical Graphical User Interface"/>
        <s v="Implemented systematic flexibility"/>
        <s v="Balanced motivating algorithm"/>
        <s v="Multi-tiered global attitude"/>
        <s v="Open-architected leadingedge structure"/>
        <s v="Diverse context-sensitive strategy"/>
        <s v="Reduced modular focus group"/>
        <s v="Programmable transitional architecture"/>
        <s v="Re-engineered impactful application"/>
        <s v="Synergistic reciprocal methodology"/>
        <s v="Expanded multimedia initiative"/>
        <s v="Automated 3rdgeneration encoding"/>
        <s v="Stand-alone context-sensitive algorithm"/>
        <s v="Pre-emptive exuding interface"/>
        <s v="Monitored national system engine"/>
        <s v="Mandatory global structure"/>
        <s v="Devolved modular utilization"/>
        <s v="Reduced 5thgeneration paradigm"/>
        <s v="Assimilated tangible monitoring"/>
        <s v="Re-engineered bottom-line algorithm"/>
        <s v="Robust background methodology"/>
        <s v="Multi-layered static focus group"/>
        <s v="Triple-buffered foreground middleware"/>
        <s v="User-centric dedicated data-warehouse"/>
        <s v="Assimilated 4thgeneration archive"/>
        <s v="Inverse directional parallelism"/>
        <s v="Down-sized bottom-line hierarchy"/>
        <s v="Exclusive 4thgeneration Graphical User Interface"/>
        <s v="Mandatory user-facing definition"/>
        <s v="Managed exuding benchmark"/>
        <s v="Visionary bi-directional project"/>
        <s v="Centralized 5thgeneration core"/>
        <s v="Pre-emptive user-facing support"/>
        <s v="Optional motivating flexibility"/>
        <s v="Centralized tertiary migration"/>
        <s v="Synergized clear-thinking encoding"/>
        <s v="Proactive web-enabled conglomeration"/>
        <s v="Optional responsive moderator"/>
        <s v="Proactive bi-directional complexity"/>
        <s v="Configurable coherent ability"/>
        <s v="Quality-focused non-volatile alliance"/>
        <s v="Future-proofed systemic website"/>
        <s v="Advanced executive leverage"/>
        <s v="Persistent content-based emulation"/>
        <s v="Vision-oriented optimizing policy"/>
        <s v="Ergonomic homogeneous initiative"/>
        <s v="Self-enabling cohesive synergy"/>
        <s v="Seamless heuristic throughput"/>
        <s v="Quality-focused holistic model"/>
        <s v="Upgradable asymmetric customer loyalty"/>
        <s v="Profound modular Local Area Network"/>
        <s v="Future-proofed foreground middleware"/>
        <s v="Profound transitional Local Area Network"/>
        <s v="Reduced zero tolerance info-mediaries"/>
        <s v="Public-key needs-based attitude"/>
        <s v="Multi-tiered didactic access"/>
        <s v="Synergistic 4thgeneration portal"/>
        <s v="Triple-buffered neutral circuit"/>
        <s v="Networked high-level attitude"/>
        <s v="Monitored intangible infrastructure"/>
        <s v="Phased radical utilization"/>
        <s v="Vision-oriented web-enabled open architecture"/>
        <s v="Fundamental tangible website"/>
        <s v="Optional contextually-based monitoring"/>
        <s v="User-centric next generation product"/>
        <s v="Multi-lateral tertiary matrices"/>
        <s v="Object-based disintermediate benchmark"/>
        <s v="Object-based mobile circuit"/>
        <s v="Streamlined mobile matrix"/>
        <s v="Sharable discrete Local Area Network"/>
        <s v="Enterprise-wide maximized paradigm"/>
        <s v="Robust web-enabled solution"/>
        <s v="Streamlined multi-tasking capacity"/>
        <s v="Optimized zero administration benchmark"/>
        <s v="Stand-alone bottom-line monitoring"/>
        <s v="Cross-platform dynamic middleware"/>
        <s v="Business-focused needs-based knowledgebase"/>
        <s v="Fully-configurable solution-oriented productivity"/>
        <s v="Reduced 24hour hardware"/>
        <s v="User-centric asynchronous interface"/>
        <s v="Reactive executive utilization"/>
        <s v="Decentralized holistic functionalities"/>
        <s v="Integrated object-oriented throughput"/>
        <s v="Intuitive exuding process improvement"/>
        <s v="Integrated mission-critical circuit"/>
        <s v="Cross-platform local capacity"/>
        <s v="Reverse-engineered 24hour firmware"/>
        <s v="Devolved client-driven paradigm"/>
        <s v="Reduced grid-enabled forecast"/>
        <s v="Optimized homogeneous frame"/>
        <s v="Grass-roots local methodology"/>
        <s v="Re-engineered fault-tolerant challenge"/>
        <s v="Sharable client-server flexibility"/>
        <s v="Polarized regional archive"/>
        <s v="Right-sized actuating task-force"/>
        <s v="Future-proofed 4thgeneration challenge"/>
        <s v="Total multimedia architecture"/>
        <s v="Cross-group demand-driven instruction set"/>
        <s v="Implemented fault-tolerant open system"/>
        <s v="Decentralized modular model"/>
        <s v="Synchronized zero administration policy"/>
        <s v="Phased methodical moderator"/>
        <s v="Networked encompassing groupware"/>
        <s v="Cross-platform uniform benchmark"/>
        <s v="Grass-roots maximized definition"/>
        <s v="Optional reciprocal artificial intelligence"/>
        <s v="Open-architected uniform flexibility"/>
        <s v="Total hybrid policy"/>
        <s v="Seamless analyzing policy"/>
        <s v="Future-proofed heuristic database"/>
        <s v="Profit-focused incremental website"/>
        <s v="Down-sized encompassing circuit"/>
        <s v="Secured reciprocal concept"/>
        <s v="Fully-configurable tertiary array"/>
        <s v="Operative upward-trending utilization"/>
        <s v="Centralized eco-centric instruction set"/>
        <s v="Virtual interactive groupware"/>
        <s v="Centralized 24/7 matrix"/>
        <s v="Multi-tiered bottom-line productivity"/>
        <s v="Assimilated even-keeled protocol"/>
        <s v="Organized responsive secured line"/>
        <s v="Optimized stable toolset"/>
        <s v="Synergized actuating contingency"/>
        <s v="Ergonomic methodical algorithm"/>
        <s v="Up-sized 4thgeneration extranet"/>
        <s v="Secured transitional alliance"/>
        <s v="Profound background synergy"/>
        <s v="Versatile upward-trending instruction set"/>
        <s v="Upgradable global concept"/>
        <s v="Seamless next generation success"/>
        <s v="Ameliorated maximized Local Area Network"/>
        <s v="Face-to-face even-keeled archive"/>
        <s v="Expanded actuating solution"/>
        <s v="Enhanced fault-tolerant solution"/>
        <s v="Optional national throughput"/>
        <s v="User-centric discrete info-mediaries"/>
        <s v="Automated 24hour matrix"/>
        <s v="Streamlined explicit Graphical User Interface"/>
        <s v="Enterprise-wide object-oriented policy"/>
        <s v="Re-contextualized mobile database"/>
        <s v="Networked leadingedge utilization"/>
        <s v="Secured non-volatile policy"/>
        <s v="Innovative uniform complexity"/>
        <s v="Enterprise-wide 24hour data-warehouse"/>
        <s v="Managed radical info-mediaries"/>
        <s v="Optimized logistical collaboration"/>
        <s v="Vision-oriented scalable flexibility"/>
        <s v="Cross-platform neutral implementation"/>
        <s v="Down-sized bottom-line parallelism"/>
        <s v="Integrated content-based flexibility"/>
        <s v="Progressive web-enabled hierarchy"/>
        <s v="Fundamental intermediate algorithm"/>
        <s v="Advanced explicit archive"/>
        <s v="Versatile empowering initiative"/>
        <s v="Cross-group directional neural-net"/>
        <s v="De-engineered cohesive process improvement"/>
        <s v="Balanced optimizing leverage"/>
        <s v="Triple-buffered explicit collaboration"/>
        <s v="Adaptive 24hour utilization"/>
        <s v="Diverse human-resource extranet"/>
        <s v="Reduced dedicated matrices"/>
        <s v="Sharable 24/7 superstructure"/>
        <s v="Optimized actuating hierarchy"/>
        <s v="Team-oriented scalable task-force"/>
        <s v="Inverse mission-critical open system"/>
        <s v="User-centric 6thgeneration challenge"/>
        <s v="Implemented maximized capability"/>
        <s v="Persevering zero administration support"/>
        <s v="Business-focused transitional task-force"/>
        <s v="Future-proofed hybrid extranet"/>
        <s v="Expanded explicit superstructure"/>
        <s v="Universal multimedia intranet"/>
        <s v="Ameliorated client-driven software"/>
        <s v="Switchable high-level benchmark"/>
        <s v="Fully-configurable disintermediate adapter"/>
        <s v="Re-engineered demand-driven protocol"/>
        <s v="Reactive 3rdgeneration Local Area Network"/>
        <s v="Integrated multi-tasking definition"/>
        <s v="Multi-lateral composite budgetary management"/>
        <s v="Up-sized system-worthy encryption"/>
        <s v="Ameliorated heuristic projection"/>
        <s v="Synergized multi-tasking hardware"/>
        <s v="Ergonomic upward-trending approach"/>
        <s v="De-engineered attitude-oriented frame"/>
        <s v="Profound neutral system engine"/>
        <s v="Total heuristic hardware"/>
        <s v="Vision-oriented user-facing software"/>
        <s v="Enterprise-wide zero administration data-warehouse"/>
        <s v="Exclusive homogeneous ability"/>
        <s v="Down-sized background ability"/>
        <s v="Compatible fresh-thinking data-warehouse"/>
        <s v="Re-engineered impactful implementation"/>
        <s v="Ameliorated dynamic support"/>
        <s v="Implemented object-oriented policy"/>
        <s v="Face-to-face needs-based migration"/>
        <s v="Virtual incremental approach"/>
        <s v="Open-source contextually-based core"/>
        <s v="Compatible actuating circuit"/>
        <s v="Progressive well-modulated Graphical User Interface"/>
        <s v="Virtual executive core"/>
        <s v="Realigned zero tolerance core"/>
        <s v="Polarized static customer loyalty"/>
        <s v="Persistent impactful software"/>
        <s v="Public-key full-range data-warehouse"/>
        <s v="Fundamental full-range structure"/>
        <s v="Persistent heuristic process improvement"/>
        <s v="Ameliorated object-oriented framework"/>
        <s v="Quality-focused incremental moderator"/>
        <s v="Progressive even-keeled matrices"/>
        <s v="Cross-group bandwidth-monitored core"/>
        <s v="Profit-focused secondary frame"/>
        <s v="Organic actuating attitude"/>
        <s v="Adaptive local structure"/>
        <s v="Synergized hybrid hardware"/>
        <s v="Integrated grid-enabled project"/>
        <s v="Extended global collaboration"/>
        <s v="Synchronized clear-thinking functionalities"/>
        <s v="Cross-platform clear-thinking circuit"/>
        <s v="De-engineered value-added extranet"/>
        <s v="Multi-channeled methodical paradigm"/>
        <s v="Open-source radical encryption"/>
        <s v="Re-contextualized uniform implementation"/>
        <s v="Secured hybrid forecast"/>
        <s v="Grass-roots bi-directional utilization"/>
        <s v="Exclusive static orchestration"/>
        <s v="Focused 4thgeneration access"/>
        <s v="Seamless impactful model"/>
        <s v="Decentralized uniform implementation"/>
        <s v="Front-line intangible monitoring"/>
        <s v="Customizable grid-enabled function"/>
        <s v="Ameliorated global concept"/>
        <s v="Visionary client-driven core"/>
        <s v="Vision-oriented systemic challenge"/>
        <s v="Fully-configurable executive matrices"/>
        <s v="Pre-emptive 5thgeneration benchmark"/>
        <s v="Enterprise-wide cohesive hierarchy"/>
        <s v="Persevering full-range open architecture"/>
        <s v="Automated dynamic frame"/>
        <s v="Streamlined human-resource infrastructure"/>
        <s v="Self-enabling stable open architecture"/>
        <s v="Compatible 4thgeneration benchmark"/>
        <s v="Implemented leadingedge capability"/>
        <s v="Distributed explicit open architecture"/>
        <s v="Reverse-engineered homogeneous attitude"/>
        <s v="Persevering empowering methodology"/>
        <s v="Programmable 4thgeneration portal"/>
        <s v="Cloned bandwidth-monitored firmware"/>
        <s v="Customizable global customer loyalty"/>
        <s v="Triple-buffered leadingedge complexity"/>
        <s v="Focused value-added definition"/>
        <s v="Operative uniform archive"/>
        <s v="Public-key 3rdgeneration database"/>
        <s v="Customizable dynamic open system"/>
        <s v="Assimilated human-resource groupware"/>
        <s v="Function-based well-modulated time-frame"/>
        <s v="Organic reciprocal middleware"/>
        <s v="Face-to-face methodical Internet solution"/>
        <s v="Down-sized high-level analyzer"/>
        <s v="Organized executive capability"/>
        <s v="Cross-platform 5thgeneration productivity"/>
        <s v="Self-enabling 6thgeneration data-warehouse"/>
        <s v="De-engineered non-volatile algorithm"/>
        <s v="Centralized reciprocal complexity"/>
        <s v="Multi-lateral 5thgeneration system engine"/>
        <s v="Mandatory motivating Local Area Network"/>
        <s v="Upgradable human-resource system engine"/>
        <s v="Switchable exuding throughput"/>
        <s v="Adaptive heuristic alliance"/>
        <s v="De-engineered mission-critical capability"/>
        <s v="User-friendly solution-oriented strategy"/>
        <s v="Secured neutral conglomeration"/>
        <s v="Adaptive mobile emulation"/>
        <s v="Upgradable interactive open system"/>
        <s v="Profound content-based help-desk"/>
        <s v="Progressive radical encryption"/>
        <s v="Extended tertiary instruction set"/>
        <s v="Synchronized dedicated array"/>
        <s v="Optimized zero tolerance circuit"/>
        <s v="Re-contextualized needs-based support"/>
        <s v="Virtual secondary database"/>
        <s v="Customizable regional infrastructure"/>
        <s v="Polarized leadingedge archive"/>
        <s v="Implemented even-keeled archive"/>
        <s v="Stand-alone incremental hardware"/>
        <s v="Automated regional product"/>
        <s v="Customer-focused heuristic Local Area Network"/>
        <s v="Ameliorated mission-critical open architecture"/>
        <s v="Optimized zero-defect matrix"/>
        <s v="Sharable 6thgeneration complexity"/>
        <s v="Exclusive fresh-thinking moratorium"/>
        <s v="Public-key foreground software"/>
        <s v="Multi-layered optimizing workforce"/>
        <s v="Programmable leadingedge emulation"/>
        <s v="Intuitive user-facing moratorium"/>
        <s v="Streamlined bottom-line policy"/>
        <s v="Monitored holistic Graphic Interface"/>
        <s v="Down-sized hybrid frame"/>
        <s v="Reduced user-facing instruction set"/>
        <s v="Visionary zero-defect contingency"/>
        <s v="Devolved secondary access"/>
        <s v="Optimized impactful circuit"/>
        <s v="Public-key even-keeled algorithm"/>
        <s v="Up-sized coherent info-mediaries"/>
        <s v="Business-focused zero tolerance function"/>
        <s v="Vision-oriented executive focus group"/>
        <s v="Reduced even-keeled Internet solution"/>
        <s v="Open-architected multimedia utilization"/>
        <s v="Digitized system-worthy hierarchy"/>
        <s v="Upgradable tangible secured line"/>
        <s v="Seamless foreground toolset"/>
        <s v="Programmable exuding standardization"/>
        <s v="Organized solution-oriented project"/>
        <s v="Fundamental dedicated workforce"/>
        <s v="Innovative global frame"/>
        <s v="Versatile local utilization"/>
        <s v="Profit-focused impactful open architecture"/>
        <s v="Future-proofed analyzing challenge"/>
        <s v="Cloned analyzing utilization"/>
        <s v="Seamless tangible projection"/>
        <s v="Adaptive system-worthy leverage"/>
        <s v="Inverse 24hour emulation"/>
        <s v="Persevering foreground moratorium"/>
        <s v="Optional 5thgeneration strategy"/>
        <s v="Face-to-face coherent customer loyalty"/>
        <s v="Function-based human-resource hierarchy"/>
        <s v="Triple-buffered full-range collaboration"/>
        <s v="Devolved 3rdgeneration data-warehouse"/>
        <s v="Front-line system-worthy process improvement"/>
        <s v="Customer-focused cohesive circuit"/>
        <s v="Exclusive multi-tasking contingency"/>
        <s v="Progressive even-keeled forecast"/>
        <s v="Open-source content-based Graphical User Interface"/>
        <s v="Compatible local matrices"/>
        <s v="Devolved leadingedge framework"/>
        <s v="Persevering maximized core"/>
        <s v="Customer-focused leadingedge emulation"/>
        <s v="Total radical groupware"/>
        <s v="Enhanced cohesive framework"/>
        <s v="Automated bandwidth-monitored Graphic Interface"/>
        <s v="Future-proofed bi-directional open architecture"/>
        <s v="Integrated solution-oriented solution"/>
        <s v="Assimilated local customer loyalty"/>
        <s v="User-centric leadingedge productivity"/>
        <s v="Advanced incremental system engine"/>
        <s v="Face-to-face intangible utilization"/>
        <s v="Seamless stable orchestration"/>
        <s v="Configurable logistical hierarchy"/>
        <s v="Persistent bottom-line ability"/>
        <s v="Diverse incremental task-force"/>
        <s v="Cross-platform web-enabled application"/>
        <s v="Phased transitional framework"/>
        <s v="Advanced multi-tasking access"/>
        <s v="Exclusive tertiary application"/>
        <s v="Synergistic national matrix"/>
        <s v="Innovative scalable focus group"/>
        <s v="Virtual methodical Graphical User Interface"/>
        <s v="Multi-lateral zero-defect time-frame"/>
        <s v="Horizontal next generation access"/>
        <s v="Public-key composite challenge"/>
        <s v="Mandatory demand-driven moderator"/>
        <s v="Quality-focused multi-state database"/>
        <s v="Vision-oriented context-sensitive capability"/>
        <s v="Profit-focused actuating time-frame"/>
        <s v="Monitored even-keeled solution"/>
        <s v="Distributed tangible moratorium"/>
        <s v="Compatible hybrid encryption"/>
        <s v="Multi-channeled systemic process improvement"/>
        <s v="Expanded disintermediate framework"/>
        <s v="Optimized grid-enabled hardware"/>
        <s v="Cross-platform composite toolset"/>
        <s v="Digitized client-driven analyzer"/>
        <s v="Realigned 4thgeneration synergy"/>
        <s v="Operative web-enabled toolset"/>
        <s v="Integrated dedicated alliance"/>
        <s v="Vision-oriented even-keeled groupware"/>
        <s v="Cloned fault-tolerant secured line"/>
        <s v="Seamless client-driven Graphical User Interface"/>
        <s v="Robust zero tolerance flexibility"/>
        <s v="Quality-focused homogeneous utilization"/>
        <s v="Diverse dynamic hierarchy"/>
        <s v="Balanced system-worthy knowledgebase"/>
        <s v="Cross-group leadingedge knowledgebase"/>
        <s v="Vision-oriented high-level Internet solution"/>
        <s v="Team-oriented eco-centric policy"/>
        <s v="Re-contextualized optimizing knowledge user"/>
        <s v="Proactive optimizing alliance"/>
        <s v="Proactive background matrices"/>
        <s v="Fundamental intangible concept"/>
        <s v="Persistent zero administration infrastructure"/>
        <s v="Robust heuristic leverage"/>
        <s v="Horizontal system-worthy toolset"/>
        <s v="Enhanced bi-directional installation"/>
        <s v="Grass-roots motivating paradigm"/>
        <s v="Right-sized transitional knowledgebase"/>
        <s v="Reverse-engineered multi-tasking moderator"/>
        <s v="Customizable secondary benchmark"/>
        <s v="Switchable static matrix"/>
        <s v="Up-sized zero administration open architecture"/>
        <s v="Multi-layered transitional benchmark"/>
        <s v="Streamlined eco-centric infrastructure"/>
        <s v="Business-focused optimal protocol"/>
        <s v="Total 4thgeneration Internet solution"/>
        <s v="Business-focused executive forecast"/>
        <s v="Mandatory well-modulated array"/>
        <s v="Streamlined regional monitoring"/>
        <s v="Ameliorated intermediate attitude"/>
        <s v="Devolved full-range budgetary management"/>
        <s v="Mandatory secondary instruction set"/>
        <s v="Focused methodical focus group"/>
        <s v="Reverse-engineered mission-critical structure"/>
        <s v="Cross-platform 3rdgeneration website"/>
        <s v="Future-proofed fault-tolerant benchmark"/>
        <s v="Inverse high-level approach"/>
        <s v="Seamless mission-critical secured line"/>
        <s v="Down-sized scalable open system"/>
        <s v="Advanced multimedia definition"/>
        <s v="Team-oriented national benchmark"/>
        <s v="Synergized global analyzer"/>
        <s v="Future-proofed object-oriented core"/>
        <s v="Multi-lateral contextually-based challenge"/>
        <s v="Assimilated non-volatile task-force"/>
        <s v="User-friendly user-facing projection"/>
        <s v="Automated interactive protocol"/>
        <s v="Switchable methodical open architecture"/>
        <s v="Networked fault-tolerant success"/>
        <s v="Universal exuding contingency"/>
        <s v="Networked context-sensitive monitoring"/>
        <s v="Object-based hybrid forecast"/>
        <s v="Devolved encompassing emulation"/>
        <s v="Automated demand-driven pricing structure"/>
        <s v="Vision-oriented cohesive success"/>
        <s v="Persevering system-worthy functionalities"/>
        <s v="Balanced radical ability"/>
        <s v="Advanced non-volatile capacity"/>
        <s v="Public-key dynamic capability"/>
        <s v="Open-source national implementation"/>
        <s v="Extended high-level support"/>
        <s v="User-friendly modular hardware"/>
        <s v="Object-based 6thgeneration utilization"/>
        <s v="Multi-tiered system-worthy matrices"/>
        <s v="Assimilated 6thgeneration middleware"/>
        <s v="Advanced intermediate application"/>
        <s v="Quality-focused user-facing benchmark"/>
        <s v="Automated discrete capacity"/>
        <s v="Total asymmetric Local Area Network"/>
        <s v="Front-line 24hour benchmark"/>
        <s v="Robust context-sensitive utilization"/>
        <s v="Synchronized multi-tasking pricing structure"/>
        <s v="Re-engineered impactful support"/>
        <s v="Multi-tiered eco-centric info-mediaries"/>
        <s v="Reverse-engineered non-volatile knowledgebase"/>
        <s v="Pre-emptive client-server encoding"/>
        <s v="Synergistic uniform collaboration"/>
        <s v="Operative explicit toolset"/>
        <s v="Exclusive discrete circuit"/>
        <s v="Multi-channeled intermediate flexibility"/>
        <s v="Distributed dynamic solution"/>
        <s v="Expanded well-modulated intranet"/>
        <s v="Automated motivating function"/>
        <s v="Self-enabling reciprocal attitude"/>
        <s v="Exclusive dynamic pricing structure"/>
        <s v="Proactive encompassing projection"/>
        <s v="Front-line well-modulated synergy"/>
        <s v="Intuitive radical monitoring"/>
        <s v="Assimilated multimedia toolset"/>
        <s v="De-engineered empowering array"/>
        <s v="Multi-channeled empowering emulation"/>
        <s v="Self-enabling coherent moratorium"/>
        <s v="Versatile cohesive attitude"/>
        <s v="Diverse well-modulated capability"/>
        <s v="Configurable secondary ability"/>
        <s v="Polarized impactful challenge"/>
        <s v="Streamlined encompassing capability"/>
        <s v="Fully-configurable multimedia benchmark"/>
        <s v="Pre-emptive clear-thinking analyzer"/>
        <s v="Re-engineered intermediate algorithm"/>
        <s v="Managed methodical flexibility"/>
        <s v="Cross-platform tertiary data-warehouse"/>
        <s v="Open-source 5thgeneration approach"/>
        <s v="Business-focused context-sensitive initiative"/>
        <s v="Reverse-engineered bandwidth-monitored info-mediaries"/>
        <s v="User-friendly next generation success"/>
        <s v="Multi-lateral responsive open architecture"/>
        <s v="Optional multimedia parallelism"/>
        <s v="Multi-tiered didactic knowledge user"/>
        <s v="Team-oriented solution-oriented methodology"/>
        <s v="User-centric encompassing focus group"/>
        <s v="Focused intermediate leverage"/>
        <s v="Realigned upward-trending superstructure"/>
        <s v="Object-based systematic workforce"/>
        <s v="Sharable foreground data-warehouse"/>
        <s v="Distributed regional policy"/>
        <s v="Vision-oriented clear-thinking throughput"/>
        <s v="Organic reciprocal leverage"/>
        <s v="Enterprise-wide human-resource budgetary management"/>
        <s v="User-centric explicit utilization"/>
        <s v="Customizable zero-defect core"/>
        <s v="Monitored full-range toolset"/>
        <s v="Versatile bandwidth-monitored flexibility"/>
        <s v="Secured real-time middleware"/>
        <s v="Team-oriented full-range migration"/>
        <s v="Devolved well-modulated access"/>
        <s v="Future-proofed coherent definition"/>
        <s v="Fully-configurable fresh-thinking complexity"/>
        <s v="Enterprise-wide responsive policy"/>
        <s v="Proactive didactic Internet solution"/>
        <s v="Re-contextualized 24/7 analyzer"/>
        <s v="Intuitive neutral Graphical User Interface"/>
        <s v="Universal background knowledgebase"/>
        <s v="Multi-tiered responsive matrices"/>
        <s v="Upgradable transitional installation"/>
        <s v="Integrated incremental ability"/>
        <s v="Total system-worthy leverage"/>
        <s v="Enhanced dynamic installation"/>
        <s v="Open-architected dynamic hardware"/>
        <s v="Centralized value-added support"/>
        <s v="Diverse grid-enabled secured line"/>
        <s v="Triple-buffered asymmetric adapter"/>
        <s v="Ergonomic clear-thinking productivity"/>
        <s v="Extended upward-trending leverage"/>
        <s v="Implemented secondary data-warehouse"/>
        <s v="Open-source 4thgeneration intranet"/>
        <s v="Reverse-engineered scalable capacity"/>
        <s v="Ergonomic heuristic project"/>
        <s v="Switchable even-keeled conglomeration"/>
        <s v="Streamlined scalable parallelism"/>
        <s v="User-friendly transitional array"/>
        <s v="Innovative systematic workforce"/>
        <s v="Pre-emptive composite task-force"/>
        <s v="Networked coherent secured line"/>
        <s v="Assimilated foreground firmware"/>
        <s v="Optimized even-keeled software"/>
        <s v="Proactive well-modulated ability"/>
        <s v="Configurable solution-oriented policy"/>
        <s v="Up-sized well-modulated superstructure"/>
        <s v="Down-sized static infrastructure"/>
        <s v="Cross-platform global contingency"/>
        <s v="Digitized multi-state neural-net"/>
        <s v="Phased optimizing matrix"/>
        <s v="Open-architected incremental pricing structure"/>
        <s v="Proactive upward-trending definition"/>
        <s v="Centralized holistic open architecture"/>
        <s v="Down-sized explicit focus group"/>
        <s v="Fully-configurable client-server structure"/>
        <s v="Public-key heuristic extranet"/>
        <s v="Profit-focused bottom-line artificial intelligence"/>
        <s v="Decentralized client-server installation"/>
        <s v="Team-oriented interactive benchmark"/>
        <s v="Future-proofed logistical migration"/>
        <s v="User-friendly foreground conglomeration"/>
        <s v="Ameliorated object-oriented approach"/>
        <s v="Inverse modular structure"/>
        <s v="Visionary foreground secured line"/>
        <s v="Operative 24hour attitude"/>
        <s v="Assimilated reciprocal help-desk"/>
        <s v="Centralized mobile standardization"/>
        <s v="Cross-platform bifurcated service-desk"/>
        <s v="Virtual cohesive moderator"/>
        <s v="Programmable systemic moderator"/>
        <s v="Future-proofed user-facing interface"/>
        <s v="Profound optimizing paradigm"/>
        <s v="Triple-buffered secondary archive"/>
        <s v="Diverse 24hour paradigm"/>
        <s v="Ameliorated bi-directional pricing structure"/>
        <s v="Expanded 6thgeneration project"/>
        <s v="Diverse optimal solution"/>
        <s v="User-friendly next generation infrastructure"/>
        <s v="Cloned object-oriented pricing structure"/>
        <s v="Upgradable user-facing task-force"/>
        <s v="Multi-channeled upward-trending neural-net"/>
        <s v="Grass-roots 4thgeneration artificial intelligence"/>
        <s v="Progressive coherent implementation"/>
        <s v="Reactive contextually-based policy"/>
        <s v="Universal empowering service-desk"/>
        <s v="Persistent multi-tasking matrices"/>
        <s v="Extended 5thgeneration algorithm"/>
        <s v="Balanced asymmetric hub"/>
        <s v="Persevering transitional architecture"/>
        <s v="Right-sized tangible groupware"/>
        <s v="Horizontal demand-driven implementation"/>
        <s v="Quality-focused local capacity"/>
        <s v="Progressive 3rdgeneration leverage"/>
        <s v="Team-oriented system-worthy encoding"/>
        <s v="Innovative reciprocal neural-net"/>
        <s v="Self-enabling global budgetary management"/>
        <s v="Re-engineered dynamic migration"/>
        <s v="Implemented content-based info-mediaries"/>
        <s v="Realigned asymmetric methodology"/>
        <s v="User-friendly multi-tasking application"/>
        <s v="Advanced exuding product"/>
        <s v="Business-focused systemic productivity"/>
        <s v="Automated fault-tolerant core"/>
        <s v="Multi-layered directional circuit"/>
        <s v="Ergonomic reciprocal algorithm"/>
        <s v="Versatile zero administration circuit"/>
        <s v="Ameliorated human-resource data-warehouse"/>
        <s v="Quality-focused optimal algorithm"/>
        <s v="Fundamental disintermediate website"/>
        <s v="Managed content-based flexibility"/>
        <s v="Virtual multimedia open architecture"/>
        <s v="Intuitive homogeneous project"/>
        <s v="Object-based incremental database"/>
        <s v="Multi-channeled even-keeled interface"/>
        <s v="Reduced demand-driven challenge"/>
        <s v="Visionary exuding frame"/>
        <s v="Organized responsive moratorium"/>
        <s v="Compatible client-driven customer loyalty"/>
        <s v="Devolved multimedia framework"/>
        <s v="Streamlined empowering strategy"/>
        <s v="Decentralized needs-based application"/>
        <s v="Expanded actuating moratorium"/>
        <s v="Exclusive asynchronous archive"/>
        <s v="Polarized user-facing complexity"/>
        <s v="Upgradable scalable leverage"/>
        <s v="Innovative encompassing data-warehouse"/>
        <s v="Grass-roots upward-trending policy"/>
        <s v="Realigned fresh-thinking instruction set"/>
        <s v="Total tertiary middleware"/>
        <s v="Persistent well-modulated hub"/>
        <s v="Configurable homogeneous product"/>
        <s v="Switchable tangible access"/>
        <s v="Right-sized methodical policy"/>
        <s v="Networked fresh-thinking frame"/>
        <s v="Enterprise-wide user-facing throughput"/>
        <s v="Universal even-keeled groupware"/>
        <s v="Programmable reciprocal system engine"/>
        <s v="Business-focused bifurcated encryption"/>
        <s v="Operative encompassing application"/>
        <s v="Public-key 24/7 algorithm"/>
        <s v="Cross-group solution-oriented service-desk"/>
        <s v="Fundamental content-based frame"/>
        <s v="Integrated encompassing installation"/>
        <s v="Grass-roots multimedia knowledgebase"/>
        <s v="User-centric hybrid utilization"/>
        <s v="Distributed explicit encryption"/>
        <s v="Triple-buffered stable contingency"/>
        <s v="Self-enabling homogeneous matrix"/>
        <s v="Operative composite challenge"/>
        <s v="Diverse 5thgeneration adapter"/>
        <s v="Cross-group local software"/>
        <s v="Customer-focused multi-state installation"/>
        <s v="Reduced content-based standardization"/>
        <s v="Team-oriented transitional installation"/>
        <s v="Cross-platform tertiary definition"/>
        <s v="Secured maximized product"/>
        <s v="Reactive object-oriented approach"/>
        <s v="Open-architected bottom-line concept"/>
        <s v="Organic incremental synergy"/>
        <s v="Proactive regional secured line"/>
        <s v="Mandatory needs-based leverage"/>
        <s v="Upgradable optimal info-mediaries"/>
        <s v="Customizable systemic secured line"/>
        <s v="Distributed well-modulated encryption"/>
        <s v="Streamlined context-sensitive migration"/>
        <s v="Profit-focused directional framework"/>
        <s v="Function-based 6thgeneration productivity"/>
        <s v="Synchronized optimal website"/>
        <s v="Stand-alone 24hour intranet"/>
        <s v="Re-contextualized impactful circuit"/>
        <s v="Business-focused fault-tolerant model"/>
        <s v="Down-sized bottom-line policy"/>
        <s v="Exclusive composite website"/>
        <s v="Streamlined multimedia concept"/>
        <s v="Phased intangible initiative"/>
        <s v="Innovative next generation standardization"/>
        <s v="Assimilated interactive synergy"/>
        <s v="Quality-focused clear-thinking secured line"/>
        <s v="Programmable real-time alliance"/>
        <s v="Self-enabling global firmware"/>
        <s v="De-engineered incremental moratorium"/>
        <s v="Open-architected web-enabled throughput"/>
        <s v="Managed tangible attitude"/>
        <s v="Up-sized uniform hardware"/>
        <s v="Innovative demand-driven parallelism"/>
        <s v="Optional coherent conglomeration"/>
        <s v="Stand-alone analyzing ability"/>
        <s v="Streamlined transitional firmware"/>
        <s v="Future-proofed client-server process improvement"/>
        <s v="Optional cohesive project"/>
        <s v="Implemented human-resource focus group"/>
        <s v="Visionary interactive hardware"/>
        <s v="Future-proofed attitude-oriented customer loyalty"/>
        <s v="Organic clear-thinking service-desk"/>
        <s v="Ameliorated dedicated collaboration"/>
        <s v="Customizable demand-driven conglomeration"/>
        <s v="Profound asymmetric encryption"/>
        <s v="Triple-buffered foreground workforce"/>
        <s v="Assimilated zero-defect protocol"/>
        <s v="Proactive value-added utilization"/>
        <s v="Expanded directional task-force"/>
        <s v="Re-contextualized heuristic ability"/>
        <s v="Advanced optimal installation"/>
        <s v="User-friendly multi-tasking concept"/>
        <s v="Quality-focused fault-tolerant superstructure"/>
        <s v="Centralized hybrid alliance"/>
        <s v="Reduced asynchronous hub"/>
        <s v="Synergized exuding hierarchy"/>
        <s v="User-centric secondary utilization"/>
        <s v="Stand-alone human-resource policy"/>
        <s v="Diverse cohesive toolset"/>
        <s v="Integrated local contingency"/>
        <s v="Self-enabling mobile interface"/>
        <s v="Programmable full-range attitude"/>
        <s v="Configurable stable encryption"/>
        <s v="Automated heuristic flexibility"/>
        <s v="Operative optimal budgetary management"/>
        <s v="Proactive systemic support"/>
        <s v="Digitized full-range knowledgebase"/>
        <s v="Organic encompassing complexity"/>
        <s v="Automated needs-based open architecture"/>
        <s v="Total discrete website"/>
        <s v="Networked next generation matrix"/>
        <s v="Synergized stable utilization"/>
        <s v="Grass-roots bottom-line attitude"/>
        <s v="Streamlined zero tolerance moratorium"/>
        <s v="Customer-focused leadingedge flexibility"/>
        <s v="Switchable system-worthy neural-net"/>
        <s v="Realigned mission-critical neural-net"/>
        <s v="Reverse-engineered non-volatile installation"/>
        <s v="Realigned coherent architecture"/>
        <s v="Programmable zero tolerance hub"/>
        <s v="Ergonomic web-enabled infrastructure"/>
        <s v="Extended web-enabled challenge"/>
        <s v="Progressive needs-based Internet solution"/>
        <s v="Organic 6thgeneration Internet solution"/>
        <s v="Multi-lateral uniform core"/>
        <s v="Automated non-volatile Local Area Network"/>
        <s v="Assimilated regional process improvement"/>
        <s v="Diverse attitude-oriented projection"/>
        <s v="Operative static hierarchy"/>
        <s v="Fundamental encompassing database"/>
        <s v="Profound mission-critical implementation"/>
        <s v="Devolved zero administration artificial intelligence"/>
        <s v="De-engineered uniform solution"/>
        <s v="Persistent intermediate success"/>
        <s v="Reduced analyzing productivity"/>
        <s v="User-friendly asynchronous extranet"/>
        <s v="Distributed well-modulated benchmark"/>
        <s v="Decentralized disintermediate artificial intelligence"/>
        <s v="Up-sized zero tolerance info-mediaries"/>
        <s v="Profound zero tolerance toolset"/>
        <s v="Reactive homogeneous algorithm"/>
        <s v="Reduced asymmetric array"/>
        <s v="Multi-tiered empowering hub"/>
        <s v="Re-engineered homogeneous focus group"/>
        <s v="Customer-focused 24/7 standardization"/>
        <s v="Extended bi-directional matrix"/>
        <s v="Versatile tertiary paradigm"/>
        <s v="Horizontal clear-thinking access"/>
        <s v="Synergized homogeneous throughput"/>
        <s v="Front-line empowering Internet solution"/>
        <s v="Operative local flexibility"/>
        <s v="Right-sized eco-centric service-desk"/>
        <s v="User-friendly explicit neural-net"/>
        <s v="Future-proofed global synergy"/>
        <s v="Devolved actuating protocol"/>
        <s v="Front-line transitional policy"/>
        <s v="Profound 24hour Internet solution"/>
        <s v="Fundamental stable Internet solution"/>
        <s v="Enterprise-wide asynchronous archive"/>
        <s v="Profit-focused stable database"/>
        <s v="Vision-oriented optimizing data-warehouse"/>
        <s v="Persevering 3rdgeneration leverage"/>
        <s v="Proactive 3rdgeneration flexibility"/>
        <s v="Cross-platform upward-trending ability"/>
        <s v="Re-contextualized multimedia functionalities"/>
        <s v="Re-engineered actuating groupware"/>
        <s v="Multi-lateral zero administration paradigm"/>
        <s v="Networked motivating attitude"/>
        <s v="Polarized systemic structure"/>
        <s v="Multi-channeled asymmetric utilization"/>
        <s v="Profound zero-defect collaboration"/>
        <s v="Diverse non-volatile instruction set"/>
        <s v="Inverse hybrid portal"/>
        <s v="Fully-configurable empowering knowledgebase"/>
        <s v="Cross-group logistical groupware"/>
        <s v="Front-line fresh-thinking customer loyalty"/>
        <s v="Upgradable modular help-desk"/>
        <s v="Switchable impactful Graphical User Interface"/>
        <s v="Cloned holistic help-desk"/>
        <s v="Function-based bottom-line monitoring"/>
        <s v="Innovative tangible policy"/>
        <s v="Ameliorated well-modulated algorithm"/>
        <s v="De-engineered leadingedge Graphic Interface"/>
        <s v="Robust global circuit"/>
        <s v="Down-sized zero tolerance productivity"/>
        <s v="Integrated scalable policy"/>
        <s v="Assimilated asymmetric approach"/>
        <s v="Versatile zero administration encryption"/>
        <s v="Balanced client-server core"/>
        <s v="Object-based incremental workforce"/>
        <s v="Profit-focused scalable knowledge user"/>
        <s v="Open-architected didactic website"/>
        <s v="Switchable empowering budgetary management"/>
        <s v="Total content-based superstructure"/>
        <s v="Implemented web-enabled paradigm"/>
        <s v="Multi-lateral exuding migration"/>
        <s v="Quality-focused value-added matrix"/>
        <s v="Advanced optimal intranet"/>
        <s v="Universal mission-critical firmware"/>
        <s v="Organic human-resource challenge"/>
        <s v="Monitored zero administration functionalities"/>
        <s v="Organized systematic pricing structure"/>
        <s v="Up-sized logistical matrix"/>
        <s v="Programmable zero administration approach"/>
        <s v="Ameliorated analyzing capacity"/>
        <s v="Exclusive regional service-desk"/>
        <s v="Grass-roots impactful structure"/>
        <s v="Quality-focused demand-driven array"/>
        <s v="Fully-configurable intermediate orchestration"/>
        <s v="Multi-channeled zero tolerance success"/>
        <s v="Inverse intermediate methodology"/>
        <s v="Distributed regional database"/>
        <s v="Cloned multi-state middleware"/>
        <s v="Re-contextualized 24/7 customer loyalty"/>
        <s v="Upgradable demand-driven model"/>
        <s v="Quality-focused intangible protocol"/>
        <s v="Expanded holistic firmware"/>
        <s v="Versatile empowering protocol"/>
        <s v="Programmable interactive array"/>
        <s v="Profound logistical ability"/>
        <s v="Horizontal radical circuit"/>
        <s v="Switchable zero administration secured line"/>
        <s v="Mandatory full-range initiative"/>
        <s v="Enhanced zero-defect help-desk"/>
        <s v="Re-contextualized bi-directional ability"/>
        <s v="Profound value-added protocol"/>
        <s v="User-centric 6thgeneration leverage"/>
        <s v="Profit-focused zero administration instruction set"/>
        <s v="Persistent non-volatile definition"/>
        <s v="Intuitive radical methodology"/>
        <s v="Team-oriented value-added hierarchy"/>
        <s v="Configurable fresh-thinking archive"/>
        <s v="Public-key reciprocal moderator"/>
        <s v="Decentralized bifurcated hardware"/>
        <s v="Self-enabling bandwidth-monitored attitude"/>
        <s v="Cross-group reciprocal model"/>
        <s v="Open-source national workforce"/>
        <s v="Digitized grid-enabled groupware"/>
        <s v="Multi-layered zero administration orchestration"/>
        <s v="Vision-oriented analyzing secured line"/>
        <s v="Advanced dynamic function"/>
        <s v="Function-based composite synergy"/>
        <s v="Fully-configurable value-added utilization"/>
        <s v="Streamlined next generation benchmark"/>
        <s v="Devolved non-volatile superstructure"/>
        <s v="Down-sized explicit knowledgebase"/>
        <s v="Down-sized transitional adapter"/>
        <s v="Optimized next generation encryption"/>
        <s v="Diverse executive benchmark"/>
        <s v="Innovative impactful secured line"/>
        <s v="Function-based methodical policy"/>
        <s v="Multi-layered actuating policy"/>
        <s v="Front-line disintermediate framework"/>
        <s v="Cloned analyzing portal"/>
        <s v="Streamlined static pricing structure"/>
        <s v="Realigned tangible alliance"/>
        <s v="Secured interactive superstructure"/>
        <s v="Advanced secondary core"/>
        <s v="Optional zero administration database"/>
        <s v="Persistent upward-trending info-mediaries"/>
        <s v="Diverse 4thgeneration knowledge user"/>
        <s v="Balanced empowering info-mediaries"/>
        <s v="Organized modular definition"/>
        <s v="Balanced context-sensitive conglomeration"/>
        <s v="Organic secondary system engine"/>
        <s v="Persistent discrete website"/>
        <s v="Cross-platform 4thgeneration paradigm"/>
        <s v="Devolved bifurcated secured line"/>
        <s v="Fundamental multi-tasking product"/>
        <s v="De-engineered optimal hardware"/>
        <s v="Versatile contextually-based productivity"/>
        <s v="Ameliorated optimal hierarchy"/>
        <s v="Polarized bottom-line capability"/>
        <s v="Profit-focused neutral database"/>
        <s v="Decentralized 6thgeneration alliance"/>
        <s v="Expanded actuating standardization"/>
        <s v="Universal bifurcated conglomeration"/>
        <s v="Stand-alone system-worthy installation"/>
        <s v="Configurable systemic firmware"/>
        <s v="Persistent 24/7 Graphical User Interface"/>
        <s v="Grass-roots scalable access"/>
        <s v="Synchronized intermediate firmware"/>
        <s v="Managed attitude-oriented extranet"/>
        <s v="Customer-focused asynchronous info-mediaries"/>
        <s v="Programmable analyzing toolset"/>
        <s v="Front-line fresh-thinking task-force"/>
        <s v="Triple-buffered attitude-oriented superstructure"/>
        <s v="Horizontal reciprocal matrix"/>
        <s v="Centralized user-facing paradigm"/>
        <s v="User-friendly needs-based throughput"/>
        <s v="Decentralized radical intranet"/>
        <s v="Front-line static access"/>
        <s v="Intuitive dedicated synergy"/>
        <s v="Compatible object-oriented Internet solution"/>
        <s v="Exclusive fresh-thinking capacity"/>
        <s v="Innovative solution-oriented capability"/>
        <s v="Reduced regional emulation"/>
        <s v="Enhanced homogeneous workforce"/>
        <s v="Organized bi-directional budgetary management"/>
        <s v="Ameliorated 3rdgeneration time-frame"/>
        <s v="Horizontal transitional artificial intelligence"/>
        <s v="Function-based systemic website"/>
        <s v="Universal multi-tasking help-desk"/>
        <s v="User-centric multi-state customer loyalty"/>
        <s v="Optional discrete customer loyalty"/>
        <s v="Polarized impactful core"/>
        <s v="Re-engineered systematic intranet"/>
        <s v="Distributed leadingedge matrices"/>
        <s v="Sharable homogeneous implementation"/>
        <s v="Enterprise-wide interactive functionalities"/>
        <s v="Universal asymmetric standardization"/>
        <s v="Universal interactive ability"/>
        <s v="Virtual dynamic intranet"/>
        <s v="Managed didactic firmware"/>
        <s v="Inverse zero tolerance toolset"/>
        <s v="Vision-oriented solution-oriented methodology"/>
        <s v="Total bi-directional pricing structure"/>
        <s v="Multi-layered neutral hub"/>
        <s v="Secured real-time info-mediaries"/>
        <s v="Total regional hardware"/>
        <s v="Distributed transitional framework"/>
        <s v="Enterprise-wide composite success"/>
        <s v="Customizable exuding Internet solution"/>
        <s v="Multi-lateral uniform help-desk"/>
        <s v="Implemented next generation info-mediaries"/>
        <s v="Customer-focused tangible protocol"/>
        <s v="Compatible coherent alliance"/>
        <s v="Fundamental system-worthy core"/>
        <s v="Adaptive stable time-frame"/>
        <s v="Fully-configurable bi-directional approach"/>
        <s v="Reduced object-oriented product"/>
        <s v="Virtual even-keeled hardware"/>
        <s v="Universal directional superstructure"/>
        <s v="Cloned disintermediate Graphic Interface"/>
        <s v="Switchable zero administration matrices"/>
        <s v="Fundamental clear-thinking capability"/>
        <s v="Fundamental multi-state definition"/>
        <s v="Organic full-range intranet"/>
        <s v="Customizable interactive orchestration"/>
        <s v="Automated 24hour interface"/>
        <s v="Function-based national success"/>
        <s v="Team-oriented attitude-oriented approach"/>
        <s v="Universal clear-thinking neural-net"/>
        <s v="Automated coherent policy"/>
        <s v="Function-based holistic moderator"/>
        <s v="Team-oriented transitional strategy"/>
        <s v="Digitized object-oriented neural-net"/>
        <s v="Re-engineered full-range knowledge user"/>
        <s v="Seamless contextually-based matrices"/>
        <s v="Synergistic systematic superstructure"/>
        <s v="Team-oriented regional budgetary management"/>
        <s v="Phased context-sensitive service-desk"/>
        <s v="Expanded contextually-based leverage"/>
        <s v="Cross-platform holistic open system"/>
        <s v="Versatile encompassing contingency"/>
        <s v="Realigned context-sensitive archive"/>
        <s v="Enhanced national array"/>
        <s v="Multi-tiered bifurcated solution"/>
        <s v="Versatile empowering groupware"/>
        <s v="Cross-group demand-driven synergy"/>
        <s v="Proactive empowering definition"/>
        <s v="Mandatory full-range focus group"/>
        <s v="Business-focused web-enabled support"/>
        <s v="Advanced radical functionalities"/>
        <s v="Sharable systemic analyzer"/>
        <s v="Secured stable conglomeration"/>
        <s v="Assimilated logistical product"/>
        <s v="User-centric discrete forecast"/>
        <s v="Cross-platform foreground system engine"/>
        <s v="Ergonomic discrete solution"/>
        <s v="Upgradable heuristic budgetary management"/>
        <s v="Horizontal bi-directional infrastructure"/>
        <s v="Open-source needs-based interface"/>
        <s v="Synergistic multi-state forecast"/>
        <s v="Adaptive directional adapter"/>
        <s v="Function-based executive capacity"/>
        <s v="De-engineered coherent infrastructure"/>
        <s v="Managed dynamic system engine"/>
        <s v="Integrated multi-state methodology"/>
        <s v="Total full-range collaboration"/>
        <s v="Decentralized uniform success"/>
        <s v="Customizable methodical success"/>
        <s v="Pre-emptive needs-based website"/>
        <s v="De-engineered tertiary budgetary management"/>
        <s v="Cross-platform scalable instruction set"/>
        <s v="Self-enabling intangible analyzer"/>
        <s v="Distributed asynchronous firmware"/>
        <s v="Centralized bandwidth-monitored matrix"/>
        <s v="Mandatory asymmetric success"/>
        <s v="Persevering national framework"/>
        <s v="Reactive 3rdgeneration data-warehouse"/>
        <s v="Cross-group multi-tasking frame"/>
        <s v="Managed context-sensitive core"/>
        <s v="Persistent multi-tasking concept"/>
        <s v="Reduced global workforce"/>
        <s v="Sharable asynchronous policy"/>
        <s v="Balanced responsive standardization"/>
        <s v="Reverse-engineered secondary throughput"/>
        <s v="Triple-buffered hybrid migration"/>
        <s v="Networked bandwidth-monitored approach"/>
        <s v="Diverse homogeneous data-warehouse"/>
        <s v="Synchronized object-oriented capacity"/>
        <s v="Reactive uniform groupware"/>
        <s v="Multi-tiered well-modulated success"/>
        <s v="Reactive analyzing focus group"/>
        <s v="Integrated coherent knowledgebase"/>
        <s v="Reduced 4thgeneration adapter"/>
        <s v="Inverse next generation complexity"/>
        <s v="Multi-layered didactic access"/>
        <s v="Implemented national open architecture"/>
        <s v="Total value-added throughput"/>
        <s v="Open-source leadingedge standardization"/>
        <s v="Multi-tiered encompassing solution"/>
        <s v="Reduced homogeneous concept"/>
        <s v="Inverse grid-enabled functionalities"/>
        <s v="Robust multi-state projection"/>
        <s v="Profit-focused non-volatile analyzer"/>
        <s v="Ergonomic grid-enabled circuit"/>
        <s v="Optimized bifurcated alliance"/>
        <s v="User-centric uniform methodology"/>
        <s v="Compatible homogeneous benchmark"/>
        <s v="Team-oriented non-volatile firmware"/>
        <s v="User-friendly clear-thinking projection"/>
        <s v="Persistent full-range moratorium"/>
        <s v="Ameliorated real-time moratorium"/>
        <s v="Compatible static application"/>
        <s v="Persistent multi-state installation"/>
        <s v="Cross-platform value-added info-mediaries"/>
        <s v="Configurable needs-based success"/>
        <s v="Upgradable disintermediate array"/>
        <s v="Assimilated composite hierarchy"/>
        <s v="Down-sized tangible frame"/>
        <s v="Multi-tiered full-range service-desk"/>
        <s v="Enhanced asynchronous process improvement"/>
        <s v="Focused modular utilization"/>
        <s v="Team-oriented foreground Local Area Network"/>
        <s v="Automated multimedia secured line"/>
        <s v="Focused didactic superstructure"/>
        <s v="Advanced client-server ability"/>
        <s v="Managed optimizing methodology"/>
        <s v="Right-sized demand-driven productivity"/>
        <s v="Enhanced regional protocol"/>
        <s v="Switchable static algorithm"/>
        <s v="Persistent dedicated focus group"/>
        <s v="Multi-lateral optimal moderator"/>
        <s v="Optional incremental pricing structure"/>
        <s v="Grass-roots holistic frame"/>
        <s v="Profound bandwidth-monitored encryption"/>
        <s v="Seamless transitional core"/>
        <s v="Right-sized transitional portal"/>
        <s v="Focused zero tolerance functionalities"/>
        <s v="Inverse cohesive conglomeration"/>
        <s v="Self-enabling human-resource interface"/>
        <s v="Reduced high-level methodology"/>
        <s v="Exclusive clear-thinking monitoring"/>
        <s v="Inverse multi-state support"/>
        <s v="Streamlined cohesive alliance"/>
        <s v="Expanded context-sensitive support"/>
        <s v="Function-based transitional complexity"/>
        <s v="Multi-channeled system-worthy collaboration"/>
        <s v="Synergistic dynamic matrices"/>
        <s v="Vision-oriented non-volatile policy"/>
        <s v="Open-source context-sensitive software"/>
        <s v="Customer-focused dedicated monitoring"/>
        <s v="Re-contextualized coherent initiative"/>
        <s v="Re-contextualized non-volatile initiative"/>
        <s v="Robust motivating firmware"/>
        <s v="Programmable global matrices"/>
        <s v="Mandatory client-server Graphic Interface"/>
        <s v="Grass-roots disintermediate array"/>
        <s v="Programmable value-added secured line"/>
        <s v="Customizable leadingedge process improvement"/>
        <s v="Face-to-face scalable capacity"/>
        <s v="Polarized discrete artificial intelligence"/>
        <s v="Down-sized zero-defect open system"/>
        <s v="Assimilated stable methodology"/>
        <s v="Triple-buffered actuating firmware"/>
        <s v="Cross-platform bandwidth-monitored secured line"/>
        <s v="Centralized maximized policy"/>
        <s v="Universal cohesive hierarchy"/>
        <s v="Enhanced client-driven array"/>
        <s v="Open-architected local structure"/>
        <s v="Upgradable attitude-oriented archive"/>
        <s v="Advanced bi-directional matrix"/>
        <s v="Up-sized fault-tolerant superstructure"/>
        <s v="Multi-lateral context-sensitive productivity"/>
        <s v="Profound bandwidth-monitored benchmark"/>
        <s v="Profit-focused methodical pricing structure"/>
        <s v="Operative methodical moderator"/>
        <s v="Organized executive instruction set"/>
        <s v="Pre-emptive user-facing toolset"/>
        <s v="Diverse fault-tolerant Local Area Network"/>
        <s v="Reverse-engineered static hub"/>
        <s v="Synchronized even-keeled challenge"/>
        <s v="Upgradable foreground encryption"/>
        <s v="Compatible upward-trending conglomeration"/>
        <s v="Mandatory dedicated collaboration"/>
        <s v="Ergonomic systemic implementation"/>
        <s v="Distributed scalable attitude"/>
        <s v="Ameliorated methodical strategy"/>
        <s v="Reverse-engineered logistical methodology"/>
        <s v="Total exuding open architecture"/>
        <s v="Robust asymmetric customer loyalty"/>
        <s v="Total homogeneous software"/>
        <s v="Fully-configurable web-enabled extranet"/>
        <s v="Function-based analyzing matrices"/>
        <s v="Up-sized interactive synergy"/>
        <s v="Configurable bandwidth-monitored definition"/>
        <s v="Organized even-keeled knowledgebase"/>
        <s v="Function-based bandwidth-monitored system engine"/>
        <s v="Re-engineered radical policy"/>
        <s v="Balanced global projection"/>
        <s v="Multi-tiered multi-state matrix"/>
        <s v="Exclusive cohesive process improvement"/>
        <s v="Front-line fresh-thinking leverage"/>
        <s v="Synergistic composite knowledge user"/>
        <s v="Innovative disintermediate installation"/>
        <s v="Open-source holistic interface"/>
        <s v="Persevering systematic success"/>
        <s v="Multi-tiered foreground info-mediaries"/>
        <s v="Progressive global data-warehouse"/>
        <s v="Stand-alone global Local Area Network"/>
        <s v="Mandatory bandwidth-monitored benchmark"/>
        <s v="Integrated client-driven archive"/>
        <s v="Re-contextualized directional array"/>
        <s v="Integrated optimizing moderator"/>
        <s v="Reduced asynchronous installation"/>
        <s v="Enterprise-wide non-volatile archive"/>
        <s v="Persevering high-level system engine"/>
        <s v="Multi-channeled reciprocal toolset"/>
        <s v="Horizontal full-range hierarchy"/>
        <s v="Fully-configurable zero-defect archive"/>
        <s v="Synergized responsive installation"/>
        <s v="Multi-layered methodical matrix"/>
        <s v="Switchable zero administration productivity"/>
        <s v="Multi-lateral real-time orchestration"/>
        <s v="Optimized asynchronous collaboration"/>
        <s v="Cross-platform demand-driven secured line"/>
        <s v="Implemented zero tolerance function"/>
        <s v="Function-based scalable hardware"/>
        <s v="Versatile systemic approach"/>
        <s v="Progressive fresh-thinking core"/>
        <s v="Intuitive transitional toolset"/>
        <s v="Extended user-facing standardization"/>
        <s v="Distributed secondary pricing structure"/>
        <s v="Optimized maximized focus group"/>
        <s v="Expanded executive middleware"/>
        <s v="Stand-alone exuding framework"/>
        <s v="Horizontal composite Internet solution"/>
        <s v="Object-based responsive implementation"/>
        <s v="Inverse radical forecast"/>
        <s v="Up-sized foreground portal"/>
        <s v="Switchable eco-centric moderator"/>
        <s v="Upgradable bifurcated project"/>
        <s v="Multi-tiered real-time contingency"/>
        <s v="Focused multi-tasking pricing structure"/>
        <s v="Profound attitude-oriented adapter"/>
        <s v="Open-architected dynamic task-force"/>
        <s v="Expanded responsive utilization"/>
        <s v="User-centric transitional orchestration"/>
        <s v="Virtual demand-driven methodology"/>
        <s v="Proactive asynchronous alliance"/>
        <s v="Right-sized background capability"/>
        <s v="Innovative 24hour hub"/>
        <s v="Synergized holistic monitoring"/>
        <s v="Inverse solution-oriented concept"/>
        <s v="Future-proofed stable policy"/>
        <s v="Secured optimal moderator"/>
        <s v="Automated solution-oriented access"/>
        <s v="Quality-focused contextually-based software"/>
        <s v="Grass-roots high-level alliance"/>
        <s v="Proactive disintermediate capacity"/>
        <s v="Multi-layered contextually-based standardization"/>
        <s v="Networked discrete monitoring"/>
        <s v="Proactive heuristic access"/>
        <s v="Public-key grid-enabled infrastructure"/>
        <s v="Vision-oriented systemic leverage"/>
        <s v="Persistent 4thgeneration attitude"/>
        <s v="Devolved object-oriented firmware"/>
        <s v="Realigned high-level encryption"/>
        <s v="Reverse-engineered multimedia initiative"/>
        <s v="Distributed cohesive core"/>
        <s v="Grass-roots neutral system engine"/>
        <s v="Vision-oriented upward-trending project"/>
        <s v="Multi-lateral national policy"/>
        <s v="Synchronized explicit matrices"/>
        <s v="Multi-layered impactful adapter"/>
        <s v="Enterprise-wide client-server artificial intelligence"/>
        <s v="Advanced context-sensitive monitoring"/>
        <s v="Customizable optimizing policy"/>
        <s v="Front-line 5thgeneration database"/>
        <s v="Persistent reciprocal leverage"/>
        <s v="Advanced well-modulated core"/>
        <s v="Organized 4thgeneration collaboration"/>
        <s v="Balanced directional productivity"/>
        <s v="Re-engineered eco-centric framework"/>
        <s v="Triple-buffered contextually-based hierarchy"/>
        <s v="Pre-emptive reciprocal protocol"/>
        <s v="Ameliorated reciprocal instruction set"/>
        <s v="Reduced incremental moratorium"/>
        <s v="Cross-group clear-thinking projection"/>
        <s v="Operative global archive"/>
        <s v="Adaptive zero administration standardization"/>
        <s v="Re-contextualized optimizing challenge"/>
        <s v="Expanded zero-defect archive"/>
        <s v="Fully-configurable solution-oriented moderator"/>
        <s v="Organized foreground pricing structure"/>
        <s v="Advanced next generation encryption"/>
        <s v="Horizontal tertiary Local Area Network"/>
        <s v="Progressive incremental core"/>
        <s v="Automated didactic alliance"/>
        <s v="Adaptive modular structure"/>
        <s v="Phased non-volatile utilization"/>
        <s v="Face-to-face user-facing matrices"/>
        <s v="Vision-oriented directional hub"/>
        <s v="Visionary static process improvement"/>
        <s v="User-friendly high-level initiative"/>
        <s v="Front-line national focus group"/>
        <s v="Multi-lateral uniform middleware"/>
        <s v="Balanced content-based analyzer"/>
        <s v="Mandatory maximized projection"/>
        <s v="User-centric real-time Local Area Network"/>
        <s v="Enhanced next generation installation"/>
        <s v="Integrated solution-oriented alliance"/>
        <s v="Realigned client-driven moratorium"/>
        <s v="Total disintermediate collaboration"/>
        <s v="Persistent uniform superstructure"/>
        <s v="Multi-layered system-worthy open system"/>
        <s v="Virtual uniform moratorium"/>
        <s v="Quality-focused uniform benchmark"/>
        <s v="Visionary actuating middleware"/>
        <s v="Operative intermediate service-desk"/>
        <s v="Switchable interactive middleware"/>
        <s v="Synergized fresh-thinking focus group"/>
        <s v="De-engineered demand-driven concept"/>
        <s v="Fundamental background matrices"/>
        <s v="Multi-layered explicit toolset"/>
        <s v="Horizontal context-sensitive project"/>
        <s v="Adaptive composite ability"/>
        <s v="User-centric fault-tolerant frame"/>
        <s v="Optional 5thgeneration task-force"/>
        <s v="De-engineered methodical protocol"/>
        <s v="Streamlined radical protocol"/>
        <s v="Reduced asymmetric encryption"/>
        <s v="Vision-oriented contextually-based success"/>
        <s v="Exclusive real-time encoding"/>
        <s v="Automated high-level moratorium"/>
        <s v="Customer-focused context-sensitive website"/>
        <s v="Customizable discrete hierarchy"/>
        <s v="Fully-configurable system-worthy interface"/>
        <s v="Ergonomic stable throughput"/>
        <s v="Progressive homogeneous parallelism"/>
        <s v="Upgradable exuding extranet"/>
        <s v="Cloned neutral matrices"/>
        <s v="Synchronized tertiary alliance"/>
        <s v="Vision-oriented client-server definition"/>
        <s v="Ameliorated non-volatile leverage"/>
        <s v="Profound asymmetric collaboration"/>
        <s v="Versatile non-volatile extranet"/>
        <s v="Object-based scalable customer loyalty"/>
        <s v="Configurable 3rdgeneration benchmark"/>
        <s v="Streamlined global capacity"/>
        <s v="Digitized multi-state initiative"/>
        <s v="Exclusive encompassing access"/>
        <s v="Horizontal asymmetric software"/>
        <s v="Reduced 24hour archive"/>
        <s v="Fully-configurable composite utilization"/>
        <s v="Function-based value-added alliance"/>
        <s v="Fully-configurable optimizing leverage"/>
        <s v="Multi-tiered encompassing flexibility"/>
        <s v="Reverse-engineered background throughput"/>
        <s v="Adaptive contextually-based middleware"/>
        <s v="Business-focused reciprocal methodology"/>
        <s v="Focused even-keeled support"/>
        <s v="Open-source optimizing moratorium"/>
        <s v="Future-proofed even-keeled analyzer"/>
        <s v="Innovative fault-tolerant framework"/>
        <s v="Switchable impactful leverage"/>
        <s v="Optimized encompassing paradigm"/>
        <s v="Expanded user-facing toolset"/>
        <s v="Business-focused scalable forecast"/>
        <s v="Front-line transitional Graphical User Interface"/>
        <s v="Open-source methodical synergy"/>
        <s v="Customer-focused multi-tasking product"/>
        <s v="Front-line static installation"/>
        <s v="Reverse-engineered cohesive adapter"/>
        <s v="Business-focused optimal open architecture"/>
        <s v="Implemented homogeneous framework"/>
        <s v="User-friendly executive throughput"/>
        <s v="Business-focused impactful strategy"/>
        <s v="Vision-oriented mobile projection"/>
        <s v="Advanced human-resource customer loyalty"/>
        <s v="Persevering real-time strategy"/>
        <s v="Ameliorated high-level groupware"/>
        <s v="Cross-platform multimedia customer loyalty"/>
        <s v="Future-proofed multimedia throughput"/>
        <s v="Mandatory scalable focus group"/>
        <s v="Horizontal user-facing secured line"/>
        <s v="Multi-tiered non-volatile hardware"/>
        <s v="Digitized client-driven hub"/>
        <s v="Exclusive asymmetric workforce"/>
        <s v="Networked optimizing function"/>
        <s v="Optimized empowering challenge"/>
        <s v="Polarized human-resource instruction set"/>
        <s v="Devolved bi-directional collaboration"/>
        <s v="Extended cohesive protocol"/>
        <s v="Digitized stable analyzer"/>
        <s v="Up-sized bifurcated instruction set"/>
        <s v="Upgradable multimedia database"/>
        <s v="Organized demand-driven attitude"/>
        <s v="Visionary client-server migration"/>
        <s v="Universal bi-directional workforce"/>
        <s v="Reverse-engineered system-worthy system engine"/>
        <s v="Optimized dedicated frame"/>
        <s v="Fundamental 5thgeneration solution"/>
        <s v="Assimilated disintermediate software"/>
        <s v="Stand-alone explicit focus group"/>
        <s v="Synergistic mission-critical protocol"/>
        <s v="Extended executive challenge"/>
        <s v="Enhanced 5thgeneration implementation"/>
        <s v="Seamless methodical task-force"/>
        <s v="Operative coherent customer loyalty"/>
        <s v="Team-oriented cohesive orchestration"/>
        <s v="Triple-buffered uniform hub"/>
        <s v="Organic 24/7 superstructure"/>
        <s v="Implemented grid-enabled model"/>
        <s v="Assimilated incremental frame"/>
        <s v="Sharable discrete alliance"/>
        <s v="Organic incremental toolset"/>
        <s v="Organized transitional core"/>
        <s v="Expanded mobile hub"/>
        <s v="Up-sized user-facing success"/>
        <s v="Re-engineered bifurcated secured line"/>
        <s v="Profit-focused asymmetric projection"/>
        <s v="Diverse contextually-based Graphical User Interface"/>
        <s v="Versatile high-level hardware"/>
        <s v="Configurable bottom-line matrices"/>
        <s v="Optimized holistic workforce"/>
        <s v="Object-based multimedia orchestration"/>
        <s v="Total regional project"/>
        <s v="Object-based exuding alliance"/>
        <s v="Secured actuating analyzer"/>
        <s v="Advanced well-modulated solution"/>
        <s v="Universal explicit synergy"/>
        <s v="Up-sized encompassing concept"/>
        <s v="Decentralized hybrid throughput"/>
        <s v="Phased zero tolerance concept"/>
        <s v="Multi-layered optimizing info-mediaries"/>
        <s v="Triple-buffered holistic complexity"/>
        <s v="Triple-buffered bifurcated monitoring"/>
        <s v="Right-sized zero administration infrastructure"/>
        <s v="Synchronized intangible forecast"/>
        <s v="Balanced static open system"/>
        <s v="Fundamental bifurcated secured line"/>
        <s v="User-friendly disintermediate open system"/>
        <s v="Managed methodical algorithm"/>
        <s v="Business-focused multimedia access"/>
        <s v="Future-proofed heuristic process improvement"/>
        <s v="Exclusive exuding adapter"/>
        <s v="Compatible holistic success"/>
        <s v="Automated 6thgeneration core"/>
        <s v="Customizable zero administration open architecture"/>
        <s v="Vision-oriented disintermediate infrastructure"/>
        <s v="Future-proofed regional algorithm"/>
        <s v="Polarized global product"/>
        <s v="Future-proofed system-worthy extranet"/>
        <s v="Centralized transitional product"/>
        <s v="User-friendly maximized approach"/>
        <s v="Synchronized interactive architecture"/>
        <s v="Sharable empowering website"/>
        <s v="Triple-buffered scalable open system"/>
        <s v="Object-based real-time model"/>
        <s v="Persevering 24/7 algorithm"/>
        <s v="Integrated methodical circuit"/>
        <s v="Universal 6thgeneration policy"/>
        <s v="Multi-tiered holistic array"/>
        <s v="Fundamental scalable Graphic Interface"/>
        <s v="Innovative high-level approach"/>
        <s v="Cloned multimedia array"/>
        <s v="Universal full-range alliance"/>
        <s v="Open-architected multi-state solution"/>
        <s v="Business-focused value-added utilization"/>
        <s v="Sharable intangible initiative"/>
        <s v="Centralized composite architecture"/>
        <s v="Total encompassing conglomeration"/>
        <s v="Reduced real-time throughput"/>
        <s v="Horizontal system-worthy approach"/>
        <s v="Switchable scalable service-desk"/>
        <s v="Total multi-tasking solution"/>
        <s v="Configurable multi-tasking info-mediaries"/>
        <s v="Pre-emptive real-time architecture"/>
        <s v="Implemented eco-centric architecture"/>
        <s v="Configurable empowering paradigm"/>
        <s v="User-friendly zero administration contingency"/>
        <s v="Triple-buffered executive parallelism"/>
        <s v="Mandatory value-added intranet"/>
        <s v="Object-based encompassing database"/>
        <s v="Team-oriented explicit application"/>
        <s v="Multi-tiered directional toolset"/>
        <s v="Mandatory uniform success"/>
        <s v="Multi-layered zero-defect hub"/>
        <s v="Function-based optimizing capacity"/>
        <s v="Mandatory grid-enabled orchestration"/>
        <s v="Open-architected demand-driven attitude"/>
        <s v="Enterprise-wide holistic open system"/>
        <s v="Pre-emptive multi-tasking Graphical User Interface"/>
        <s v="Universal composite functionalities"/>
        <s v="Open-source homogeneous emulation"/>
        <s v="Right-sized human-resource methodology"/>
        <s v="Reactive local open architecture"/>
        <s v="Customizable dedicated process improvement"/>
        <s v="Stand-alone coherent info-mediaries"/>
        <s v="Assimilated coherent task-force"/>
        <s v="Fundamental eco-centric software"/>
        <s v="Multi-layered bi-directional functionalities"/>
        <s v="Business-focused foreground groupware"/>
        <s v="Organized holistic neural-net"/>
        <s v="Virtual next generation secured line"/>
        <s v="Reverse-engineered 4thgeneration application"/>
        <s v="Cross-platform secondary leverage"/>
        <s v="Optional multi-state Local Area Network"/>
        <s v="Visionary systematic software"/>
        <s v="Profit-focused fault-tolerant focus group"/>
        <s v="Customer-focused object-oriented software"/>
        <s v="Seamless context-sensitive interface"/>
        <s v="Fully-configurable local methodology"/>
        <s v="Optional radical circuit"/>
        <s v="Front-line secondary capacity"/>
        <s v="Digitized full-range moratorium"/>
        <s v="Quality-focused eco-centric product"/>
        <s v="Assimilated holistic neural-net"/>
        <s v="Advanced web-enabled Local Area Network"/>
        <s v="Organic interactive open architecture"/>
        <s v="Future-proofed bifurcated pricing structure"/>
        <s v="Stand-alone systemic artificial intelligence"/>
        <s v="Secured homogeneous alliance"/>
        <s v="Organic zero-defect methodology"/>
        <s v="Fully-configurable real-time website"/>
        <s v="Optimized neutral functionalities"/>
        <s v="Synergistic systematic Graphic Interface"/>
        <s v="Decentralized intangible capacity"/>
        <s v="Multi-channeled neutral capacity"/>
        <s v="Realigned value-added hardware"/>
        <s v="Open-source asymmetric solution"/>
        <s v="Customer-focused non-volatile website"/>
        <s v="Ergonomic explicit structure"/>
        <s v="Expanded dedicated attitude"/>
        <s v="Re-contextualized zero administration monitoring"/>
        <s v="Grass-roots 3rdgeneration standardization"/>
        <s v="Progressive demand-driven productivity"/>
        <s v="Proactive needs-based extranet"/>
        <s v="Right-sized bandwidth-monitored leverage"/>
        <s v="Optimized encompassing Graphical User Interface"/>
        <s v="Object-based responsive firmware"/>
        <s v="Face-to-face multimedia time-frame"/>
        <s v="Virtual executive forecast"/>
        <s v="Up-sized multimedia data-warehouse"/>
        <s v="Down-sized encompassing synergy"/>
        <s v="Phased even-keeled open architecture"/>
        <s v="Triple-buffered local middleware"/>
        <s v="Re-contextualized logistical protocol"/>
        <s v="Synergistic optimizing matrix"/>
        <s v="Switchable impactful pricing structure"/>
        <s v="Persevering hybrid solution"/>
        <s v="Cross-platform 3rdgeneration customer loyalty"/>
        <s v="Synchronized next generation contingency"/>
        <s v="Implemented dynamic access"/>
        <s v="Inverse secondary leverage"/>
        <s v="Multi-channeled non-volatile analyzer"/>
        <s v="Reactive 24/7 circuit"/>
        <s v="Reverse-engineered secondary solution"/>
        <s v="Optional modular budgetary management"/>
        <s v="Devolved national Internet solution"/>
        <s v="Front-line heuristic customer loyalty"/>
        <s v="Extended multi-state throughput"/>
        <s v="Re-contextualized mission-critical success"/>
        <s v="Reactive empowering service-desk"/>
        <s v="Re-engineered fresh-thinking middleware"/>
        <s v="Upgradable mission-critical system engine"/>
        <s v="Secured bandwidth-monitored encryption"/>
        <s v="Ergonomic holistic website"/>
        <s v="Quality-focused static hierarchy"/>
        <s v="Profit-focused empowering synergy"/>
        <s v="Sharable upward-trending benchmark"/>
        <s v="Triple-buffered didactic synergy"/>
        <s v="Right-sized dynamic algorithm"/>
        <s v="Front-line analyzing encoding"/>
        <s v="Decentralized dynamic interface"/>
        <s v="Monitored disintermediate adapter"/>
        <s v="Optimized encompassing budgetary management"/>
        <s v="Decentralized actuating budgetary management"/>
        <s v="Inverse web-enabled installation"/>
        <s v="Digitized client-server encryption"/>
        <s v="Quality-focused intermediate throughput"/>
        <s v="Open-source fresh-thinking infrastructure"/>
        <s v="Persevering mobile initiative"/>
        <s v="User-centric mobile secured line"/>
        <s v="Team-oriented asymmetric contingency"/>
        <s v="Reverse-engineered bifurcated conglomeration"/>
        <s v="Re-contextualized object-oriented portal"/>
        <s v="Horizontal client-driven access"/>
        <s v="Business-focused needs-based throughput"/>
        <s v="Down-sized explicit Internet solution"/>
        <s v="Realigned didactic utilization"/>
        <s v="Diverse exuding open system"/>
        <s v="Progressive system-worthy ability"/>
        <s v="Profit-focused 24hour matrices"/>
        <s v="Organic solution-oriented orchestration"/>
        <s v="Vision-oriented 6thgeneration alliance"/>
        <s v="Quality-focused high-level process improvement"/>
        <s v="Self-enabling empowering paradigm"/>
        <s v="Streamlined executive knowledgebase"/>
        <s v="Assimilated hybrid challenge"/>
        <s v="Organized responsive paradigm"/>
        <s v="Down-sized 24/7 website"/>
        <s v="Cloned bottom-line parallelism"/>
        <s v="Profit-focused fresh-thinking secured line"/>
        <s v="Multi-channeled 5thgeneration policy"/>
        <s v="Re-contextualized solution-oriented open architecture"/>
        <s v="Virtual regional policy"/>
        <s v="Phased holistic throughput"/>
        <s v="Devolved 4thgeneration ability"/>
        <s v="Open-source 6thgeneration extranet"/>
        <s v="Function-based clear-thinking functionalities"/>
        <s v="Cloned even-keeled concept"/>
        <s v="Progressive empowering array"/>
        <s v="Profound needs-based complexity"/>
        <s v="Cross-platform human-resource moratorium"/>
        <s v="Multi-layered 24hour adapter"/>
        <s v="Up-sized client-server standardization"/>
        <s v="Visionary high-level success"/>
        <s v="Diverse next generation knowledgebase"/>
        <s v="Configurable system-worthy knowledge user"/>
        <s v="Mandatory grid-enabled concept"/>
        <s v="Sharable impactful model"/>
        <s v="Compatible needs-based collaboration"/>
        <s v="Virtual bifurcated capacity"/>
        <s v="Persevering mobile hub"/>
        <s v="Organized actuating methodology"/>
        <s v="Robust reciprocal monitoring"/>
        <s v="De-engineered leadingedge access"/>
        <s v="Secured 3rdgeneration focus group"/>
        <s v="Synergized heuristic contingency"/>
        <s v="Polarized directional service-desk"/>
        <s v="Realigned attitude-oriented intranet"/>
        <s v="Business-focused stable time-frame"/>
        <s v="Reduced solution-oriented encoding"/>
        <s v="Devolved multi-tasking knowledgebase"/>
        <s v="Down-sized motivating methodology"/>
        <s v="Diverse well-modulated encoding"/>
        <s v="Extended 3rdgeneration workforce"/>
        <s v="Networked non-volatile groupware"/>
        <s v="Integrated high-level leverage"/>
        <s v="Realigned asymmetric customer loyalty"/>
        <s v="Sharable local interface"/>
        <s v="Organic bottom-line hierarchy"/>
        <s v="Extended cohesive Internet solution"/>
        <s v="Seamless foreground knowledge user"/>
        <s v="Mandatory high-level Local Area Network"/>
        <s v="Centralized encompassing Local Area Network"/>
        <s v="Cross-group scalable workforce"/>
        <s v="Implemented demand-driven utilization"/>
        <s v="Balanced coherent superstructure"/>
        <s v="Decentralized executive task-force"/>
        <s v="Persistent tangible installation"/>
        <s v="Diverse modular capacity"/>
        <s v="User-friendly stable matrices"/>
        <s v="Intuitive 4thgeneration forecast"/>
        <s v="Realigned multimedia infrastructure"/>
        <s v="Versatile directional matrices"/>
        <s v="Re-engineered impactful software"/>
        <s v="Fully-configurable zero-defect firmware"/>
        <s v="Up-sized local hierarchy"/>
        <s v="Seamless interactive toolset"/>
        <s v="Adaptive zero tolerance groupware"/>
        <s v="Cloned hybrid orchestration"/>
        <s v="Object-based zero tolerance knowledgebase"/>
        <s v="Monitored content-based open system"/>
        <s v="Object-based responsive time-frame"/>
        <s v="Managed stable Graphic Interface"/>
        <s v="Digitized explicit functionalities"/>
        <s v="Expanded encompassing open system"/>
        <s v="Enterprise-wide asymmetric model"/>
        <s v="Implemented dynamic workforce"/>
        <s v="Universal homogeneous migration"/>
        <s v="Multi-channeled radical archive"/>
        <s v="Optional 3rdgeneration parallelism"/>
        <s v="Open-source optimal Graphic Interface"/>
        <s v="Fully-configurable zero administration service-desk"/>
        <s v="Implemented system-worthy alliance"/>
        <s v="Persistent hybrid product"/>
        <s v="Compatible empowering framework"/>
        <s v="Pre-emptive methodical neural-net"/>
        <s v="Realigned incremental customer loyalty"/>
        <s v="Extended zero-defect process improvement"/>
        <s v="Optimized fault-tolerant throughput"/>
        <s v="Persistent tangible Graphic Interface"/>
        <s v="Switchable analyzing solution"/>
        <s v="Intuitive discrete pricing structure"/>
        <s v="Decentralized solution-oriented groupware"/>
        <s v="Fully-configurable foreground matrix"/>
        <s v="Centralized modular conglomeration"/>
        <s v="Right-sized human-resource knowledgebase"/>
        <s v="Total clear-thinking infrastructure"/>
        <s v="Centralized background workforce"/>
        <s v="Right-sized impactful Graphical User Interface"/>
        <s v="Sharable human-resource interface"/>
        <s v="Multi-tiered tertiary flexibility"/>
        <s v="Centralized empowering projection"/>
        <s v="Down-sized scalable array"/>
        <s v="Compatible fresh-thinking moratorium"/>
        <s v="Re-contextualized encompassing methodology"/>
        <s v="Fully-configurable 3rdgeneration projection"/>
        <s v="Enhanced well-modulated model"/>
        <s v="Self-enabling national project"/>
        <s v="Diverse mission-critical capability"/>
        <s v="Team-oriented asynchronous forecast"/>
        <s v="Customer-focused explicit synergy"/>
        <s v="Diverse high-level orchestration"/>
        <s v="Open-architected context-sensitive knowledge user"/>
        <s v="Enhanced zero administration methodology"/>
        <s v="Assimilated system-worthy product"/>
        <s v="Total object-oriented budgetary management"/>
        <s v="Fully-configurable responsive projection"/>
        <s v="Team-oriented 6thgeneration software"/>
        <s v="Virtual transitional conglomeration"/>
        <s v="Quality-focused radical infrastructure"/>
        <s v="Integrated non-volatile attitude"/>
        <s v="Optimized non-volatile capability"/>
        <s v="Optimized zero administration encoding"/>
        <s v="Down-sized dynamic service-desk"/>
        <s v="Right-sized contextually-based portal"/>
        <s v="Reduced stable hardware"/>
        <s v="Enterprise-wide zero administration policy"/>
        <s v="Pre-emptive national definition"/>
        <s v="Multi-lateral executive firmware"/>
        <s v="Horizontal background benchmark"/>
        <s v="Intuitive fault-tolerant array"/>
        <s v="Progressive web-enabled focus group"/>
        <s v="Reduced intangible complexity"/>
        <s v="Re-contextualized multimedia info-mediaries"/>
        <s v="Optimized client-driven matrices"/>
        <s v="Stand-alone 24hour software"/>
        <s v="Enhanced encompassing workforce"/>
        <s v="Polarized multimedia paradigm"/>
        <s v="Phased background portal"/>
        <s v="Switchable directional archive"/>
        <s v="Pre-emptive human-resource adapter"/>
        <s v="Cloned attitude-oriented moderator"/>
        <s v="Managed bifurcated throughput"/>
        <s v="Managed zero administration pricing structure"/>
        <s v="Fully-configurable didactic project"/>
        <s v="Profit-focused composite portal"/>
        <s v="Business-focused cohesive functionalities"/>
        <s v="Adaptive leadingedge Internet solution"/>
        <s v="Distributed uniform synergy"/>
        <s v="Integrated encompassing focus group"/>
        <s v="Re-engineered value-added software"/>
        <s v="Diverse cohesive groupware"/>
        <s v="Cross-platform incremental monitoring"/>
        <s v="Decentralized methodical standardization"/>
        <s v="Cross-group dedicated adapter"/>
        <s v="Decentralized background artificial intelligence"/>
        <s v="Synergized impactful algorithm"/>
        <s v="Virtual regional array"/>
        <s v="Robust 3rdgeneration Graphic Interface"/>
        <s v="Reverse-engineered interactive neural-net"/>
        <s v="Horizontal hybrid database"/>
        <s v="Advanced user-facing instruction set"/>
        <s v="Up-sized web-enabled extranet"/>
        <s v="Managed bandwidth-monitored circuit"/>
        <s v="Distributed value-added contingency"/>
        <s v="Cross-platform uniform productivity"/>
        <s v="Front-line client-server adapter"/>
        <s v="Triple-buffered didactic open architecture"/>
        <s v="Visionary multi-state encryption"/>
        <s v="Future-proofed scalable orchestration"/>
        <s v="Programmable transitional instruction set"/>
        <s v="Persistent modular contingency"/>
        <s v="Distributed zero administration extranet"/>
        <s v="Monitored human-resource utilization"/>
        <s v="Public-key zero-defect complexity"/>
        <s v="Fundamental disintermediate framework"/>
        <s v="Realigned dynamic toolset"/>
        <s v="Implemented secondary monitoring"/>
        <s v="Team-oriented grid-enabled paradigm"/>
        <s v="Compatible intermediate application"/>
        <s v="Organic real-time archive"/>
        <s v="Customizable upward-trending pricing structure"/>
        <s v="Enterprise-wide systematic groupware"/>
        <s v="Fully-configurable radical utilization"/>
        <s v="Managed regional algorithm"/>
        <s v="Synergized directional superstructure"/>
        <s v="Sharable system-worthy framework"/>
        <s v="Monitored web-enabled artificial intelligence"/>
        <s v="Managed zero-defect capability"/>
        <s v="Compatible non-volatile firmware"/>
        <s v="Switchable scalable ability"/>
        <s v="Diverse stable concept"/>
        <s v="Public-key cohesive encryption"/>
        <s v="Upgradable bottom-line frame"/>
        <s v="Intuitive 3rdgeneration capability"/>
        <s v="Reactive context-sensitive interface"/>
        <s v="Focused contextually-based architecture"/>
        <s v="Assimilated non-volatile artificial intelligence"/>
        <s v="Optimized multimedia hardware"/>
        <s v="Innovative heuristic product"/>
        <s v="Networked even-keeled solution"/>
        <s v="Centralized multimedia ability"/>
        <s v="Horizontal web-enabled middleware"/>
        <s v="Multi-channeled tertiary alliance"/>
        <s v="Face-to-face motivating info-mediaries"/>
        <s v="Organized 24hour adapter"/>
        <s v="Customer-focused disintermediate solution"/>
        <s v="Customizable exuding solution"/>
        <s v="Digitized clear-thinking initiative"/>
        <s v="Upgradable zero tolerance matrix"/>
        <s v="User-friendly optimizing core"/>
        <s v="Fundamental secondary time-frame"/>
        <s v="Assimilated foreground knowledge user"/>
        <s v="Pre-emptive human-resource forecast"/>
        <s v="Mandatory systemic application"/>
        <s v="Right-sized dedicated complexity"/>
        <s v="Managed intangible hierarchy"/>
        <s v="Robust heuristic productivity"/>
        <s v="Switchable mobile knowledge user"/>
        <s v="User-friendly asynchronous framework"/>
        <s v="Universal context-sensitive help-desk"/>
        <s v="Mandatory impactful system engine"/>
        <s v="Cross-platform zero administration task-force"/>
        <s v="Secured national framework"/>
        <s v="Intuitive non-volatile groupware"/>
        <s v="Multi-tiered eco-centric knowledgebase"/>
        <s v="Universal heuristic extranet"/>
        <s v="Total modular extranet"/>
        <s v="Balanced executive monitoring"/>
        <s v="Reduced directional protocol"/>
        <s v="Vision-oriented scalable project"/>
        <s v="Future-proofed exuding task-force"/>
        <s v="Visionary uniform data-warehouse"/>
        <s v="Robust hybrid function"/>
        <s v="Reactive mission-critical leverage"/>
        <s v="Pre-emptive grid-enabled workforce"/>
        <s v="Horizontal motivating superstructure"/>
        <s v="Function-based asynchronous project"/>
        <s v="Open-architected system-worthy middleware"/>
        <s v="Optimized dynamic structure"/>
        <s v="Programmable logistical policy"/>
        <s v="Integrated asymmetric pricing structure"/>
        <s v="Enhanced responsive capacity"/>
        <s v="Digitized 6thgeneration infrastructure"/>
        <s v="Extended optimizing analyzer"/>
        <s v="Future-proofed multi-tasking definition"/>
        <s v="Monitored encompassing moratorium"/>
        <s v="Synergistic uniform standardization"/>
        <s v="Grass-roots optimizing initiative"/>
        <s v="Progressive stable function"/>
        <s v="Seamless zero-defect open system"/>
        <s v="Optimized maximized complexity"/>
        <s v="Cross-group directional help-desk"/>
        <s v="Visionary national flexibility"/>
        <s v="Advanced neutral neural-net"/>
        <s v="Reactive zero tolerance frame"/>
        <s v="Organic full-range synergy"/>
        <s v="Mandatory impactful circuit"/>
        <s v="Self-enabling directional throughput"/>
        <s v="Grass-roots motivating functionalities"/>
        <s v="Automated fresh-thinking array"/>
        <s v="Enterprise-wide asynchronous toolset"/>
        <s v="Phased user-facing capability"/>
        <s v="Quality-focused global capacity"/>
        <s v="Multi-channeled global implementation"/>
        <s v="Virtual tangible implementation"/>
        <s v="Extended directional strategy"/>
        <s v="Function-based motivating portal"/>
        <s v="Reduced object-oriented help-desk"/>
        <s v="Function-based contextually-based help-desk"/>
        <s v="Multi-channeled maximized hierarchy"/>
        <s v="Team-oriented directional flexibility"/>
        <s v="Proactive attitude-oriented info-mediaries"/>
        <s v="Public-key incremental model"/>
        <s v="Cross-platform directional knowledgebase"/>
        <s v="Fundamental coherent leverage"/>
        <s v="Visionary holistic groupware"/>
        <s v="Cloned intermediate firmware"/>
        <s v="Stand-alone mission-critical pricing structure"/>
        <s v="Secured 4thgeneration solution"/>
        <s v="Up-sized context-sensitive knowledgebase"/>
        <s v="Virtual bottom-line open system"/>
        <s v="Face-to-face client-server challenge"/>
        <s v="De-engineered heuristic extranet"/>
        <s v="Synergized global instruction set"/>
        <s v="Compatible systematic synergy"/>
        <s v="Implemented actuating complexity"/>
        <s v="Profit-focused user-facing leverage"/>
        <s v="Multi-layered secondary hub"/>
        <s v="Inverse analyzing success"/>
        <s v="Business-focused solution-oriented service-desk"/>
        <s v="Adaptive homogeneous intranet"/>
        <s v="Assimilated heuristic collaboration"/>
        <s v="Optional heuristic help-desk"/>
        <s v="Digitized interactive productivity"/>
        <s v="Multi-layered attitude-oriented productivity"/>
        <s v="Organized secondary synergy"/>
        <s v="Face-to-face object-oriented frame"/>
        <s v="Reactive composite Local Area Network"/>
        <s v="Synergized motivating utilization"/>
        <s v="Extended 24hour leverage"/>
        <s v="Re-contextualized disintermediate support"/>
        <s v="Stand-alone high-level hierarchy"/>
        <s v="Customer-focused directional moratorium"/>
        <s v="Devolved exuding array"/>
        <s v="Multi-lateral grid-enabled standardization"/>
        <s v="Polarized context-sensitive artificial intelligence"/>
        <s v="Realigned coherent project"/>
        <s v="Multi-channeled mobile budgetary management"/>
        <s v="Multi-tiered well-modulated model"/>
        <s v="Progressive intermediate open architecture"/>
        <s v="Grass-roots radical functionalities"/>
        <s v="Configurable leadingedge middleware"/>
        <s v="Intuitive asynchronous knowledgebase"/>
        <s v="Universal impactful conglomeration"/>
        <s v="Profound regional budgetary management"/>
        <s v="Ergonomic analyzing array"/>
        <s v="Persevering asynchronous structure"/>
        <s v="Function-based client-server leverage"/>
        <s v="Exclusive grid-enabled portal"/>
        <s v="Future-proofed static intranet"/>
        <s v="Fully-configurable bi-directional hardware"/>
        <s v="Managed zero tolerance projection"/>
        <s v="Programmable coherent toolset"/>
        <s v="User-friendly bandwidth-monitored core"/>
        <s v="Decentralized systemic orchestration"/>
        <s v="Public-key dynamic infrastructure"/>
        <s v="Proactive bottom-line frame"/>
        <s v="Streamlined bifurcated process improvement"/>
        <s v="Programmable global budgetary management"/>
        <s v="Expanded client-driven time-frame"/>
        <s v="Re-contextualized web-enabled application"/>
        <s v="Universal bottom-line website"/>
        <s v="Robust attitude-oriented hierarchy"/>
        <s v="De-engineered 24hour project"/>
        <s v="Fundamental intermediate matrix"/>
        <s v="Face-to-face dedicated architecture"/>
        <s v="Streamlined logistical portal"/>
        <s v="Business-focused high-level migration"/>
        <s v="Team-oriented logistical encoding"/>
        <s v="Triple-buffered impactful website"/>
        <s v="Configurable explicit architecture"/>
        <s v="Devolved local frame"/>
        <s v="Realigned reciprocal database"/>
        <s v="Future-proofed dynamic approach"/>
        <s v="Inverse high-level software"/>
        <s v="Open-source methodical orchestration"/>
        <s v="Self-enabling multi-tasking process improvement"/>
        <s v="Multi-lateral attitude-oriented standardization"/>
        <s v="Profound multi-tasking encoding"/>
        <s v="Pre-emptive neutral infrastructure"/>
        <s v="Sharable 3rdgeneration synergy"/>
        <s v="Quality-focused incremental hierarchy"/>
        <s v="Cloned radical encoding"/>
        <s v="Persevering background adapter"/>
        <s v="Self-enabling optimizing artificial intelligence"/>
        <s v="Organized mission-critical application"/>
        <s v="Team-oriented next generation artificial intelligence"/>
        <s v="Realigned encompassing paradigm"/>
        <s v="Optional reciprocal methodology"/>
        <s v="Right-sized multi-state customer loyalty"/>
        <s v="Cloned web-enabled hierarchy"/>
        <s v="Programmable intermediate protocol"/>
        <s v="Right-sized well-modulated customer loyalty"/>
        <s v="Proactive systemic complexity"/>
        <s v="Synergistic holistic parallelism"/>
        <s v="Balanced 6thgeneration capacity"/>
        <s v="Business-focused regional focus group"/>
        <s v="User-friendly impactful project"/>
        <s v="Reactive eco-centric attitude"/>
        <s v="Networked modular policy"/>
        <s v="Persistent bi-directional archive"/>
        <s v="Streamlined 24hour application"/>
        <s v="Business-focused 24/7 database"/>
        <s v="Switchable upward-trending encoding"/>
        <s v="Focused analyzing leverage"/>
        <s v="Automated composite pricing structure"/>
        <s v="Profound modular emulation"/>
        <s v="Cross-group stable knowledgebase"/>
        <s v="Stand-alone uniform algorithm"/>
        <s v="Organized web-enabled contingency"/>
        <s v="Robust well-modulated approach"/>
        <s v="Intuitive 24hour help-desk"/>
        <s v="Configurable 6thgeneration Graphic Interface"/>
        <s v="Implemented modular installation"/>
        <s v="Re-contextualized next generation access"/>
        <s v="Multi-lateral full-range alliance"/>
        <s v="Down-sized grid-enabled structure"/>
        <s v="Open-architected secondary project"/>
        <s v="User-friendly disintermediate toolset"/>
        <s v="Cross-group system-worthy workforce"/>
        <s v="Down-sized neutral throughput"/>
        <s v="Function-based next generation productivity"/>
        <s v="Digitized eco-centric challenge"/>
        <s v="Optional next generation attitude"/>
        <s v="Re-contextualized coherent algorithm"/>
        <s v="Public-key client-server Local Area Network"/>
        <s v="Customer-focused multimedia middleware"/>
        <s v="Cloned modular infrastructure"/>
        <s v="Distributed 5thgeneration capability"/>
        <s v="Networked interactive core"/>
        <s v="Public-key object-oriented flexibility"/>
        <s v="Customizable bandwidth-monitored secured line"/>
        <s v="Implemented local workforce"/>
        <s v="Decentralized multimedia database"/>
        <s v="Cross-group motivating capability"/>
        <s v="Optional optimal alliance"/>
        <s v="Polarized intangible functionalities"/>
        <s v="Face-to-face full-range attitude"/>
        <s v="Cloned 24/7 collaboration"/>
        <s v="Reverse-engineered hybrid groupware"/>
        <s v="Synergized web-enabled instruction set"/>
        <s v="Diverse logistical success"/>
        <s v="Operative full-range time-frame"/>
        <s v="User-centric object-oriented standardization"/>
        <s v="Future-proofed system-worthy support"/>
        <s v="Future-proofed high-level throughput"/>
        <s v="Profound 4thgeneration moratorium"/>
        <s v="Seamless systemic flexibility"/>
        <s v="Realigned scalable complexity"/>
        <s v="Phased empowering toolset"/>
        <s v="Persevering neutral website"/>
        <s v="Operative asymmetric moratorium"/>
        <s v="Devolved coherent capability"/>
        <s v="Exclusive neutral function"/>
        <s v="Persistent interactive knowledgebase"/>
        <s v="Integrated demand-driven Graphic Interface"/>
        <s v="Integrated asymmetric encryption"/>
        <s v="Optional clear-thinking Graphic Interface"/>
        <s v="Reactive interactive synergy"/>
        <s v="Customizable systemic website"/>
        <s v="Realigned optimizing knowledgebase"/>
        <s v="Optimized incremental Graphical User Interface"/>
        <s v="Universal cohesive website"/>
        <s v="Automated secondary access"/>
        <s v="Front-line maximized architecture"/>
        <s v="Public-key bottom-line success"/>
        <s v="Fully-configurable contextually-based interface"/>
        <s v="Organized client-server protocol"/>
        <s v="Robust empowering contingency"/>
        <s v="Switchable leadingedge ability"/>
        <s v="Multi-tiered fresh-thinking productivity"/>
        <s v="Universal global intranet"/>
        <s v="Team-oriented context-sensitive parallelism"/>
        <s v="Total real-time intranet"/>
        <s v="Vision-oriented heuristic application"/>
        <s v="Fundamental responsive leverage"/>
        <s v="Customer-focused disintermediate infrastructure"/>
        <s v="Realigned even-keeled interface"/>
        <s v="Re-engineered reciprocal capability"/>
        <s v="Centralized impactful standardization"/>
        <s v="Visionary high-level throughput"/>
        <s v="Reverse-engineered asymmetric parallelism"/>
        <s v="Progressive interactive knowledge user"/>
        <s v="Networked discrete product"/>
        <s v="Advanced bi-directional emulation"/>
        <s v="Profound national software"/>
        <s v="Streamlined demand-driven structure"/>
        <s v="Profound encompassing instruction set"/>
        <s v="Mandatory scalable matrices"/>
        <s v="Synchronized motivating artificial intelligence"/>
        <s v="Total zero tolerance middleware"/>
        <s v="Future-proofed composite time-frame"/>
        <s v="Visionary fault-tolerant time-frame"/>
        <s v="Universal next generation analyzer"/>
        <s v="Streamlined multi-tasking matrix"/>
        <s v="Cross-platform analyzing open system"/>
        <s v="Organic local Local Area Network"/>
        <s v="Assimilated encompassing project"/>
        <s v="Digitized optimizing interface"/>
        <s v="Expanded neutral functionalities"/>
        <s v="Assimilated content-based standardization"/>
        <s v="Universal executive encoding"/>
        <s v="User-friendly tangible focus group"/>
        <s v="Centralized static complexity"/>
        <s v="Synchronized systematic system engine"/>
        <s v="Diverse modular encoding"/>
        <s v="Inverse value-added website"/>
        <s v="Compatible 24/7 database"/>
        <s v="Enterprise-wide reciprocal capacity"/>
        <s v="Customer-focused analyzing time-frame"/>
        <s v="Digitized bottom-line array"/>
        <s v="Right-sized needs-based system engine"/>
        <s v="Compatible tertiary monitoring"/>
        <s v="Optimized fault-tolerant adapter"/>
        <s v="Grass-roots contextually-based database"/>
        <s v="Optional 6thgeneration definition"/>
        <s v="De-engineered system-worthy capability"/>
        <s v="Total leadingedge orchestration"/>
        <s v="Down-sized multi-state workforce"/>
        <s v="Focused systematic archive"/>
        <s v="Decentralized holistic throughput"/>
        <s v="Ergonomic background firmware"/>
        <s v="Multi-channeled bandwidth-monitored workforce"/>
        <s v="User-friendly analyzing neural-net"/>
        <s v="Configurable fault-tolerant toolset"/>
        <s v="Virtual contextually-based analyzer"/>
        <s v="Open-architected eco-centric forecast"/>
        <s v="Organic secondary strategy"/>
        <s v="Centralized cohesive circuit"/>
        <s v="Assimilated local portal"/>
        <s v="Ameliorated object-oriented collaboration"/>
        <s v="Focused bifurcated leverage"/>
        <s v="Optional holistic productivity"/>
        <s v="De-engineered attitude-oriented leverage"/>
        <s v="Down-sized 24/7 capability"/>
        <s v="Horizontal executive focus group"/>
        <s v="Monitored client-server hardware"/>
        <s v="Persevering 6thgeneration productivity"/>
        <s v="Advanced value-added migration"/>
        <s v="Enterprise-wide impactful functionalities"/>
        <s v="Secured 5thgeneration open system"/>
        <s v="Profound multi-state leverage"/>
        <s v="Phased client-driven customer loyalty"/>
        <s v="Programmable analyzing approach"/>
        <s v="Adaptive content-based open system"/>
        <s v="Total modular database"/>
        <s v="Virtual non-volatile function"/>
        <s v="Exclusive secondary installation"/>
        <s v="Face-to-face modular customer loyalty"/>
        <s v="Synchronized modular adapter"/>
        <s v="Self-enabling optimal hierarchy"/>
        <s v="Persistent non-volatile knowledge user"/>
        <s v="Open-architected national software"/>
        <s v="Ameliorated web-enabled pricing structure"/>
        <s v="Focused fresh-thinking framework"/>
        <s v="Quality-focused even-keeled functionalities"/>
        <s v="Devolved even-keeled contingency"/>
        <s v="Optional local capacity"/>
        <s v="Total fresh-thinking orchestration"/>
        <s v="Profound disintermediate leverage"/>
        <s v="Business-focused logistical adapter"/>
        <s v="Multi-channeled maximized utilization"/>
        <s v="Extended asynchronous time-frame"/>
        <s v="Future-proofed fault-tolerant orchestration"/>
        <s v="Object-based homogeneous policy"/>
        <s v="Total grid-enabled Graphical User Interface"/>
        <s v="Upgradable grid-enabled database"/>
        <s v="Organic object-oriented interface"/>
        <s v="Optimized systemic superstructure"/>
        <s v="Profound asynchronous help-desk"/>
        <s v="Self-enabling composite challenge"/>
        <s v="Diverse tertiary flexibility"/>
        <s v="Multi-layered contextually-based help-desk"/>
        <s v="Sharable clear-thinking strategy"/>
        <s v="Open-source empowering system engine"/>
        <s v="Advanced maximized implementation"/>
        <s v="De-engineered value-added workforce"/>
        <s v="Cross-group secondary portal"/>
        <s v="Progressive national methodology"/>
        <s v="User-centric client-driven hierarchy"/>
        <s v="Visionary dynamic capacity"/>
        <s v="Mandatory maximized archive"/>
        <s v="Operative next generation approach"/>
        <s v="De-engineered dynamic task-force"/>
        <s v="Seamless homogeneous methodology"/>
        <s v="Enterprise-wide static collaboration"/>
        <s v="User-centric transitional help-desk"/>
        <s v="Automated asynchronous emulation"/>
        <s v="Proactive discrete architecture"/>
        <s v="Reduced discrete customer loyalty"/>
        <s v="Ergonomic bifurcated framework"/>
        <s v="Seamless transitional paradigm"/>
        <s v="Decentralized optimal toolset"/>
        <s v="Balanced intangible secured line"/>
        <s v="Total 5thgeneration conglomeration"/>
        <s v="Quality-focused multi-state solution"/>
        <s v="Decentralized interactive policy"/>
        <s v="Upgradable high-level installation"/>
        <s v="Reverse-engineered 24hour project"/>
        <s v="Cloned object-oriented algorithm"/>
        <s v="Persistent bottom-line capability"/>
        <s v="Phased homogeneous initiative"/>
        <s v="Realigned executive website"/>
        <s v="Fully-configurable uniform software"/>
        <s v="Organized client-driven approach"/>
        <s v="Optimized static website"/>
        <s v="Customer-focused demand-driven moderator"/>
        <s v="Devolved real-time process improvement"/>
        <s v="Implemented global time-frame"/>
        <s v="Assimilated analyzing function"/>
        <s v="Sharable national Local Area Network"/>
        <s v="Streamlined clear-thinking groupware"/>
        <s v="Face-to-face 24hour open system"/>
        <s v="Profit-focused fault-tolerant flexibility"/>
        <s v="De-engineered eco-centric architecture"/>
        <s v="Multi-tiered multi-state task-force"/>
        <s v="Managed composite array"/>
        <s v="Down-sized bandwidth-monitored architecture"/>
        <s v="Virtual foreground conglomeration"/>
        <s v="User-friendly 4thgeneration encryption"/>
        <s v="Mandatory eco-centric matrix"/>
        <s v="Distributed grid-enabled algorithm"/>
        <s v="Function-based local framework"/>
        <s v="Upgradable 24/7 contingency"/>
        <s v="Open-architected bi-directional installation"/>
        <s v="Horizontal 24hour product"/>
        <s v="Up-sized neutral framework"/>
        <s v="Enterprise-wide impactful strategy"/>
        <s v="Decentralized intangible array"/>
        <s v="Proactive empowering contingency"/>
        <s v="Integrated national service-desk"/>
        <s v="Public-key global installation"/>
        <s v="Open-architected discrete structure"/>
        <s v="Function-based optimizing Local Area Network"/>
        <s v="Multi-layered local workforce"/>
        <s v="Intuitive even-keeled project"/>
        <s v="Organized content-based algorithm"/>
        <s v="Profound heuristic Internet solution"/>
        <s v="Grass-roots explicit alliance"/>
        <s v="Function-based intermediate knowledgebase"/>
        <s v="Optional methodical parallelism"/>
        <s v="Secured 24hour circuit"/>
        <s v="Fully-configurable object-oriented data-warehouse"/>
        <s v="Open-architected solution-oriented artificial intelligence"/>
        <s v="Monitored executive extranet"/>
        <s v="Exclusive fresh-thinking model"/>
        <s v="Versatile bifurcated open architecture"/>
        <s v="Grass-roots next generation process improvement"/>
        <s v="Sharable national installation"/>
        <s v="Horizontal bifurcated methodology"/>
        <s v="Compatible non-volatile middleware"/>
        <s v="Operative client-driven process improvement"/>
        <s v="User-centric context-sensitive approach"/>
        <s v="Public-key hybrid hub"/>
        <s v="Diverse 24hour forecast"/>
        <s v="Digitized bi-directional Local Area Network"/>
        <s v="Pre-emptive scalable installation"/>
        <s v="Optimized transitional collaboration"/>
        <s v="Cross-group next generation alliance"/>
        <s v="Networked composite encryption"/>
        <s v="Vision-oriented 24/7 database"/>
        <s v="Managed interactive emulation"/>
        <s v="Stand-alone systemic knowledge user"/>
        <s v="Up-sized demand-driven ability"/>
        <s v="Implemented background process improvement"/>
        <s v="Mandatory object-oriented challenge"/>
        <s v="User-friendly bifurcated hardware"/>
        <s v="Mandatory object-oriented synergy"/>
        <s v="Integrated real-time moratorium"/>
        <s v="Multi-channeled fresh-thinking concept"/>
        <s v="Focused user-facing archive"/>
        <s v="Focused next generation approach"/>
        <s v="Inverse 24hour array"/>
        <s v="Mandatory national hierarchy"/>
        <s v="Mandatory secondary extranet"/>
        <s v="Diverse homogeneous emulation"/>
        <s v="Customizable empowering policy"/>
        <s v="Centralized regional database"/>
        <s v="Digitized 5thgeneration support"/>
        <s v="Customer-focused context-sensitive definition"/>
        <s v="Reduced asynchronous product"/>
        <s v="Function-based eco-centric initiative"/>
        <s v="Cloned tertiary hardware"/>
        <s v="Assimilated bi-directional matrix"/>
        <s v="Quality-focused transitional synergy"/>
        <s v="Expanded neutral strategy"/>
        <s v="Multi-tiered systemic archive"/>
        <s v="Reverse-engineered zero administration hub"/>
        <s v="Persevering fault-tolerant matrices"/>
        <s v="Inverse optimal throughput"/>
        <s v="Ergonomic stable middleware"/>
        <s v="User-friendly background core"/>
        <s v="Extended static instruction set"/>
        <s v="Ameliorated non-volatile open architecture"/>
        <s v="Multi-tiered full-range extranet"/>
        <s v="Team-oriented fresh-thinking ability"/>
        <s v="Vision-oriented intangible focus group"/>
        <s v="Down-sized asynchronous functionalities"/>
        <s v="Proactive global parallelism"/>
        <s v="Implemented actuating website"/>
        <s v="Expanded high-level help-desk"/>
        <s v="Persevering 3rdgeneration firmware"/>
        <s v="Digitized holistic strategy"/>
        <s v="Reactive heuristic knowledge user"/>
        <s v="Organized static analyzer"/>
        <s v="Integrated exuding matrix"/>
        <s v="Re-engineered responsive function"/>
        <s v="Extended real-time hierarchy"/>
        <s v="Right-sized local application"/>
        <s v="Open-architected 24hour customer loyalty"/>
        <s v="Monitored composite artificial intelligence"/>
        <s v="Ameliorated discrete help-desk"/>
        <s v="Reduced bi-directional artificial intelligence"/>
        <s v="Multi-lateral content-based Graphical User Interface"/>
        <s v="Visionary disintermediate contingency"/>
        <s v="Persevering dynamic success"/>
        <s v="Extended radical ability"/>
        <s v="Open-source 24/7 definition"/>
        <s v="Reverse-engineered optimal model"/>
        <s v="User-centric asymmetric website"/>
        <s v="Visionary zero administration throughput"/>
        <s v="Persevering well-modulated function"/>
        <s v="Cross-platform eco-centric groupware"/>
        <s v="Automated mobile capability"/>
        <s v="Customer-focused interactive knowledge user"/>
        <s v="Operative responsive support"/>
        <s v="Down-sized homogeneous concept"/>
        <s v="Monitored web-enabled attitude"/>
        <s v="Focused solution-oriented algorithm"/>
        <s v="Organic object-oriented groupware"/>
        <s v="Ergonomic system-worthy installation"/>
        <s v="Self-enabling demand-driven system engine"/>
        <s v="Virtual bandwidth-monitored standardization"/>
        <s v="Digitized fresh-thinking open architecture"/>
        <s v="Organic empowering contingency"/>
        <s v="Stand-alone optimal challenge"/>
        <s v="Down-sized 4thgeneration middleware"/>
        <s v="Seamless next generation budgetary management"/>
        <s v="Open-source real-time open architecture"/>
        <s v="Right-sized eco-centric extranet"/>
        <s v="De-engineered scalable project"/>
        <s v="Sharable stable approach"/>
        <s v="Enterprise-wide zero administration firmware"/>
        <s v="Up-sized 5thgeneration info-mediaries"/>
        <s v="Team-oriented client-driven framework"/>
        <s v="Pre-emptive hybrid productivity"/>
        <s v="Triple-buffered directional interface"/>
        <s v="Operative explicit strategy"/>
        <s v="Innovative composite open system"/>
        <s v="Vision-oriented zero tolerance leverage"/>
        <s v="Compatible logistical circuit"/>
        <s v="Cross-group stable framework"/>
        <s v="Mandatory local circuit"/>
        <s v="Persistent explicit application"/>
        <s v="Distributed systemic synergy"/>
        <s v="Fully-configurable client-server service-desk"/>
        <s v="User-centric 24/7 capability"/>
        <s v="Synchronized mobile data-warehouse"/>
        <s v="Ameliorated mobile encryption"/>
        <s v="Realigned incremental policy"/>
        <s v="Streamlined dynamic infrastructure"/>
        <s v="Adaptive demand-driven infrastructure"/>
        <s v="Synergistic object-oriented synergy"/>
        <s v="Phased bandwidth-monitored functionalities"/>
        <s v="Progressive optimizing definition"/>
        <s v="Stand-alone incremental instruction set"/>
        <s v="Cross-platform clear-thinking data-warehouse"/>
        <s v="Focused empowering middleware"/>
        <s v="Enhanced bottom-line approach"/>
        <s v="Progressive client-server instruction set"/>
        <s v="Phased fresh-thinking help-desk"/>
        <s v="Inverse even-keeled help-desk"/>
        <s v="De-engineered radical instruction set"/>
        <s v="Ergonomic logistical secured line"/>
        <s v="De-engineered incremental neural-net"/>
        <s v="Open-architected coherent task-force"/>
        <s v="Grass-roots 24hour ability"/>
        <s v="Operative value-added solution"/>
        <s v="Advanced 5thgeneration intranet"/>
        <s v="Distributed 24hour model"/>
        <s v="Self-enabling foreground encoding"/>
        <s v="Stand-alone systematic intranet"/>
        <s v="Grass-roots modular extranet"/>
        <s v="Open-architected national instruction set"/>
        <s v="Synergistic intermediate secured line"/>
        <s v="Persevering motivating service-desk"/>
        <s v="Pre-emptive impactful infrastructure"/>
        <s v="Reverse-engineered zero tolerance instruction set"/>
        <s v="De-engineered system-worthy throughput"/>
        <s v="Automated bandwidth-monitored hub"/>
        <s v="Face-to-face mobile protocol"/>
        <s v="De-engineered fault-tolerant throughput"/>
        <s v="Progressive 6thgeneration strategy"/>
        <s v="Progressive coherent matrix"/>
        <s v="Reduced empowering system engine"/>
        <s v="Face-to-face bi-directional benchmark"/>
        <s v="Versatile bottom-line initiative"/>
        <s v="Ameliorated optimal time-frame"/>
        <s v="Versatile radical algorithm"/>
        <s v="User-friendly national customer loyalty"/>
        <s v="Integrated 6thgeneration alliance"/>
        <s v="Secured exuding hardware"/>
        <s v="Optional zero-defect installation"/>
        <s v="Versatile stable definition"/>
        <s v="Implemented even-keeled monitoring"/>
        <s v="Horizontal zero-defect success"/>
        <s v="Open-source actuating flexibility"/>
        <s v="Multi-lateral attitude-oriented alliance"/>
        <s v="Multi-tiered object-oriented Internet solution"/>
        <s v="Ameliorated client-server data-warehouse"/>
        <s v="Synchronized needs-based capability"/>
        <s v="Programmable context-sensitive architecture"/>
        <s v="Business-focused user-facing benchmark"/>
        <s v="Cross-group multimedia matrix"/>
        <s v="User-centric eco-centric open architecture"/>
        <s v="Cloned impactful Local Area Network"/>
        <s v="Digitized content-based Internet solution"/>
        <s v="Upgradable bi-directional initiative"/>
        <s v="Switchable bandwidth-monitored hub"/>
        <s v="Open-architected object-oriented knowledge user"/>
        <s v="Cross-group non-volatile migration"/>
        <s v="Face-to-face modular parallelism"/>
        <s v="Future-proofed dynamic help-desk"/>
        <s v="Reduced secondary framework"/>
        <s v="Team-oriented web-enabled leverage"/>
        <s v="Cross-platform motivating extranet"/>
        <s v="Quality-focused real-time matrices"/>
        <s v="Multi-layered foreground access"/>
        <s v="Centralized object-oriented function"/>
        <s v="Right-sized zero-defect emulation"/>
        <s v="Open-source executive solution"/>
        <s v="Cross-platform logistical application"/>
        <s v="Horizontal contextually-based flexibility"/>
        <s v="Ergonomic dedicated encryption"/>
        <s v="Mandatory disintermediate middleware"/>
        <s v="Advanced mobile installation"/>
        <s v="Streamlined mission-critical structure"/>
        <s v="Advanced analyzing algorithm"/>
        <s v="Public-key bandwidth-monitored service-desk"/>
        <s v="Right-sized upward-trending open system"/>
        <s v="Devolved contextually-based architecture"/>
        <s v="Switchable uniform budgetary management"/>
        <s v="Extended hybrid support"/>
        <s v="Self-enabling impactful ability"/>
        <s v="Robust grid-enabled website"/>
        <s v="Profound holistic knowledgebase"/>
        <s v="Upgradable well-modulated extranet"/>
        <s v="Centralized multimedia process improvement"/>
        <s v="Right-sized 3rdgeneration support"/>
        <s v="Assimilated local paradigm"/>
        <s v="Configurable solution-oriented product"/>
        <s v="Re-contextualized optimizing website"/>
        <s v="Business-focused maximized artificial intelligence"/>
        <s v="Proactive interactive implementation"/>
        <s v="Customer-focused national initiative"/>
        <s v="Virtual attitude-oriented archive"/>
        <s v="Networked background knowledgebase"/>
        <s v="Business-focused tangible database"/>
        <s v="Profound high-level encoding"/>
        <s v="Decentralized directional ability"/>
        <s v="Stand-alone web-enabled parallelism"/>
        <s v="Implemented directional secured line"/>
        <s v="Configurable logistical orchestration"/>
        <s v="User-friendly zero tolerance structure"/>
        <s v="Triple-buffered content-based algorithm"/>
        <s v="Business-focused hybrid productivity"/>
        <s v="Distributed content-based pricing structure"/>
        <s v="Focused incremental structure"/>
        <s v="Persistent optimal software"/>
        <s v="Exclusive intangible algorithm"/>
        <s v="Compatible heuristic capacity"/>
        <s v="User-centric neutral paradigm"/>
        <s v="Managed hybrid parallelism"/>
        <s v="Polarized impactful moratorium"/>
        <s v="Front-line human-resource solution"/>
        <s v="Managed next generation focus group"/>
        <s v="Organized content-based architecture"/>
        <s v="Function-based systematic benchmark"/>
        <s v="Visionary modular attitude"/>
        <s v="User-friendly asynchronous paradigm"/>
        <s v="User-centric zero tolerance collaboration"/>
        <s v="Polarized holistic data-warehouse"/>
        <s v="Upgradable directional firmware"/>
        <s v="Compatible directional concept"/>
        <s v="Business-focused global projection"/>
        <s v="Enterprise-wide tertiary collaboration"/>
        <s v="Multi-channeled optimal core"/>
        <s v="Robust 24/7 website"/>
        <s v="Inverse holistic utilization"/>
        <s v="Innovative tertiary structure"/>
        <s v="Compatible intangible workforce"/>
        <s v="Realigned web-enabled algorithm"/>
        <s v="Adaptive tangible installation"/>
        <s v="Digitized exuding support"/>
        <s v="De-engineered tangible migration"/>
        <s v="Front-line global focus group"/>
        <s v="Function-based even-keeled algorithm"/>
        <s v="Automated asynchronous model"/>
        <s v="Fundamental homogeneous ability"/>
        <s v="Synergized user-facing emulation"/>
        <s v="Organic bottom-line adapter"/>
        <s v="Secured executive complexity"/>
        <s v="Grass-roots intermediate alliance"/>
        <s v="Balanced upward-trending alliance"/>
        <s v="Quality-focused upward-trending project"/>
        <s v="Customer-focused bottom-line benchmark"/>
        <s v="Robust scalable initiative"/>
        <s v="Persevering stable access"/>
        <s v="Multi-lateral executive strategy"/>
        <s v="Team-oriented context-sensitive interface"/>
        <s v="Assimilated client-driven functionalities"/>
        <s v="Proactive solution-oriented standardization"/>
        <s v="Pre-emptive context-sensitive utilization"/>
        <s v="Seamless 24hour contingency"/>
        <s v="Progressive directional customer loyalty"/>
        <s v="Vision-oriented global infrastructure"/>
        <s v="Centralized asymmetric system engine"/>
        <s v="Right-sized optimizing moratorium"/>
        <s v="Centralized fresh-thinking neural-net"/>
        <s v="Switchable client-server open system"/>
        <s v="Stand-alone tangible protocol"/>
        <s v="Expanded real-time function"/>
        <s v="De-engineered 24/7 analyzer"/>
        <s v="Virtual non-volatile productivity"/>
        <s v="Re-contextualized content-based leverage"/>
        <s v="Reactive upward-trending success"/>
        <s v="User-friendly full-range toolset"/>
        <s v="Face-to-face responsive system engine"/>
        <s v="Horizontal static approach"/>
        <s v="Re-contextualized coherent hardware"/>
        <s v="Phased object-oriented focus group"/>
        <s v="Realigned value-added task-force"/>
        <s v="Adaptive homogeneous data-warehouse"/>
        <s v="Seamless responsive leverage"/>
        <s v="Cross-group regional Local Area Network"/>
        <s v="Open-architected human-resource capability"/>
        <s v="Multi-lateral intermediate database"/>
        <s v="Open-source holistic array"/>
        <s v="Quality-focused systemic contingency"/>
        <s v="Centralized transitional focus group"/>
        <s v="Innovative 4thgeneration archive"/>
        <s v="Digitized composite pricing structure"/>
        <s v="Realigned coherent utilization"/>
        <s v="Configurable empowering data-warehouse"/>
        <s v="Sharable demand-driven strategy"/>
        <s v="Multi-layered global algorithm"/>
        <s v="Customizable value-added attitude"/>
        <s v="Multi-lateral encompassing info-mediaries"/>
        <s v="Polarized tangible open architecture"/>
        <s v="Customizable attitude-oriented support"/>
        <s v="Synchronized disintermediate function"/>
        <s v="Phased systemic matrices"/>
        <s v="Robust even-keeled task-force"/>
        <s v="Reverse-engineered incremental neural-net"/>
        <s v="User-centric encompassing interface"/>
        <s v="Customizable asymmetric framework"/>
        <s v="Total optimal emulation"/>
        <s v="Business-focused well-modulated frame"/>
        <s v="Fundamental executive time-frame"/>
        <s v="Enhanced fault-tolerant budgetary management"/>
        <s v="Cross-group regional moratorium"/>
        <s v="Compatible neutral projection"/>
        <s v="Enhanced upward-trending hierarchy"/>
        <s v="Down-sized disintermediate pricing structure"/>
        <s v="User-friendly 6thgeneration protocol"/>
        <s v="Object-based local software"/>
        <s v="Open-architected explicit time-frame"/>
        <s v="Polarized multimedia interface"/>
        <s v="Profit-focused even-keeled flexibility"/>
        <s v="Organic bifurcated ability"/>
        <s v="Vision-oriented coherent function"/>
        <s v="Balanced responsive instruction set"/>
        <s v="Expanded explicit migration"/>
        <s v="Virtual secondary productivity"/>
        <s v="Customer-focused real-time Local Area Network"/>
        <s v="Customer-focused 4thgeneration projection"/>
        <s v="Mandatory background toolset"/>
        <s v="Synergistic logistical productivity"/>
        <s v="Face-to-face foreground open architecture"/>
        <s v="Multi-channeled national circuit"/>
        <s v="Front-line clear-thinking focus group"/>
        <s v="Grass-roots empowering open architecture"/>
        <s v="Cross-platform mobile instruction set"/>
        <s v="Innovative system-worthy data-warehouse"/>
        <s v="Stand-alone bi-directional Graphical User Interface"/>
        <s v="Persistent dynamic Internet solution"/>
        <s v="Upgradable incremental groupware"/>
        <s v="Customer-focused tangible capability"/>
        <s v="Cloned global Internet solution"/>
        <s v="Face-to-face clear-thinking functionalities"/>
        <s v="Balanced mobile strategy"/>
        <s v="Configurable upward-trending process improvement"/>
        <s v="Synergistic impactful synergy"/>
        <s v="Optional hybrid contingency"/>
        <s v="Fundamental foreground open architecture"/>
        <s v="Monitored optimal access"/>
        <s v="Business-focused 4thgeneration definition"/>
        <s v="Automated transitional monitoring"/>
        <s v="Synchronized static productivity"/>
        <s v="Reactive value-added archive"/>
        <s v="Configurable directional matrices"/>
        <s v="Open-source didactic infrastructure"/>
        <s v="Proactive asymmetric application"/>
        <s v="Business-focused reciprocal adapter"/>
        <s v="User-friendly upward-trending migration"/>
        <s v="Reduced static groupware"/>
        <s v="Programmable asynchronous help-desk"/>
        <s v="Automated uniform forecast"/>
        <s v="Multi-lateral bifurcated complexity"/>
        <s v="Object-based static projection"/>
        <s v="Vision-oriented attitude-oriented forecast"/>
        <s v="Multi-channeled homogeneous customer loyalty"/>
        <s v="Balanced local moratorium"/>
        <s v="Reverse-engineered well-modulated process improvement"/>
        <s v="Horizontal executive productivity"/>
        <s v="Enterprise-wide multi-state artificial intelligence"/>
        <s v="Proactive content-based matrix"/>
        <s v="Multi-layered multi-state intranet"/>
        <s v="Centralized real-time matrix"/>
        <s v="Re-contextualized coherent groupware"/>
        <s v="Face-to-face systematic implementation"/>
        <s v="Exclusive dedicated customer loyalty"/>
        <s v="Upgradable optimal service-desk"/>
        <s v="User-centric cohesive data-warehouse"/>
        <s v="Future-proofed solution-oriented paradigm"/>
        <s v="Cross-group mission-critical workforce"/>
        <s v="Visionary maximized monitoring"/>
        <s v="Balanced dynamic implementation"/>
        <s v="Function-based heuristic system engine"/>
        <s v="Re-contextualized zero-defect core"/>
        <s v="Organized incremental groupware"/>
        <s v="Stand-alone content-based application"/>
        <s v="De-engineered dedicated utilization"/>
        <s v="Operative actuating process improvement"/>
        <s v="Balanced non-volatile flexibility"/>
        <s v="Configurable composite open architecture"/>
        <s v="Organized reciprocal hardware"/>
        <s v="Automated tertiary benchmark"/>
        <s v="Visionary grid-enabled task-force"/>
        <s v="Persistent clear-thinking solution"/>
        <s v="Intuitive optimizing circuit"/>
        <s v="Implemented zero tolerance leverage"/>
        <s v="Streamlined optimizing leverage"/>
        <s v="Customer-focused coherent standardization"/>
        <s v="Fully-configurable heuristic hardware"/>
        <s v="Persistent optimal encoding"/>
        <s v="Profound exuding secured line"/>
        <s v="Decentralized motivating framework"/>
        <s v="Innovative transitional infrastructure"/>
        <s v="Reduced contextually-based forecast"/>
        <s v="Decentralized scalable software"/>
        <s v="Face-to-face demand-driven toolset"/>
        <s v="Horizontal disintermediate algorithm"/>
        <s v="Multi-lateral asymmetric Local Area Network"/>
        <s v="Public-key demand-driven migration"/>
        <s v="Enterprise-wide solution-oriented customer loyalty"/>
        <s v="Exclusive well-modulated policy"/>
        <s v="Re-contextualized multi-state challenge"/>
        <s v="Total dynamic middleware"/>
        <s v="Exclusive optimizing emulation"/>
        <s v="Re-engineered tertiary core"/>
        <s v="Optimized optimizing contingency"/>
        <s v="Up-sized mobile archive"/>
        <s v="Decentralized didactic website"/>
        <s v="Universal actuating Graphic Interface"/>
        <s v="Organized 4thgeneration database"/>
        <s v="Cross-group leadingedge migration"/>
        <s v="Intuitive high-level adapter"/>
        <s v="Seamless web-enabled projection"/>
        <s v="Upgradable local solution"/>
        <s v="Cloned didactic software"/>
        <s v="Diverse client-driven initiative"/>
        <s v="Virtual optimal initiative"/>
        <s v="Open-architected reciprocal installation"/>
        <s v="Focused systematic success"/>
        <s v="Profound foreground initiative"/>
        <s v="Expanded background matrices"/>
        <s v="Synchronized dedicated contingency"/>
        <s v="Implemented next generation hierarchy"/>
        <s v="Cross-platform interactive functionalities"/>
        <s v="Reactive directional middleware"/>
        <s v="Intuitive incremental standardization"/>
        <s v="Object-based disintermediate data-warehouse"/>
        <s v="Assimilated attitude-oriented customer loyalty"/>
        <s v="Decentralized bottom-line neural-net"/>
        <s v="Persevering demand-driven approach"/>
        <s v="Triple-buffered background methodology"/>
        <s v="Organic high-level hardware"/>
        <s v="Multi-layered optimizing protocol"/>
        <s v="Open-architected even-keeled conglomeration"/>
        <s v="Switchable holistic success"/>
        <s v="Object-based responsive structure"/>
        <s v="Reduced secondary productivity"/>
        <s v="Up-sized disintermediate ability"/>
        <s v="Distributed reciprocal superstructure"/>
        <s v="Synergistic executive secured line"/>
        <s v="Up-sized methodical intranet"/>
        <s v="Inverse motivating system engine"/>
        <s v="Cloned client-server focus group"/>
        <s v="Switchable solution-oriented Internet solution"/>
        <s v="Grass-roots holistic conglomeration"/>
        <s v="Stand-alone bottom-line process improvement"/>
        <s v="Synergized well-modulated forecast"/>
        <s v="Cross-platform homogeneous info-mediaries"/>
        <s v="Proactive logistical help-desk"/>
        <s v="Multi-lateral logistical archive"/>
        <s v="Ergonomic real-time productivity"/>
        <s v="Open-source intangible archive"/>
        <s v="Self-enabling object-oriented solution"/>
        <s v="Up-sized methodical Local Area Network"/>
        <s v="Phased executive info-mediaries"/>
        <s v="Multi-tiered bi-directional definition"/>
        <s v="Programmable client-server toolset"/>
        <s v="Cross-platform stable alliance"/>
        <s v="Decentralized needs-based open system"/>
        <s v="Optimized motivating hardware"/>
        <s v="Down-sized multi-state complexity"/>
        <s v="Ergonomic dedicated leverage"/>
        <s v="Operative value-added budgetary management"/>
        <s v="Enterprise-wide demand-driven migration"/>
        <s v="Public-key optimizing extranet"/>
        <s v="Robust 6thgeneration standardization"/>
        <s v="Intuitive human-resource Local Area Network"/>
        <s v="Balanced fault-tolerant Local Area Network"/>
        <s v="Front-line intermediate initiative"/>
        <s v="Inverse 4thgeneration portal"/>
        <s v="Distributed real-time instruction set"/>
        <s v="Business-focused eco-centric groupware"/>
        <s v="Re-contextualized explicit emulation"/>
        <s v="Open-architected systemic solution"/>
        <s v="Robust fault-tolerant knowledgebase"/>
        <s v="Customer-focused neutral service-desk"/>
        <s v="Profound motivating time-frame"/>
        <s v="Distributed 24/7 strategy"/>
        <s v="Switchable interactive analyzer"/>
        <s v="Multi-tiered context-sensitive budgetary management"/>
        <s v="Configurable system-worthy leverage"/>
        <s v="Cloned client-server protocol"/>
        <s v="Switchable zero tolerance time-frame"/>
        <s v="Streamlined interactive artificial intelligence"/>
        <s v="Universal fresh-thinking groupware"/>
        <s v="Optional exuding definition"/>
        <s v="Distributed dynamic circuit"/>
        <s v="Cross-platform next generation architecture"/>
        <s v="Organized human-resource throughput"/>
        <s v="Automated foreground moratorium"/>
        <s v="Triple-buffered demand-driven conglomeration"/>
        <s v="Future-proofed even-keeled data-warehouse"/>
        <s v="Reverse-engineered bifurcated collaboration"/>
        <s v="Robust grid-enabled alliance"/>
        <s v="Multi-layered next generation encoding"/>
        <s v="Proactive attitude-oriented complexity"/>
        <s v="Assimilated 24/7 solution"/>
        <s v="Business-focused local website"/>
        <s v="Managed 6thgeneration utilization"/>
        <s v="Down-sized system-worthy productivity"/>
        <s v="Operative leadingedge frame"/>
        <s v="Digitized full-range pricing structure"/>
        <s v="Self-enabling uniform projection"/>
        <s v="Up-sized grid-enabled hierarchy"/>
        <s v="Mandatory user-facing knowledgebase"/>
        <s v="Enterprise-wide bi-directional frame"/>
        <s v="Decentralized object-oriented secured line"/>
        <s v="Integrated high-level complexity"/>
        <s v="Up-sized object-oriented open architecture"/>
        <s v="User-friendly contextually-based installation"/>
        <s v="Proactive non-volatile time-frame"/>
        <s v="Customizable even-keeled throughput"/>
        <s v="Multi-channeled motivating toolset"/>
        <s v="Operative full-range service-desk"/>
        <s v="Multi-channeled composite knowledge user"/>
        <s v="Robust bifurcated methodology"/>
        <s v="Focused stable flexibility"/>
        <s v="Down-sized discrete hardware"/>
        <s v="Right-sized tangible info-mediaries"/>
        <s v="Reverse-engineered 24hour frame"/>
        <s v="Phased analyzing Graphic Interface"/>
        <s v="Grass-roots asynchronous middleware"/>
        <s v="Persistent heuristic complexity"/>
        <s v="Re-engineered disintermediate moratorium"/>
        <s v="User-friendly didactic complexity"/>
        <s v="Object-based scalable focus group"/>
        <s v="Synergistic scalable database"/>
        <s v="Networked modular support"/>
        <s v="Reverse-engineered bi-directional capability"/>
        <s v="Team-oriented radical projection"/>
        <s v="Business-focused bottom-line hierarchy"/>
        <s v="Synergized cohesive adapter"/>
        <s v="Mandatory uniform orchestration"/>
        <s v="Grass-roots empowering Local Area Network"/>
        <s v="Face-to-face neutral artificial intelligence"/>
        <s v="Organic needs-based Local Area Network"/>
        <s v="Inverse bifurcated Graphical User Interface"/>
        <s v="Inverse mission-critical moderator"/>
        <s v="Distributed directional challenge"/>
        <s v="Cloned object-oriented framework"/>
        <s v="Enhanced bandwidth-monitored forecast"/>
        <s v="Adaptive bandwidth-monitored workforce"/>
        <s v="Cross-platform demand-driven support"/>
        <s v="Monitored composite array"/>
        <s v="Enterprise-wide hybrid budgetary management"/>
        <s v="Programmable eco-centric open system"/>
        <s v="Profit-focused eco-centric toolset"/>
        <s v="Customizable regional support"/>
        <s v="Re-contextualized bi-directional matrix"/>
        <s v="Public-key bottom-line service-desk"/>
        <s v="Programmable static extranet"/>
        <s v="Assimilated impactful functionalities"/>
        <s v="Robust foreground focus group"/>
        <s v="Fully-configurable systemic productivity"/>
        <s v="Phased clear-thinking firmware"/>
        <s v="Future-proofed responsive contingency"/>
        <s v="Mandatory zero-defect structure"/>
        <s v="Mandatory secondary benchmark"/>
        <s v="Cross-group impactful firmware"/>
        <s v="Down-sized asymmetric core"/>
        <s v="Advanced multi-tasking concept"/>
        <s v="Decentralized modular intranet"/>
        <s v="Persevering stable hub"/>
        <s v="Focused needs-based algorithm"/>
        <s v="Horizontal even-keeled orchestration"/>
        <s v="Monitored reciprocal project"/>
        <s v="Pre-emptive modular infrastructure"/>
        <s v="Innovative static infrastructure"/>
        <s v="Monitored multimedia circuit"/>
        <s v="Extended discrete encoding"/>
        <s v="Ameliorated full-range architecture"/>
        <s v="Configurable fault-tolerant throughput"/>
        <s v="User-friendly global policy"/>
        <s v="Reduced regional artificial intelligence"/>
        <s v="Open-architected fault-tolerant parallelism"/>
        <s v="Balanced background adapter"/>
        <s v="Diverse encompassing time-frame"/>
        <s v="Operative coherent model"/>
        <s v="Organic fresh-thinking policy"/>
        <s v="Upgradable modular access"/>
        <s v="Seamless directional monitoring"/>
        <s v="Monitored needs-based software"/>
        <s v="Multi-lateral high-level infrastructure"/>
        <s v="Business-focused tertiary architecture"/>
        <s v="Reduced attitude-oriented pricing structure"/>
        <s v="Configurable fresh-thinking synergy"/>
        <s v="Configurable web-enabled core"/>
        <s v="Business-focused real-time circuit"/>
        <s v="Compatible explicit product"/>
        <s v="Realigned dedicated flexibility"/>
        <s v="Inverse eco-centric Graphic Interface"/>
        <s v="Re-contextualized grid-enabled standardization"/>
        <s v="Programmable background Internet solution"/>
        <s v="Team-oriented didactic Internet solution"/>
        <s v="Seamless tertiary hardware"/>
        <s v="Configurable optimal hub"/>
        <s v="Future-proofed 5thgeneration migration"/>
        <s v="Profit-focused homogeneous adapter"/>
        <s v="Enterprise-wide 24/7 function"/>
        <s v="Face-to-face bifurcated installation"/>
        <s v="Quality-focused static monitoring"/>
        <s v="Networked hybrid neural-net"/>
        <s v="Down-sized national project"/>
        <s v="Grass-roots intermediate Graphic Interface"/>
        <s v="Programmable mobile infrastructure"/>
        <s v="Cross-platform full-range framework"/>
        <s v="Organized bandwidth-monitored installation"/>
        <s v="Enhanced 6thgeneration installation"/>
        <s v="Programmable motivating intranet"/>
        <s v="Organized 24/7 methodology"/>
        <s v="Upgradable upward-trending emulation"/>
        <s v="Virtual dedicated monitoring"/>
        <s v="Versatile bi-directional contingency"/>
        <s v="Enterprise-wide multi-tasking process improvement"/>
        <s v="Networked intangible knowledge user"/>
        <s v="Balanced impactful workforce"/>
        <s v="Configurable heuristic standardization"/>
        <s v="Customizable modular attitude"/>
        <s v="Synchronized leadingedge instruction set"/>
        <s v="Future-proofed modular info-mediaries"/>
        <s v="Monitored optimizing customer loyalty"/>
        <s v="Intuitive intangible database"/>
        <s v="Fundamental attitude-oriented complexity"/>
        <s v="Optional radical middleware"/>
        <s v="Re-engineered human-resource protocol"/>
        <s v="User-centric object-oriented capability"/>
        <s v="Multi-channeled incremental synergy"/>
        <s v="Distributed mobile help-desk"/>
        <s v="Upgradable explicit model"/>
        <s v="Multi-layered grid-enabled methodology"/>
        <s v="Secured mobile collaboration"/>
        <s v="Down-sized solution-oriented software"/>
        <s v="Fully-configurable maximized concept"/>
        <s v="Centralized responsive installation"/>
        <s v="Seamless bottom-line software"/>
        <s v="Networked transitional workforce"/>
        <s v="Configurable interactive hub"/>
        <s v="Re-contextualized asymmetric solution"/>
        <s v="Total analyzing forecast"/>
        <s v="Multi-tiered needs-based productivity"/>
        <s v="Reduced bifurcated customer loyalty"/>
        <s v="Cross-group bandwidth-monitored Graphical User Interface"/>
        <s v="Networked human-resource array"/>
        <s v="Programmable 5thgeneration instruction set"/>
        <s v="Self-enabling mobile model"/>
        <s v="Fully-configurable fault-tolerant functionalities"/>
        <s v="Expanded non-volatile hub"/>
        <s v="Reduced multimedia complexity"/>
        <s v="Networked exuding pricing structure"/>
        <s v="Front-line tertiary interface"/>
        <s v="Persistent system-worthy policy"/>
        <s v="Object-based logistical intranet"/>
        <s v="Digitized heuristic groupware"/>
        <s v="Cross-platform client-server frame"/>
        <s v="Optimized zero-defect system engine"/>
        <s v="Grass-roots stable task-force"/>
        <s v="Re-contextualized directional service-desk"/>
        <s v="Organized responsive project"/>
        <s v="Robust 6thgeneration encryption"/>
        <s v="Implemented dynamic knowledge user"/>
        <s v="Profound radical concept"/>
        <s v="Intuitive intangible firmware"/>
        <s v="Customer-focused foreground algorithm"/>
        <s v="Digitized composite array"/>
        <s v="Enterprise-wide methodical infrastructure"/>
        <s v="Monitored composite adapter"/>
        <s v="Switchable 24/7 encryption"/>
        <s v="Quality-focused explicit data-warehouse"/>
        <s v="Public-key leadingedge artificial intelligence"/>
        <s v="Implemented optimal attitude"/>
        <s v="Digitized leadingedge data-warehouse"/>
        <s v="Public-key uniform flexibility"/>
        <s v="Integrated tangible Local Area Network"/>
        <s v="Virtual coherent Graphic Interface"/>
        <s v="Visionary actuating alliance"/>
        <s v="Synergized responsive structure"/>
        <s v="Proactive content-based software"/>
        <s v="Cross-platform heuristic time-frame"/>
        <s v="Customer-focused grid-enabled data-warehouse"/>
        <s v="Stand-alone multi-state firmware"/>
        <s v="Compatible client-server moratorium"/>
        <s v="Phased 5thgeneration interface"/>
        <s v="Decentralized multi-tasking installation"/>
        <s v="Expanded demand-driven analyzer"/>
        <s v="Progressive modular Local Area Network"/>
        <s v="Ameliorated local extranet"/>
        <s v="Cross-group regional Graphic Interface"/>
        <s v="Quality-focused radical synergy"/>
        <s v="De-engineered next generation access"/>
        <s v="Centralized high-level solution"/>
        <s v="Configurable well-modulated productivity"/>
        <s v="Switchable analyzing ability"/>
        <s v="Grass-roots grid-enabled extranet"/>
        <s v="Front-line hybrid hub"/>
        <s v="Virtual leadingedge task-force"/>
        <s v="Customer-focused 3rdgeneration model"/>
        <s v="Multi-lateral bandwidth-monitored framework"/>
        <s v="Seamless methodical complexity"/>
        <s v="Multi-layered incremental functionalities"/>
        <s v="Synergized multi-state process improvement"/>
        <s v="Advanced cohesive website"/>
        <s v="Implemented content-based success"/>
        <s v="Assimilated tertiary adapter"/>
        <s v="Sharable regional neural-net"/>
        <s v="Versatile didactic budgetary management"/>
        <s v="Upgradable dynamic contingency"/>
        <s v="Multi-channeled 3rdgeneration success"/>
        <s v="Profound 24/7 matrix"/>
        <s v="Function-based needs-based alliance"/>
        <s v="Profit-focused leadingedge benchmark"/>
        <s v="Proactive real-time model"/>
        <s v="Expanded zero tolerance portal"/>
        <s v="Front-line national protocol"/>
        <s v="Self-enabling object-oriented synergy"/>
        <s v="Multi-lateral value-added focus group"/>
        <s v="Down-sized encompassing firmware"/>
        <s v="Persistent exuding portal"/>
        <s v="Organized system-worthy groupware"/>
        <s v="Customer-focused 3rdgeneration leverage"/>
        <s v="Reactive executive support"/>
        <s v="Customizable context-sensitive encryption"/>
        <s v="Seamless non-volatile access"/>
        <s v="Configurable client-driven emulation"/>
        <s v="Adaptive systemic pricing structure"/>
        <s v="Reactive maximized challenge"/>
        <s v="Centralized tangible customer loyalty"/>
        <s v="Total logistical leverage"/>
        <s v="Compatible optimal workforce"/>
        <s v="Adaptive grid-enabled firmware"/>
        <s v="Compatible 6thgeneration implementation"/>
        <s v="Inverse fault-tolerant hub"/>
        <s v="Proactive next generation infrastructure"/>
        <s v="Organic mission-critical infrastructure"/>
        <s v="User-centric executive time-frame"/>
        <s v="Upgradable national functionalities"/>
        <s v="Extended systematic middleware"/>
        <s v="Mandatory zero administration matrices"/>
        <s v="Configurable methodical product"/>
        <s v="Universal directional encryption"/>
        <s v="Centralized incremental function"/>
        <s v="Exclusive optimizing portal"/>
        <s v="Profound asynchronous initiative"/>
        <s v="Re-contextualized systemic secured line"/>
        <s v="Stand-alone solution-oriented artificial intelligence"/>
        <s v="Proactive uniform paradigm"/>
        <s v="Streamlined solution-oriented Internet solution"/>
        <s v="Cross-group grid-enabled concept"/>
        <s v="Enterprise-wide local open system"/>
        <s v="Business-focused cohesive frame"/>
        <s v="Automated 24/7 migration"/>
        <s v="Multi-lateral 4thgeneration alliance"/>
        <s v="User-centric maximized core"/>
        <s v="Visionary tangible orchestration"/>
        <s v="Monitored static access"/>
        <s v="Programmable scalable frame"/>
        <s v="Synergistic scalable intranet"/>
        <s v="Team-oriented value-added extranet"/>
        <s v="Face-to-face even-keeled matrix"/>
        <s v="Open-source secondary software"/>
        <s v="Public-key cohesive artificial intelligence"/>
      </sharedItems>
    </cacheField>
    <cacheField name="Mission Type" numFmtId="0">
      <sharedItems count="2">
        <s v="Manned"/>
        <s v="Unmanned"/>
      </sharedItems>
    </cacheField>
    <cacheField name="Launch Site" numFmtId="0">
      <sharedItems/>
    </cacheField>
    <cacheField name="Satellite Type" numFmtId="0">
      <sharedItems count="5">
        <s v="Communication"/>
        <s v="Spy"/>
        <s v="Weather"/>
        <s v="Research"/>
        <s v="Navigation"/>
      </sharedItems>
    </cacheField>
    <cacheField name="Budget (in Billion $)" numFmtId="0">
      <sharedItems containsSemiMixedTypes="0" containsString="0" containsNumber="1" minValue="0.53" maxValue="49.97"/>
    </cacheField>
    <cacheField name="Success Rate (%)" numFmtId="0">
      <sharedItems containsSemiMixedTypes="0" containsString="0" containsNumber="1" containsInteger="1" minValue="50" maxValue="100"/>
    </cacheField>
    <cacheField name="Technology Used" numFmtId="0">
      <sharedItems count="5">
        <s v="Nuclear Propulsion"/>
        <s v="Solar Propulsion"/>
        <s v="AI Navigation"/>
        <s v="Traditional Rocket"/>
        <s v="Reusable Rocket"/>
      </sharedItems>
    </cacheField>
    <cacheField name="Environmental Impact" numFmtId="0">
      <sharedItems count="3">
        <s v="Medium"/>
        <s v="High"/>
        <s v="Low"/>
      </sharedItems>
    </cacheField>
    <cacheField name="Collaborating Countries" numFmtId="0">
      <sharedItems/>
    </cacheField>
    <cacheField name="Duration (in Days)" numFmtId="0">
      <sharedItems containsSemiMixedTypes="0" containsString="0" containsNumber="1" containsInteger="1" minValue="1" maxValue="365"/>
    </cacheField>
    <cacheField name="Budget Category" numFmtId="0">
      <sharedItems/>
    </cacheField>
    <cacheField name="Success Category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s v="Sheilatown"/>
    <x v="0"/>
    <n v="16.2"/>
    <n v="90"/>
    <x v="0"/>
    <x v="0"/>
    <s v="France, UK, Russia"/>
    <n v="112"/>
    <s v="Medium"/>
    <s v="Excellent"/>
  </r>
  <r>
    <x v="1"/>
    <x v="1"/>
    <x v="1"/>
    <x v="0"/>
    <s v="New Ericfurt"/>
    <x v="0"/>
    <n v="29.04"/>
    <n v="99"/>
    <x v="1"/>
    <x v="1"/>
    <s v="Germany, Israel"/>
    <n v="236"/>
    <s v="Medium"/>
    <s v="Excellent"/>
  </r>
  <r>
    <x v="2"/>
    <x v="2"/>
    <x v="2"/>
    <x v="0"/>
    <s v="Port Kaitlynstad"/>
    <x v="0"/>
    <n v="28.73"/>
    <n v="54"/>
    <x v="2"/>
    <x v="0"/>
    <s v="China, Israel, USA"/>
    <n v="238"/>
    <s v="Medium"/>
    <s v="Average"/>
  </r>
  <r>
    <x v="3"/>
    <x v="3"/>
    <x v="3"/>
    <x v="1"/>
    <s v="Mariastad"/>
    <x v="1"/>
    <n v="37.270000000000003"/>
    <n v="58"/>
    <x v="3"/>
    <x v="2"/>
    <s v="USA"/>
    <n v="186"/>
    <s v="High"/>
    <s v="Average"/>
  </r>
  <r>
    <x v="4"/>
    <x v="4"/>
    <x v="4"/>
    <x v="0"/>
    <s v="North Jasonborough"/>
    <x v="2"/>
    <n v="18.95"/>
    <n v="91"/>
    <x v="1"/>
    <x v="0"/>
    <s v="Israel, China, India"/>
    <n v="277"/>
    <s v="Medium"/>
    <s v="Excellent"/>
  </r>
  <r>
    <x v="5"/>
    <x v="5"/>
    <x v="5"/>
    <x v="1"/>
    <s v="North Kevin"/>
    <x v="3"/>
    <n v="22.76"/>
    <n v="85"/>
    <x v="0"/>
    <x v="2"/>
    <s v="France"/>
    <n v="166"/>
    <s v="Medium"/>
    <s v="Good"/>
  </r>
  <r>
    <x v="6"/>
    <x v="5"/>
    <x v="6"/>
    <x v="0"/>
    <s v="Wilsonburgh"/>
    <x v="1"/>
    <n v="9.33"/>
    <n v="81"/>
    <x v="1"/>
    <x v="1"/>
    <s v="Japan, Russia, India"/>
    <n v="203"/>
    <s v="Low"/>
    <s v="Good"/>
  </r>
  <r>
    <x v="4"/>
    <x v="6"/>
    <x v="7"/>
    <x v="1"/>
    <s v="South William"/>
    <x v="2"/>
    <n v="6.62"/>
    <n v="69"/>
    <x v="1"/>
    <x v="2"/>
    <s v="India, UK, China"/>
    <n v="25"/>
    <s v="Low"/>
    <s v="Average"/>
  </r>
  <r>
    <x v="2"/>
    <x v="7"/>
    <x v="8"/>
    <x v="0"/>
    <s v="Edwardstad"/>
    <x v="4"/>
    <n v="13.25"/>
    <n v="60"/>
    <x v="1"/>
    <x v="2"/>
    <s v="France, China"/>
    <n v="341"/>
    <s v="Low"/>
    <s v="Average"/>
  </r>
  <r>
    <x v="2"/>
    <x v="5"/>
    <x v="9"/>
    <x v="1"/>
    <s v="Port Carla"/>
    <x v="0"/>
    <n v="23.76"/>
    <n v="66"/>
    <x v="4"/>
    <x v="1"/>
    <s v="Japan"/>
    <n v="107"/>
    <s v="Medium"/>
    <s v="Average"/>
  </r>
  <r>
    <x v="7"/>
    <x v="8"/>
    <x v="10"/>
    <x v="1"/>
    <s v="South Sarahton"/>
    <x v="3"/>
    <n v="43.67"/>
    <n v="92"/>
    <x v="2"/>
    <x v="0"/>
    <s v="India, China"/>
    <n v="117"/>
    <s v="High"/>
    <s v="Excellent"/>
  </r>
  <r>
    <x v="8"/>
    <x v="9"/>
    <x v="11"/>
    <x v="0"/>
    <s v="Marcusborough"/>
    <x v="1"/>
    <n v="42.47"/>
    <n v="53"/>
    <x v="1"/>
    <x v="2"/>
    <s v="USA"/>
    <n v="56"/>
    <s v="High"/>
    <s v="Average"/>
  </r>
  <r>
    <x v="9"/>
    <x v="10"/>
    <x v="12"/>
    <x v="1"/>
    <s v="North Shannon"/>
    <x v="0"/>
    <n v="11.68"/>
    <n v="65"/>
    <x v="3"/>
    <x v="1"/>
    <s v="Germany"/>
    <n v="219"/>
    <s v="Low"/>
    <s v="Average"/>
  </r>
  <r>
    <x v="0"/>
    <x v="7"/>
    <x v="13"/>
    <x v="0"/>
    <s v="Kathrynmouth"/>
    <x v="3"/>
    <n v="29.52"/>
    <n v="73"/>
    <x v="3"/>
    <x v="2"/>
    <s v="Israel, USA, Germany"/>
    <n v="303"/>
    <s v="Medium"/>
    <s v="Average"/>
  </r>
  <r>
    <x v="3"/>
    <x v="11"/>
    <x v="14"/>
    <x v="0"/>
    <s v="Whiteside"/>
    <x v="1"/>
    <n v="37.86"/>
    <n v="90"/>
    <x v="1"/>
    <x v="2"/>
    <s v="Germany"/>
    <n v="246"/>
    <s v="High"/>
    <s v="Excellent"/>
  </r>
  <r>
    <x v="4"/>
    <x v="12"/>
    <x v="15"/>
    <x v="1"/>
    <s v="Rodriguezshire"/>
    <x v="0"/>
    <n v="25.79"/>
    <n v="61"/>
    <x v="4"/>
    <x v="2"/>
    <s v="Israel, France"/>
    <n v="208"/>
    <s v="Medium"/>
    <s v="Average"/>
  </r>
  <r>
    <x v="9"/>
    <x v="13"/>
    <x v="16"/>
    <x v="1"/>
    <s v="West Katherineville"/>
    <x v="1"/>
    <n v="21.53"/>
    <n v="71"/>
    <x v="4"/>
    <x v="0"/>
    <s v="Germany, India"/>
    <n v="360"/>
    <s v="Medium"/>
    <s v="Average"/>
  </r>
  <r>
    <x v="5"/>
    <x v="2"/>
    <x v="17"/>
    <x v="0"/>
    <s v="New Cassandraside"/>
    <x v="4"/>
    <n v="4.22"/>
    <n v="73"/>
    <x v="0"/>
    <x v="0"/>
    <s v="Japan, USA"/>
    <n v="155"/>
    <s v="Low"/>
    <s v="Average"/>
  </r>
  <r>
    <x v="6"/>
    <x v="14"/>
    <x v="18"/>
    <x v="0"/>
    <s v="Lamville"/>
    <x v="1"/>
    <n v="47.41"/>
    <n v="75"/>
    <x v="3"/>
    <x v="2"/>
    <s v="USA"/>
    <n v="32"/>
    <s v="High"/>
    <s v="Good"/>
  </r>
  <r>
    <x v="4"/>
    <x v="12"/>
    <x v="19"/>
    <x v="1"/>
    <s v="Popehaven"/>
    <x v="3"/>
    <n v="35.590000000000003"/>
    <n v="50"/>
    <x v="1"/>
    <x v="1"/>
    <s v="Israel, Germany, USA"/>
    <n v="73"/>
    <s v="High"/>
    <s v="Average"/>
  </r>
  <r>
    <x v="9"/>
    <x v="15"/>
    <x v="20"/>
    <x v="0"/>
    <s v="Barbarahaven"/>
    <x v="2"/>
    <n v="32.21"/>
    <n v="95"/>
    <x v="3"/>
    <x v="1"/>
    <s v="UK"/>
    <n v="147"/>
    <s v="Medium"/>
    <s v="Excellent"/>
  </r>
  <r>
    <x v="0"/>
    <x v="0"/>
    <x v="21"/>
    <x v="0"/>
    <s v="Zacharyberg"/>
    <x v="3"/>
    <n v="27.87"/>
    <n v="57"/>
    <x v="2"/>
    <x v="1"/>
    <s v="UAE, Japan"/>
    <n v="29"/>
    <s v="Medium"/>
    <s v="Average"/>
  </r>
  <r>
    <x v="5"/>
    <x v="12"/>
    <x v="22"/>
    <x v="1"/>
    <s v="Maldonadofort"/>
    <x v="2"/>
    <n v="47.06"/>
    <n v="68"/>
    <x v="0"/>
    <x v="2"/>
    <s v="India, Russia"/>
    <n v="241"/>
    <s v="High"/>
    <s v="Average"/>
  </r>
  <r>
    <x v="8"/>
    <x v="16"/>
    <x v="23"/>
    <x v="1"/>
    <s v="North Alexanderview"/>
    <x v="2"/>
    <n v="38.83"/>
    <n v="50"/>
    <x v="2"/>
    <x v="0"/>
    <s v="India, USA, Russia"/>
    <n v="191"/>
    <s v="High"/>
    <s v="Average"/>
  </r>
  <r>
    <x v="1"/>
    <x v="17"/>
    <x v="24"/>
    <x v="0"/>
    <s v="Dunnfort"/>
    <x v="1"/>
    <n v="48.25"/>
    <n v="68"/>
    <x v="0"/>
    <x v="0"/>
    <s v="USA"/>
    <n v="15"/>
    <s v="High"/>
    <s v="Average"/>
  </r>
  <r>
    <x v="4"/>
    <x v="18"/>
    <x v="25"/>
    <x v="1"/>
    <s v="Lake Susan"/>
    <x v="3"/>
    <n v="6.38"/>
    <n v="73"/>
    <x v="2"/>
    <x v="2"/>
    <s v="UAE"/>
    <n v="169"/>
    <s v="Low"/>
    <s v="Average"/>
  </r>
  <r>
    <x v="1"/>
    <x v="19"/>
    <x v="26"/>
    <x v="0"/>
    <s v="New Kelly"/>
    <x v="1"/>
    <n v="27.01"/>
    <n v="85"/>
    <x v="3"/>
    <x v="0"/>
    <s v="France, Israel, Japan"/>
    <n v="81"/>
    <s v="Medium"/>
    <s v="Good"/>
  </r>
  <r>
    <x v="6"/>
    <x v="13"/>
    <x v="27"/>
    <x v="0"/>
    <s v="Woodburgh"/>
    <x v="1"/>
    <n v="2.17"/>
    <n v="56"/>
    <x v="2"/>
    <x v="2"/>
    <s v="UK"/>
    <n v="210"/>
    <s v="Low"/>
    <s v="Average"/>
  </r>
  <r>
    <x v="7"/>
    <x v="2"/>
    <x v="28"/>
    <x v="1"/>
    <s v="Lake Meghan"/>
    <x v="1"/>
    <n v="44.01"/>
    <n v="92"/>
    <x v="2"/>
    <x v="0"/>
    <s v="France"/>
    <n v="353"/>
    <s v="High"/>
    <s v="Excellent"/>
  </r>
  <r>
    <x v="3"/>
    <x v="14"/>
    <x v="29"/>
    <x v="1"/>
    <s v="West Pamelaton"/>
    <x v="2"/>
    <n v="45.31"/>
    <n v="87"/>
    <x v="2"/>
    <x v="1"/>
    <s v="UK, Germany"/>
    <n v="260"/>
    <s v="High"/>
    <s v="Good"/>
  </r>
  <r>
    <x v="9"/>
    <x v="4"/>
    <x v="30"/>
    <x v="1"/>
    <s v="East Andrewtown"/>
    <x v="4"/>
    <n v="16.57"/>
    <n v="71"/>
    <x v="2"/>
    <x v="2"/>
    <s v="Russia, Germany, USA"/>
    <n v="76"/>
    <s v="Medium"/>
    <s v="Average"/>
  </r>
  <r>
    <x v="8"/>
    <x v="19"/>
    <x v="31"/>
    <x v="0"/>
    <s v="New Rebecca"/>
    <x v="2"/>
    <n v="47.79"/>
    <n v="56"/>
    <x v="4"/>
    <x v="1"/>
    <s v="Germany, USA, China"/>
    <n v="295"/>
    <s v="High"/>
    <s v="Average"/>
  </r>
  <r>
    <x v="1"/>
    <x v="7"/>
    <x v="32"/>
    <x v="1"/>
    <s v="Williamsburgh"/>
    <x v="1"/>
    <n v="46.17"/>
    <n v="62"/>
    <x v="2"/>
    <x v="0"/>
    <s v="Japan, UK"/>
    <n v="322"/>
    <s v="High"/>
    <s v="Average"/>
  </r>
  <r>
    <x v="4"/>
    <x v="19"/>
    <x v="33"/>
    <x v="0"/>
    <s v="West Susan"/>
    <x v="2"/>
    <n v="3.83"/>
    <n v="65"/>
    <x v="1"/>
    <x v="1"/>
    <s v="India, China, France"/>
    <n v="323"/>
    <s v="Low"/>
    <s v="Average"/>
  </r>
  <r>
    <x v="7"/>
    <x v="20"/>
    <x v="34"/>
    <x v="1"/>
    <s v="North Scottville"/>
    <x v="2"/>
    <n v="11.4"/>
    <n v="88"/>
    <x v="3"/>
    <x v="2"/>
    <s v="Russia, Germany"/>
    <n v="215"/>
    <s v="Low"/>
    <s v="Good"/>
  </r>
  <r>
    <x v="1"/>
    <x v="17"/>
    <x v="35"/>
    <x v="1"/>
    <s v="North Brandon"/>
    <x v="1"/>
    <n v="16.89"/>
    <n v="56"/>
    <x v="3"/>
    <x v="0"/>
    <s v="UAE, Japan"/>
    <n v="326"/>
    <s v="Medium"/>
    <s v="Average"/>
  </r>
  <r>
    <x v="4"/>
    <x v="21"/>
    <x v="36"/>
    <x v="1"/>
    <s v="South Sherri"/>
    <x v="3"/>
    <n v="0.79"/>
    <n v="82"/>
    <x v="3"/>
    <x v="2"/>
    <s v="China, France, UK"/>
    <n v="191"/>
    <s v="Low"/>
    <s v="Good"/>
  </r>
  <r>
    <x v="3"/>
    <x v="17"/>
    <x v="37"/>
    <x v="0"/>
    <s v="Chavezstad"/>
    <x v="1"/>
    <n v="1.51"/>
    <n v="92"/>
    <x v="1"/>
    <x v="0"/>
    <s v="Japan"/>
    <n v="353"/>
    <s v="Low"/>
    <s v="Excellent"/>
  </r>
  <r>
    <x v="4"/>
    <x v="7"/>
    <x v="38"/>
    <x v="1"/>
    <s v="Lake Hannah"/>
    <x v="0"/>
    <n v="26.05"/>
    <n v="73"/>
    <x v="0"/>
    <x v="0"/>
    <s v="UK, China"/>
    <n v="307"/>
    <s v="Medium"/>
    <s v="Average"/>
  </r>
  <r>
    <x v="9"/>
    <x v="5"/>
    <x v="39"/>
    <x v="0"/>
    <s v="New Georgeport"/>
    <x v="2"/>
    <n v="3.08"/>
    <n v="64"/>
    <x v="4"/>
    <x v="1"/>
    <s v="Germany"/>
    <n v="213"/>
    <s v="Low"/>
    <s v="Average"/>
  </r>
  <r>
    <x v="5"/>
    <x v="15"/>
    <x v="40"/>
    <x v="1"/>
    <s v="West Richard"/>
    <x v="3"/>
    <n v="19.78"/>
    <n v="88"/>
    <x v="3"/>
    <x v="1"/>
    <s v="UK"/>
    <n v="143"/>
    <s v="Medium"/>
    <s v="Good"/>
  </r>
  <r>
    <x v="9"/>
    <x v="7"/>
    <x v="41"/>
    <x v="1"/>
    <s v="South Makayla"/>
    <x v="3"/>
    <n v="38.200000000000003"/>
    <n v="97"/>
    <x v="4"/>
    <x v="0"/>
    <s v="Germany, France, India"/>
    <n v="358"/>
    <s v="High"/>
    <s v="Excellent"/>
  </r>
  <r>
    <x v="5"/>
    <x v="16"/>
    <x v="42"/>
    <x v="0"/>
    <s v="Benjaminfurt"/>
    <x v="2"/>
    <n v="24.51"/>
    <n v="72"/>
    <x v="3"/>
    <x v="1"/>
    <s v="India"/>
    <n v="177"/>
    <s v="Medium"/>
    <s v="Average"/>
  </r>
  <r>
    <x v="5"/>
    <x v="20"/>
    <x v="43"/>
    <x v="0"/>
    <s v="Jeffreyfort"/>
    <x v="2"/>
    <n v="11.27"/>
    <n v="50"/>
    <x v="0"/>
    <x v="0"/>
    <s v="Germany, Japan"/>
    <n v="175"/>
    <s v="Low"/>
    <s v="Average"/>
  </r>
  <r>
    <x v="4"/>
    <x v="16"/>
    <x v="44"/>
    <x v="1"/>
    <s v="Elizabethside"/>
    <x v="1"/>
    <n v="47.9"/>
    <n v="61"/>
    <x v="4"/>
    <x v="2"/>
    <s v="India, Germany, Russia"/>
    <n v="154"/>
    <s v="High"/>
    <s v="Average"/>
  </r>
  <r>
    <x v="1"/>
    <x v="22"/>
    <x v="45"/>
    <x v="1"/>
    <s v="West Haleyton"/>
    <x v="3"/>
    <n v="28.94"/>
    <n v="71"/>
    <x v="4"/>
    <x v="2"/>
    <s v="USA, France"/>
    <n v="283"/>
    <s v="Medium"/>
    <s v="Average"/>
  </r>
  <r>
    <x v="1"/>
    <x v="20"/>
    <x v="46"/>
    <x v="0"/>
    <s v="Smithbury"/>
    <x v="0"/>
    <n v="35.58"/>
    <n v="97"/>
    <x v="4"/>
    <x v="0"/>
    <s v="UAE"/>
    <n v="165"/>
    <s v="High"/>
    <s v="Excellent"/>
  </r>
  <r>
    <x v="5"/>
    <x v="12"/>
    <x v="47"/>
    <x v="1"/>
    <s v="New Jennifer"/>
    <x v="2"/>
    <n v="48.72"/>
    <n v="68"/>
    <x v="1"/>
    <x v="1"/>
    <s v="USA, China, India"/>
    <n v="119"/>
    <s v="High"/>
    <s v="Average"/>
  </r>
  <r>
    <x v="9"/>
    <x v="2"/>
    <x v="48"/>
    <x v="0"/>
    <s v="Reillyborough"/>
    <x v="4"/>
    <n v="33.53"/>
    <n v="93"/>
    <x v="0"/>
    <x v="0"/>
    <s v="China"/>
    <n v="259"/>
    <s v="Medium"/>
    <s v="Excellent"/>
  </r>
  <r>
    <x v="2"/>
    <x v="7"/>
    <x v="49"/>
    <x v="1"/>
    <s v="Adamsstad"/>
    <x v="2"/>
    <n v="23.1"/>
    <n v="99"/>
    <x v="2"/>
    <x v="1"/>
    <s v="USA, Russia, India"/>
    <n v="267"/>
    <s v="Medium"/>
    <s v="Excellent"/>
  </r>
  <r>
    <x v="4"/>
    <x v="5"/>
    <x v="50"/>
    <x v="0"/>
    <s v="Stephaniehaven"/>
    <x v="1"/>
    <n v="47.39"/>
    <n v="60"/>
    <x v="1"/>
    <x v="1"/>
    <s v="Russia, Germany, UK"/>
    <n v="260"/>
    <s v="High"/>
    <s v="Average"/>
  </r>
  <r>
    <x v="7"/>
    <x v="4"/>
    <x v="51"/>
    <x v="0"/>
    <s v="Kochshire"/>
    <x v="4"/>
    <n v="23.83"/>
    <n v="71"/>
    <x v="0"/>
    <x v="1"/>
    <s v="Russia, China"/>
    <n v="140"/>
    <s v="Medium"/>
    <s v="Average"/>
  </r>
  <r>
    <x v="8"/>
    <x v="17"/>
    <x v="52"/>
    <x v="0"/>
    <s v="Darrenfurt"/>
    <x v="0"/>
    <n v="45.98"/>
    <n v="91"/>
    <x v="4"/>
    <x v="1"/>
    <s v="China, USA, Russia"/>
    <n v="229"/>
    <s v="High"/>
    <s v="Excellent"/>
  </r>
  <r>
    <x v="4"/>
    <x v="12"/>
    <x v="53"/>
    <x v="0"/>
    <s v="Whiteside"/>
    <x v="3"/>
    <n v="42.77"/>
    <n v="95"/>
    <x v="4"/>
    <x v="0"/>
    <s v="Germany"/>
    <n v="60"/>
    <s v="High"/>
    <s v="Excellent"/>
  </r>
  <r>
    <x v="8"/>
    <x v="19"/>
    <x v="54"/>
    <x v="1"/>
    <s v="Buchananfort"/>
    <x v="0"/>
    <n v="7.59"/>
    <n v="98"/>
    <x v="4"/>
    <x v="1"/>
    <s v="Israel"/>
    <n v="265"/>
    <s v="Low"/>
    <s v="Excellent"/>
  </r>
  <r>
    <x v="0"/>
    <x v="3"/>
    <x v="55"/>
    <x v="1"/>
    <s v="Schroederfurt"/>
    <x v="4"/>
    <n v="40.67"/>
    <n v="63"/>
    <x v="0"/>
    <x v="0"/>
    <s v="UK"/>
    <n v="39"/>
    <s v="High"/>
    <s v="Average"/>
  </r>
  <r>
    <x v="6"/>
    <x v="17"/>
    <x v="56"/>
    <x v="0"/>
    <s v="Jamesfurt"/>
    <x v="4"/>
    <n v="18.11"/>
    <n v="85"/>
    <x v="4"/>
    <x v="0"/>
    <s v="India, Japan"/>
    <n v="342"/>
    <s v="Medium"/>
    <s v="Good"/>
  </r>
  <r>
    <x v="0"/>
    <x v="3"/>
    <x v="57"/>
    <x v="0"/>
    <s v="Greenport"/>
    <x v="4"/>
    <n v="14.83"/>
    <n v="68"/>
    <x v="3"/>
    <x v="0"/>
    <s v="UAE"/>
    <n v="13"/>
    <s v="Low"/>
    <s v="Average"/>
  </r>
  <r>
    <x v="9"/>
    <x v="13"/>
    <x v="58"/>
    <x v="0"/>
    <s v="Port Mariah"/>
    <x v="0"/>
    <n v="4.16"/>
    <n v="73"/>
    <x v="4"/>
    <x v="0"/>
    <s v="USA"/>
    <n v="318"/>
    <s v="Low"/>
    <s v="Average"/>
  </r>
  <r>
    <x v="1"/>
    <x v="0"/>
    <x v="59"/>
    <x v="1"/>
    <s v="Webbtown"/>
    <x v="0"/>
    <n v="25.99"/>
    <n v="97"/>
    <x v="3"/>
    <x v="2"/>
    <s v="France"/>
    <n v="146"/>
    <s v="Medium"/>
    <s v="Excellent"/>
  </r>
  <r>
    <x v="8"/>
    <x v="15"/>
    <x v="60"/>
    <x v="0"/>
    <s v="Mossfort"/>
    <x v="3"/>
    <n v="11.82"/>
    <n v="76"/>
    <x v="1"/>
    <x v="1"/>
    <s v="Germany"/>
    <n v="148"/>
    <s v="Low"/>
    <s v="Good"/>
  </r>
  <r>
    <x v="8"/>
    <x v="6"/>
    <x v="61"/>
    <x v="0"/>
    <s v="Deanmouth"/>
    <x v="2"/>
    <n v="46.66"/>
    <n v="69"/>
    <x v="3"/>
    <x v="2"/>
    <s v="China, UAE, India"/>
    <n v="239"/>
    <s v="High"/>
    <s v="Average"/>
  </r>
  <r>
    <x v="0"/>
    <x v="19"/>
    <x v="62"/>
    <x v="0"/>
    <s v="Janetstad"/>
    <x v="2"/>
    <n v="28.49"/>
    <n v="66"/>
    <x v="1"/>
    <x v="1"/>
    <s v="UAE, Israel, UK"/>
    <n v="212"/>
    <s v="Medium"/>
    <s v="Average"/>
  </r>
  <r>
    <x v="3"/>
    <x v="12"/>
    <x v="63"/>
    <x v="1"/>
    <s v="Bergerborough"/>
    <x v="0"/>
    <n v="34.229999999999997"/>
    <n v="55"/>
    <x v="3"/>
    <x v="2"/>
    <s v="China, Israel"/>
    <n v="290"/>
    <s v="Medium"/>
    <s v="Average"/>
  </r>
  <r>
    <x v="2"/>
    <x v="12"/>
    <x v="64"/>
    <x v="0"/>
    <s v="New Robertborough"/>
    <x v="1"/>
    <n v="14.98"/>
    <n v="54"/>
    <x v="3"/>
    <x v="2"/>
    <s v="China"/>
    <n v="264"/>
    <s v="Low"/>
    <s v="Average"/>
  </r>
  <r>
    <x v="4"/>
    <x v="7"/>
    <x v="65"/>
    <x v="1"/>
    <s v="West Jeffrey"/>
    <x v="0"/>
    <n v="17.47"/>
    <n v="69"/>
    <x v="2"/>
    <x v="1"/>
    <s v="China, France, India"/>
    <n v="118"/>
    <s v="Medium"/>
    <s v="Average"/>
  </r>
  <r>
    <x v="5"/>
    <x v="11"/>
    <x v="66"/>
    <x v="1"/>
    <s v="Georgestad"/>
    <x v="1"/>
    <n v="37.619999999999997"/>
    <n v="99"/>
    <x v="3"/>
    <x v="1"/>
    <s v="France, Germany"/>
    <n v="309"/>
    <s v="High"/>
    <s v="Excellent"/>
  </r>
  <r>
    <x v="8"/>
    <x v="13"/>
    <x v="67"/>
    <x v="0"/>
    <s v="West Pamelaville"/>
    <x v="2"/>
    <n v="4.43"/>
    <n v="67"/>
    <x v="4"/>
    <x v="0"/>
    <s v="UAE, Israel, Germany"/>
    <n v="274"/>
    <s v="Low"/>
    <s v="Average"/>
  </r>
  <r>
    <x v="9"/>
    <x v="15"/>
    <x v="68"/>
    <x v="0"/>
    <s v="East Christopher"/>
    <x v="0"/>
    <n v="46.54"/>
    <n v="74"/>
    <x v="4"/>
    <x v="2"/>
    <s v="India, Russia"/>
    <n v="191"/>
    <s v="High"/>
    <s v="Average"/>
  </r>
  <r>
    <x v="0"/>
    <x v="10"/>
    <x v="69"/>
    <x v="0"/>
    <s v="East Brianside"/>
    <x v="3"/>
    <n v="33.15"/>
    <n v="85"/>
    <x v="3"/>
    <x v="0"/>
    <s v="Japan, India, China"/>
    <n v="93"/>
    <s v="Medium"/>
    <s v="Good"/>
  </r>
  <r>
    <x v="9"/>
    <x v="20"/>
    <x v="70"/>
    <x v="1"/>
    <s v="New Mary"/>
    <x v="0"/>
    <n v="6.89"/>
    <n v="79"/>
    <x v="4"/>
    <x v="0"/>
    <s v="UAE, China"/>
    <n v="262"/>
    <s v="Low"/>
    <s v="Good"/>
  </r>
  <r>
    <x v="6"/>
    <x v="17"/>
    <x v="71"/>
    <x v="1"/>
    <s v="Deborahville"/>
    <x v="1"/>
    <n v="6.85"/>
    <n v="76"/>
    <x v="1"/>
    <x v="2"/>
    <s v="UAE"/>
    <n v="3"/>
    <s v="Low"/>
    <s v="Good"/>
  </r>
  <r>
    <x v="4"/>
    <x v="6"/>
    <x v="72"/>
    <x v="1"/>
    <s v="Richardchester"/>
    <x v="2"/>
    <n v="44.02"/>
    <n v="79"/>
    <x v="4"/>
    <x v="0"/>
    <s v="France, UK, Russia"/>
    <n v="134"/>
    <s v="High"/>
    <s v="Good"/>
  </r>
  <r>
    <x v="6"/>
    <x v="7"/>
    <x v="73"/>
    <x v="0"/>
    <s v="Port Miguelberg"/>
    <x v="2"/>
    <n v="7.63"/>
    <n v="58"/>
    <x v="3"/>
    <x v="1"/>
    <s v="Germany"/>
    <n v="6"/>
    <s v="Low"/>
    <s v="Average"/>
  </r>
  <r>
    <x v="3"/>
    <x v="13"/>
    <x v="74"/>
    <x v="1"/>
    <s v="Ericberg"/>
    <x v="3"/>
    <n v="14.01"/>
    <n v="93"/>
    <x v="2"/>
    <x v="0"/>
    <s v="Israel, China, USA"/>
    <n v="227"/>
    <s v="Low"/>
    <s v="Excellent"/>
  </r>
  <r>
    <x v="6"/>
    <x v="7"/>
    <x v="75"/>
    <x v="0"/>
    <s v="Ericaton"/>
    <x v="2"/>
    <n v="16.47"/>
    <n v="78"/>
    <x v="0"/>
    <x v="1"/>
    <s v="USA, Japan"/>
    <n v="88"/>
    <s v="Medium"/>
    <s v="Good"/>
  </r>
  <r>
    <x v="9"/>
    <x v="6"/>
    <x v="76"/>
    <x v="1"/>
    <s v="South Emily"/>
    <x v="3"/>
    <n v="37.979999999999997"/>
    <n v="99"/>
    <x v="1"/>
    <x v="1"/>
    <s v="UK, USA, China"/>
    <n v="5"/>
    <s v="High"/>
    <s v="Excellent"/>
  </r>
  <r>
    <x v="1"/>
    <x v="11"/>
    <x v="77"/>
    <x v="0"/>
    <s v="North Troy"/>
    <x v="0"/>
    <n v="14.58"/>
    <n v="55"/>
    <x v="0"/>
    <x v="1"/>
    <s v="Israel"/>
    <n v="58"/>
    <s v="Low"/>
    <s v="Average"/>
  </r>
  <r>
    <x v="9"/>
    <x v="23"/>
    <x v="78"/>
    <x v="1"/>
    <s v="Martinezburgh"/>
    <x v="4"/>
    <n v="26.26"/>
    <n v="66"/>
    <x v="1"/>
    <x v="0"/>
    <s v="Japan, Russia, Germany"/>
    <n v="39"/>
    <s v="Medium"/>
    <s v="Average"/>
  </r>
  <r>
    <x v="5"/>
    <x v="6"/>
    <x v="79"/>
    <x v="1"/>
    <s v="Lake Monique"/>
    <x v="2"/>
    <n v="44.88"/>
    <n v="59"/>
    <x v="0"/>
    <x v="2"/>
    <s v="Russia"/>
    <n v="311"/>
    <s v="High"/>
    <s v="Average"/>
  </r>
  <r>
    <x v="5"/>
    <x v="12"/>
    <x v="80"/>
    <x v="0"/>
    <s v="Lake Marie"/>
    <x v="3"/>
    <n v="5.36"/>
    <n v="85"/>
    <x v="0"/>
    <x v="1"/>
    <s v="USA"/>
    <n v="330"/>
    <s v="Low"/>
    <s v="Good"/>
  </r>
  <r>
    <x v="0"/>
    <x v="20"/>
    <x v="81"/>
    <x v="0"/>
    <s v="Sarahfort"/>
    <x v="2"/>
    <n v="6.93"/>
    <n v="76"/>
    <x v="4"/>
    <x v="2"/>
    <s v="USA, France"/>
    <n v="251"/>
    <s v="Low"/>
    <s v="Good"/>
  </r>
  <r>
    <x v="2"/>
    <x v="18"/>
    <x v="82"/>
    <x v="1"/>
    <s v="New Kevinberg"/>
    <x v="4"/>
    <n v="44.39"/>
    <n v="76"/>
    <x v="3"/>
    <x v="1"/>
    <s v="Japan, China, France"/>
    <n v="316"/>
    <s v="High"/>
    <s v="Good"/>
  </r>
  <r>
    <x v="1"/>
    <x v="3"/>
    <x v="83"/>
    <x v="0"/>
    <s v="Ericton"/>
    <x v="2"/>
    <n v="32.82"/>
    <n v="87"/>
    <x v="0"/>
    <x v="0"/>
    <s v="UK"/>
    <n v="50"/>
    <s v="Medium"/>
    <s v="Good"/>
  </r>
  <r>
    <x v="8"/>
    <x v="0"/>
    <x v="84"/>
    <x v="1"/>
    <s v="Port Michaelview"/>
    <x v="0"/>
    <n v="28.25"/>
    <n v="67"/>
    <x v="2"/>
    <x v="0"/>
    <s v="UAE, Israel"/>
    <n v="94"/>
    <s v="Medium"/>
    <s v="Average"/>
  </r>
  <r>
    <x v="3"/>
    <x v="16"/>
    <x v="85"/>
    <x v="1"/>
    <s v="Morrisport"/>
    <x v="3"/>
    <n v="9.98"/>
    <n v="52"/>
    <x v="3"/>
    <x v="2"/>
    <s v="France"/>
    <n v="81"/>
    <s v="Low"/>
    <s v="Average"/>
  </r>
  <r>
    <x v="8"/>
    <x v="21"/>
    <x v="86"/>
    <x v="0"/>
    <s v="Wardside"/>
    <x v="0"/>
    <n v="22.72"/>
    <n v="61"/>
    <x v="2"/>
    <x v="2"/>
    <s v="India, Israel"/>
    <n v="136"/>
    <s v="Medium"/>
    <s v="Average"/>
  </r>
  <r>
    <x v="7"/>
    <x v="19"/>
    <x v="87"/>
    <x v="1"/>
    <s v="West Michaelborough"/>
    <x v="1"/>
    <n v="8.2899999999999991"/>
    <n v="90"/>
    <x v="4"/>
    <x v="0"/>
    <s v="USA, UAE, China"/>
    <n v="320"/>
    <s v="Low"/>
    <s v="Excellent"/>
  </r>
  <r>
    <x v="6"/>
    <x v="7"/>
    <x v="88"/>
    <x v="0"/>
    <s v="Jessicashire"/>
    <x v="4"/>
    <n v="10.14"/>
    <n v="98"/>
    <x v="4"/>
    <x v="0"/>
    <s v="UAE"/>
    <n v="157"/>
    <s v="Low"/>
    <s v="Excellent"/>
  </r>
  <r>
    <x v="2"/>
    <x v="3"/>
    <x v="89"/>
    <x v="0"/>
    <s v="Susanmouth"/>
    <x v="2"/>
    <n v="16.850000000000001"/>
    <n v="81"/>
    <x v="0"/>
    <x v="1"/>
    <s v="UK, China"/>
    <n v="110"/>
    <s v="Medium"/>
    <s v="Good"/>
  </r>
  <r>
    <x v="5"/>
    <x v="5"/>
    <x v="90"/>
    <x v="1"/>
    <s v="Veronicamouth"/>
    <x v="3"/>
    <n v="40.630000000000003"/>
    <n v="66"/>
    <x v="0"/>
    <x v="1"/>
    <s v="Japan, Israel, India"/>
    <n v="4"/>
    <s v="High"/>
    <s v="Average"/>
  </r>
  <r>
    <x v="4"/>
    <x v="8"/>
    <x v="91"/>
    <x v="1"/>
    <s v="New Judith"/>
    <x v="1"/>
    <n v="29.25"/>
    <n v="77"/>
    <x v="2"/>
    <x v="0"/>
    <s v="USA"/>
    <n v="126"/>
    <s v="Medium"/>
    <s v="Good"/>
  </r>
  <r>
    <x v="0"/>
    <x v="16"/>
    <x v="92"/>
    <x v="0"/>
    <s v="West Leetown"/>
    <x v="3"/>
    <n v="2.52"/>
    <n v="100"/>
    <x v="2"/>
    <x v="1"/>
    <s v="Russia, China"/>
    <n v="142"/>
    <s v="Low"/>
    <s v="Excellent"/>
  </r>
  <r>
    <x v="4"/>
    <x v="15"/>
    <x v="93"/>
    <x v="0"/>
    <s v="Kiaraton"/>
    <x v="1"/>
    <n v="32.74"/>
    <n v="78"/>
    <x v="1"/>
    <x v="0"/>
    <s v="China, Japan, Germany"/>
    <n v="90"/>
    <s v="Medium"/>
    <s v="Good"/>
  </r>
  <r>
    <x v="9"/>
    <x v="18"/>
    <x v="94"/>
    <x v="1"/>
    <s v="Armstrongview"/>
    <x v="2"/>
    <n v="10.58"/>
    <n v="100"/>
    <x v="2"/>
    <x v="0"/>
    <s v="Russia, Israel"/>
    <n v="340"/>
    <s v="Low"/>
    <s v="Excellent"/>
  </r>
  <r>
    <x v="8"/>
    <x v="17"/>
    <x v="95"/>
    <x v="1"/>
    <s v="Lake Michaelmouth"/>
    <x v="1"/>
    <n v="25.15"/>
    <n v="73"/>
    <x v="2"/>
    <x v="2"/>
    <s v="China"/>
    <n v="105"/>
    <s v="Medium"/>
    <s v="Average"/>
  </r>
  <r>
    <x v="4"/>
    <x v="23"/>
    <x v="96"/>
    <x v="0"/>
    <s v="Erinhaven"/>
    <x v="3"/>
    <n v="20.93"/>
    <n v="86"/>
    <x v="2"/>
    <x v="0"/>
    <s v="UK"/>
    <n v="236"/>
    <s v="Medium"/>
    <s v="Good"/>
  </r>
  <r>
    <x v="6"/>
    <x v="2"/>
    <x v="97"/>
    <x v="1"/>
    <s v="Pittmanmouth"/>
    <x v="0"/>
    <n v="10.56"/>
    <n v="63"/>
    <x v="1"/>
    <x v="0"/>
    <s v="France, Japan"/>
    <n v="293"/>
    <s v="Low"/>
    <s v="Average"/>
  </r>
  <r>
    <x v="2"/>
    <x v="19"/>
    <x v="98"/>
    <x v="0"/>
    <s v="Patelside"/>
    <x v="3"/>
    <n v="43.25"/>
    <n v="65"/>
    <x v="4"/>
    <x v="2"/>
    <s v="India, UAE, Germany"/>
    <n v="265"/>
    <s v="High"/>
    <s v="Average"/>
  </r>
  <r>
    <x v="5"/>
    <x v="14"/>
    <x v="99"/>
    <x v="0"/>
    <s v="Aprilview"/>
    <x v="2"/>
    <n v="11.38"/>
    <n v="52"/>
    <x v="1"/>
    <x v="1"/>
    <s v="Israel, Russia"/>
    <n v="176"/>
    <s v="Low"/>
    <s v="Average"/>
  </r>
  <r>
    <x v="5"/>
    <x v="15"/>
    <x v="100"/>
    <x v="0"/>
    <s v="Lake Alexander"/>
    <x v="2"/>
    <n v="18.32"/>
    <n v="89"/>
    <x v="1"/>
    <x v="1"/>
    <s v="Germany, UAE, France"/>
    <n v="194"/>
    <s v="Medium"/>
    <s v="Good"/>
  </r>
  <r>
    <x v="4"/>
    <x v="22"/>
    <x v="101"/>
    <x v="1"/>
    <s v="New Leslie"/>
    <x v="3"/>
    <n v="31.13"/>
    <n v="85"/>
    <x v="2"/>
    <x v="1"/>
    <s v="UAE, Germany"/>
    <n v="126"/>
    <s v="Medium"/>
    <s v="Good"/>
  </r>
  <r>
    <x v="3"/>
    <x v="11"/>
    <x v="102"/>
    <x v="1"/>
    <s v="Lauraside"/>
    <x v="2"/>
    <n v="13.51"/>
    <n v="96"/>
    <x v="3"/>
    <x v="0"/>
    <s v="France"/>
    <n v="335"/>
    <s v="Low"/>
    <s v="Excellent"/>
  </r>
  <r>
    <x v="5"/>
    <x v="6"/>
    <x v="103"/>
    <x v="1"/>
    <s v="Leonview"/>
    <x v="1"/>
    <n v="3.15"/>
    <n v="65"/>
    <x v="0"/>
    <x v="2"/>
    <s v="India, USA, Russia"/>
    <n v="284"/>
    <s v="Low"/>
    <s v="Average"/>
  </r>
  <r>
    <x v="5"/>
    <x v="24"/>
    <x v="104"/>
    <x v="0"/>
    <s v="Lake Dalton"/>
    <x v="4"/>
    <n v="34.03"/>
    <n v="50"/>
    <x v="3"/>
    <x v="1"/>
    <s v="UK, Japan"/>
    <n v="153"/>
    <s v="Medium"/>
    <s v="Average"/>
  </r>
  <r>
    <x v="5"/>
    <x v="17"/>
    <x v="105"/>
    <x v="1"/>
    <s v="West Jose"/>
    <x v="1"/>
    <n v="47.92"/>
    <n v="88"/>
    <x v="4"/>
    <x v="0"/>
    <s v="China, France"/>
    <n v="180"/>
    <s v="High"/>
    <s v="Good"/>
  </r>
  <r>
    <x v="7"/>
    <x v="16"/>
    <x v="106"/>
    <x v="1"/>
    <s v="West Laurashire"/>
    <x v="1"/>
    <n v="44.43"/>
    <n v="91"/>
    <x v="1"/>
    <x v="1"/>
    <s v="UAE, USA"/>
    <n v="355"/>
    <s v="High"/>
    <s v="Excellent"/>
  </r>
  <r>
    <x v="0"/>
    <x v="7"/>
    <x v="107"/>
    <x v="1"/>
    <s v="Robbinshaven"/>
    <x v="4"/>
    <n v="26.66"/>
    <n v="94"/>
    <x v="3"/>
    <x v="1"/>
    <s v="Japan, China"/>
    <n v="70"/>
    <s v="Medium"/>
    <s v="Excellent"/>
  </r>
  <r>
    <x v="3"/>
    <x v="8"/>
    <x v="108"/>
    <x v="0"/>
    <s v="Longland"/>
    <x v="2"/>
    <n v="41.21"/>
    <n v="63"/>
    <x v="0"/>
    <x v="1"/>
    <s v="UK, Israel"/>
    <n v="6"/>
    <s v="High"/>
    <s v="Average"/>
  </r>
  <r>
    <x v="6"/>
    <x v="9"/>
    <x v="109"/>
    <x v="0"/>
    <s v="Websterhaven"/>
    <x v="3"/>
    <n v="47.64"/>
    <n v="91"/>
    <x v="3"/>
    <x v="2"/>
    <s v="Japan, Israel"/>
    <n v="321"/>
    <s v="High"/>
    <s v="Excellent"/>
  </r>
  <r>
    <x v="9"/>
    <x v="20"/>
    <x v="110"/>
    <x v="1"/>
    <s v="South Logan"/>
    <x v="3"/>
    <n v="4.45"/>
    <n v="91"/>
    <x v="1"/>
    <x v="2"/>
    <s v="Russia, France"/>
    <n v="254"/>
    <s v="Low"/>
    <s v="Excellent"/>
  </r>
  <r>
    <x v="5"/>
    <x v="25"/>
    <x v="111"/>
    <x v="1"/>
    <s v="West Virginia"/>
    <x v="4"/>
    <n v="37.090000000000003"/>
    <n v="54"/>
    <x v="4"/>
    <x v="2"/>
    <s v="Israel, Russia"/>
    <n v="220"/>
    <s v="High"/>
    <s v="Average"/>
  </r>
  <r>
    <x v="0"/>
    <x v="10"/>
    <x v="112"/>
    <x v="1"/>
    <s v="North Mackenzie"/>
    <x v="1"/>
    <n v="8.23"/>
    <n v="60"/>
    <x v="3"/>
    <x v="2"/>
    <s v="India"/>
    <n v="259"/>
    <s v="Low"/>
    <s v="Average"/>
  </r>
  <r>
    <x v="6"/>
    <x v="21"/>
    <x v="113"/>
    <x v="1"/>
    <s v="New Dannyberg"/>
    <x v="3"/>
    <n v="2.9"/>
    <n v="85"/>
    <x v="3"/>
    <x v="2"/>
    <s v="China, UAE, Germany"/>
    <n v="94"/>
    <s v="Low"/>
    <s v="Good"/>
  </r>
  <r>
    <x v="7"/>
    <x v="21"/>
    <x v="114"/>
    <x v="1"/>
    <s v="Kendramouth"/>
    <x v="4"/>
    <n v="39.6"/>
    <n v="60"/>
    <x v="3"/>
    <x v="0"/>
    <s v="France"/>
    <n v="65"/>
    <s v="High"/>
    <s v="Average"/>
  </r>
  <r>
    <x v="0"/>
    <x v="4"/>
    <x v="115"/>
    <x v="0"/>
    <s v="Rachelbury"/>
    <x v="2"/>
    <n v="18.23"/>
    <n v="57"/>
    <x v="3"/>
    <x v="2"/>
    <s v="China, Germany"/>
    <n v="350"/>
    <s v="Medium"/>
    <s v="Average"/>
  </r>
  <r>
    <x v="6"/>
    <x v="0"/>
    <x v="116"/>
    <x v="1"/>
    <s v="Davidfurt"/>
    <x v="3"/>
    <n v="9.25"/>
    <n v="76"/>
    <x v="0"/>
    <x v="1"/>
    <s v="France"/>
    <n v="34"/>
    <s v="Low"/>
    <s v="Good"/>
  </r>
  <r>
    <x v="2"/>
    <x v="17"/>
    <x v="117"/>
    <x v="1"/>
    <s v="New Stephenside"/>
    <x v="0"/>
    <n v="33.299999999999997"/>
    <n v="50"/>
    <x v="2"/>
    <x v="2"/>
    <s v="Russia, Japan, Israel"/>
    <n v="83"/>
    <s v="Medium"/>
    <s v="Average"/>
  </r>
  <r>
    <x v="5"/>
    <x v="9"/>
    <x v="118"/>
    <x v="0"/>
    <s v="North Brittanyside"/>
    <x v="4"/>
    <n v="37.9"/>
    <n v="76"/>
    <x v="4"/>
    <x v="0"/>
    <s v="India, Russia, China"/>
    <n v="217"/>
    <s v="High"/>
    <s v="Good"/>
  </r>
  <r>
    <x v="5"/>
    <x v="0"/>
    <x v="119"/>
    <x v="0"/>
    <s v="Morganbury"/>
    <x v="1"/>
    <n v="17.260000000000002"/>
    <n v="65"/>
    <x v="3"/>
    <x v="0"/>
    <s v="UK"/>
    <n v="182"/>
    <s v="Medium"/>
    <s v="Average"/>
  </r>
  <r>
    <x v="9"/>
    <x v="8"/>
    <x v="120"/>
    <x v="0"/>
    <s v="Mooreville"/>
    <x v="4"/>
    <n v="40.729999999999997"/>
    <n v="76"/>
    <x v="2"/>
    <x v="0"/>
    <s v="Japan, Germany"/>
    <n v="257"/>
    <s v="High"/>
    <s v="Good"/>
  </r>
  <r>
    <x v="0"/>
    <x v="24"/>
    <x v="121"/>
    <x v="1"/>
    <s v="North Michelle"/>
    <x v="0"/>
    <n v="27.77"/>
    <n v="54"/>
    <x v="0"/>
    <x v="0"/>
    <s v="Russia, UK, India"/>
    <n v="100"/>
    <s v="Medium"/>
    <s v="Average"/>
  </r>
  <r>
    <x v="4"/>
    <x v="6"/>
    <x v="122"/>
    <x v="0"/>
    <s v="Marytown"/>
    <x v="3"/>
    <n v="31.37"/>
    <n v="83"/>
    <x v="1"/>
    <x v="0"/>
    <s v="China"/>
    <n v="292"/>
    <s v="Medium"/>
    <s v="Good"/>
  </r>
  <r>
    <x v="4"/>
    <x v="1"/>
    <x v="123"/>
    <x v="0"/>
    <s v="Crystalstad"/>
    <x v="2"/>
    <n v="21.31"/>
    <n v="92"/>
    <x v="0"/>
    <x v="1"/>
    <s v="UAE, USA, Russia"/>
    <n v="148"/>
    <s v="Medium"/>
    <s v="Excellent"/>
  </r>
  <r>
    <x v="1"/>
    <x v="8"/>
    <x v="124"/>
    <x v="0"/>
    <s v="West Erin"/>
    <x v="4"/>
    <n v="40"/>
    <n v="67"/>
    <x v="1"/>
    <x v="0"/>
    <s v="UAE, Israel, Japan"/>
    <n v="280"/>
    <s v="High"/>
    <s v="Average"/>
  </r>
  <r>
    <x v="8"/>
    <x v="6"/>
    <x v="125"/>
    <x v="0"/>
    <s v="Christinashire"/>
    <x v="2"/>
    <n v="43.63"/>
    <n v="96"/>
    <x v="2"/>
    <x v="0"/>
    <s v="France"/>
    <n v="113"/>
    <s v="High"/>
    <s v="Excellent"/>
  </r>
  <r>
    <x v="5"/>
    <x v="8"/>
    <x v="126"/>
    <x v="0"/>
    <s v="West Michelle"/>
    <x v="4"/>
    <n v="29.22"/>
    <n v="85"/>
    <x v="2"/>
    <x v="1"/>
    <s v="Israel"/>
    <n v="173"/>
    <s v="Medium"/>
    <s v="Good"/>
  </r>
  <r>
    <x v="2"/>
    <x v="18"/>
    <x v="127"/>
    <x v="1"/>
    <s v="New Luis"/>
    <x v="3"/>
    <n v="33.31"/>
    <n v="52"/>
    <x v="1"/>
    <x v="2"/>
    <s v="Russia, Israel, Japan"/>
    <n v="337"/>
    <s v="Medium"/>
    <s v="Average"/>
  </r>
  <r>
    <x v="4"/>
    <x v="7"/>
    <x v="128"/>
    <x v="0"/>
    <s v="Arianaport"/>
    <x v="0"/>
    <n v="22.53"/>
    <n v="80"/>
    <x v="4"/>
    <x v="2"/>
    <s v="Germany, India"/>
    <n v="120"/>
    <s v="Medium"/>
    <s v="Good"/>
  </r>
  <r>
    <x v="1"/>
    <x v="25"/>
    <x v="129"/>
    <x v="1"/>
    <s v="New Rachel"/>
    <x v="3"/>
    <n v="36.979999999999997"/>
    <n v="98"/>
    <x v="4"/>
    <x v="2"/>
    <s v="Japan, UK, UAE"/>
    <n v="172"/>
    <s v="High"/>
    <s v="Excellent"/>
  </r>
  <r>
    <x v="9"/>
    <x v="3"/>
    <x v="130"/>
    <x v="0"/>
    <s v="Port Tiffany"/>
    <x v="3"/>
    <n v="26.89"/>
    <n v="61"/>
    <x v="1"/>
    <x v="0"/>
    <s v="France, Russia, Israel"/>
    <n v="128"/>
    <s v="Medium"/>
    <s v="Average"/>
  </r>
  <r>
    <x v="3"/>
    <x v="10"/>
    <x v="131"/>
    <x v="1"/>
    <s v="Briantown"/>
    <x v="4"/>
    <n v="30.86"/>
    <n v="98"/>
    <x v="1"/>
    <x v="0"/>
    <s v="Russia"/>
    <n v="142"/>
    <s v="Medium"/>
    <s v="Excellent"/>
  </r>
  <r>
    <x v="2"/>
    <x v="12"/>
    <x v="132"/>
    <x v="0"/>
    <s v="New Richardmouth"/>
    <x v="4"/>
    <n v="49.92"/>
    <n v="97"/>
    <x v="4"/>
    <x v="2"/>
    <s v="Israel"/>
    <n v="198"/>
    <s v="High"/>
    <s v="Excellent"/>
  </r>
  <r>
    <x v="9"/>
    <x v="12"/>
    <x v="133"/>
    <x v="0"/>
    <s v="West Madelinechester"/>
    <x v="2"/>
    <n v="36.69"/>
    <n v="72"/>
    <x v="0"/>
    <x v="2"/>
    <s v="USA"/>
    <n v="363"/>
    <s v="High"/>
    <s v="Average"/>
  </r>
  <r>
    <x v="5"/>
    <x v="25"/>
    <x v="134"/>
    <x v="0"/>
    <s v="New Brookeshire"/>
    <x v="0"/>
    <n v="8.6999999999999993"/>
    <n v="88"/>
    <x v="3"/>
    <x v="0"/>
    <s v="Russia, France"/>
    <n v="139"/>
    <s v="Low"/>
    <s v="Good"/>
  </r>
  <r>
    <x v="6"/>
    <x v="13"/>
    <x v="135"/>
    <x v="0"/>
    <s v="New Robert"/>
    <x v="3"/>
    <n v="11.23"/>
    <n v="89"/>
    <x v="4"/>
    <x v="2"/>
    <s v="USA, France"/>
    <n v="36"/>
    <s v="Low"/>
    <s v="Good"/>
  </r>
  <r>
    <x v="6"/>
    <x v="17"/>
    <x v="136"/>
    <x v="1"/>
    <s v="Lake Kyle"/>
    <x v="3"/>
    <n v="24.27"/>
    <n v="85"/>
    <x v="2"/>
    <x v="2"/>
    <s v="UK, Germany, UAE"/>
    <n v="139"/>
    <s v="Medium"/>
    <s v="Good"/>
  </r>
  <r>
    <x v="1"/>
    <x v="24"/>
    <x v="137"/>
    <x v="1"/>
    <s v="Randychester"/>
    <x v="3"/>
    <n v="3.42"/>
    <n v="87"/>
    <x v="2"/>
    <x v="1"/>
    <s v="China"/>
    <n v="181"/>
    <s v="Low"/>
    <s v="Good"/>
  </r>
  <r>
    <x v="9"/>
    <x v="2"/>
    <x v="138"/>
    <x v="0"/>
    <s v="Nelsonmouth"/>
    <x v="2"/>
    <n v="38.94"/>
    <n v="98"/>
    <x v="2"/>
    <x v="1"/>
    <s v="UAE, India, China"/>
    <n v="333"/>
    <s v="High"/>
    <s v="Excellent"/>
  </r>
  <r>
    <x v="8"/>
    <x v="10"/>
    <x v="139"/>
    <x v="1"/>
    <s v="South Adamview"/>
    <x v="2"/>
    <n v="41.31"/>
    <n v="62"/>
    <x v="0"/>
    <x v="2"/>
    <s v="China, Germany, USA"/>
    <n v="101"/>
    <s v="High"/>
    <s v="Average"/>
  </r>
  <r>
    <x v="5"/>
    <x v="20"/>
    <x v="140"/>
    <x v="1"/>
    <s v="Lake Juanfurt"/>
    <x v="0"/>
    <n v="42.52"/>
    <n v="75"/>
    <x v="3"/>
    <x v="1"/>
    <s v="UAE, France"/>
    <n v="75"/>
    <s v="High"/>
    <s v="Good"/>
  </r>
  <r>
    <x v="9"/>
    <x v="6"/>
    <x v="141"/>
    <x v="1"/>
    <s v="Bautistaland"/>
    <x v="2"/>
    <n v="8.0399999999999991"/>
    <n v="80"/>
    <x v="3"/>
    <x v="0"/>
    <s v="Germany, China, UK"/>
    <n v="276"/>
    <s v="Low"/>
    <s v="Good"/>
  </r>
  <r>
    <x v="7"/>
    <x v="24"/>
    <x v="142"/>
    <x v="1"/>
    <s v="West Johnton"/>
    <x v="4"/>
    <n v="7.04"/>
    <n v="58"/>
    <x v="3"/>
    <x v="1"/>
    <s v="Russia, China, USA"/>
    <n v="101"/>
    <s v="Low"/>
    <s v="Average"/>
  </r>
  <r>
    <x v="6"/>
    <x v="5"/>
    <x v="143"/>
    <x v="0"/>
    <s v="Jenningsfort"/>
    <x v="4"/>
    <n v="9.84"/>
    <n v="83"/>
    <x v="3"/>
    <x v="0"/>
    <s v="UK, France, Israel"/>
    <n v="304"/>
    <s v="Low"/>
    <s v="Good"/>
  </r>
  <r>
    <x v="2"/>
    <x v="3"/>
    <x v="144"/>
    <x v="1"/>
    <s v="New Patrickstad"/>
    <x v="1"/>
    <n v="37.909999999999997"/>
    <n v="56"/>
    <x v="2"/>
    <x v="2"/>
    <s v="Japan, Germany, UAE"/>
    <n v="311"/>
    <s v="High"/>
    <s v="Average"/>
  </r>
  <r>
    <x v="0"/>
    <x v="11"/>
    <x v="145"/>
    <x v="0"/>
    <s v="Richardberg"/>
    <x v="2"/>
    <n v="25.28"/>
    <n v="75"/>
    <x v="3"/>
    <x v="0"/>
    <s v="UK"/>
    <n v="132"/>
    <s v="Medium"/>
    <s v="Good"/>
  </r>
  <r>
    <x v="2"/>
    <x v="2"/>
    <x v="146"/>
    <x v="0"/>
    <s v="Thomasshire"/>
    <x v="3"/>
    <n v="28.52"/>
    <n v="54"/>
    <x v="1"/>
    <x v="0"/>
    <s v="India"/>
    <n v="343"/>
    <s v="Medium"/>
    <s v="Average"/>
  </r>
  <r>
    <x v="8"/>
    <x v="0"/>
    <x v="147"/>
    <x v="0"/>
    <s v="Lowemouth"/>
    <x v="0"/>
    <n v="28.42"/>
    <n v="95"/>
    <x v="0"/>
    <x v="2"/>
    <s v="USA, Israel, UAE"/>
    <n v="135"/>
    <s v="Medium"/>
    <s v="Excellent"/>
  </r>
  <r>
    <x v="0"/>
    <x v="8"/>
    <x v="148"/>
    <x v="1"/>
    <s v="Port Amber"/>
    <x v="0"/>
    <n v="46.7"/>
    <n v="52"/>
    <x v="2"/>
    <x v="1"/>
    <s v="Germany, Russia"/>
    <n v="287"/>
    <s v="High"/>
    <s v="Average"/>
  </r>
  <r>
    <x v="0"/>
    <x v="16"/>
    <x v="149"/>
    <x v="0"/>
    <s v="Lake Andrewstad"/>
    <x v="0"/>
    <n v="8.35"/>
    <n v="73"/>
    <x v="1"/>
    <x v="0"/>
    <s v="Israel"/>
    <n v="239"/>
    <s v="Low"/>
    <s v="Average"/>
  </r>
  <r>
    <x v="1"/>
    <x v="9"/>
    <x v="150"/>
    <x v="1"/>
    <s v="South Colin"/>
    <x v="4"/>
    <n v="31.94"/>
    <n v="69"/>
    <x v="3"/>
    <x v="0"/>
    <s v="UK"/>
    <n v="137"/>
    <s v="Medium"/>
    <s v="Average"/>
  </r>
  <r>
    <x v="2"/>
    <x v="20"/>
    <x v="151"/>
    <x v="0"/>
    <s v="Port Krystal"/>
    <x v="0"/>
    <n v="27.79"/>
    <n v="58"/>
    <x v="2"/>
    <x v="1"/>
    <s v="China, Japan, UAE"/>
    <n v="134"/>
    <s v="Medium"/>
    <s v="Average"/>
  </r>
  <r>
    <x v="1"/>
    <x v="6"/>
    <x v="152"/>
    <x v="1"/>
    <s v="New Renee"/>
    <x v="0"/>
    <n v="15.59"/>
    <n v="68"/>
    <x v="2"/>
    <x v="2"/>
    <s v="USA, India"/>
    <n v="277"/>
    <s v="Medium"/>
    <s v="Average"/>
  </r>
  <r>
    <x v="4"/>
    <x v="8"/>
    <x v="153"/>
    <x v="1"/>
    <s v="Steventown"/>
    <x v="2"/>
    <n v="38.950000000000003"/>
    <n v="70"/>
    <x v="1"/>
    <x v="1"/>
    <s v="Israel, USA"/>
    <n v="305"/>
    <s v="High"/>
    <s v="Average"/>
  </r>
  <r>
    <x v="0"/>
    <x v="10"/>
    <x v="154"/>
    <x v="0"/>
    <s v="South Melissa"/>
    <x v="0"/>
    <n v="32.36"/>
    <n v="51"/>
    <x v="3"/>
    <x v="2"/>
    <s v="France, Russia, India"/>
    <n v="264"/>
    <s v="Medium"/>
    <s v="Average"/>
  </r>
  <r>
    <x v="7"/>
    <x v="11"/>
    <x v="155"/>
    <x v="1"/>
    <s v="New Jeremy"/>
    <x v="2"/>
    <n v="45.65"/>
    <n v="52"/>
    <x v="4"/>
    <x v="0"/>
    <s v="UK, China"/>
    <n v="7"/>
    <s v="High"/>
    <s v="Average"/>
  </r>
  <r>
    <x v="7"/>
    <x v="3"/>
    <x v="156"/>
    <x v="0"/>
    <s v="Karaton"/>
    <x v="4"/>
    <n v="17.82"/>
    <n v="95"/>
    <x v="2"/>
    <x v="2"/>
    <s v="Germany, UAE, UK"/>
    <n v="231"/>
    <s v="Medium"/>
    <s v="Excellent"/>
  </r>
  <r>
    <x v="4"/>
    <x v="18"/>
    <x v="157"/>
    <x v="0"/>
    <s v="New Michelle"/>
    <x v="2"/>
    <n v="33.47"/>
    <n v="67"/>
    <x v="3"/>
    <x v="1"/>
    <s v="USA"/>
    <n v="114"/>
    <s v="Medium"/>
    <s v="Average"/>
  </r>
  <r>
    <x v="2"/>
    <x v="17"/>
    <x v="158"/>
    <x v="1"/>
    <s v="Thomasshire"/>
    <x v="3"/>
    <n v="22.6"/>
    <n v="88"/>
    <x v="2"/>
    <x v="2"/>
    <s v="UK, Israel, Russia"/>
    <n v="149"/>
    <s v="Medium"/>
    <s v="Good"/>
  </r>
  <r>
    <x v="7"/>
    <x v="24"/>
    <x v="159"/>
    <x v="1"/>
    <s v="Lynchhaven"/>
    <x v="1"/>
    <n v="31.32"/>
    <n v="74"/>
    <x v="2"/>
    <x v="2"/>
    <s v="Israel"/>
    <n v="64"/>
    <s v="Medium"/>
    <s v="Average"/>
  </r>
  <r>
    <x v="2"/>
    <x v="1"/>
    <x v="160"/>
    <x v="1"/>
    <s v="Port Michael"/>
    <x v="0"/>
    <n v="27.09"/>
    <n v="75"/>
    <x v="1"/>
    <x v="2"/>
    <s v="UK"/>
    <n v="144"/>
    <s v="Medium"/>
    <s v="Good"/>
  </r>
  <r>
    <x v="1"/>
    <x v="18"/>
    <x v="161"/>
    <x v="0"/>
    <s v="South Miguel"/>
    <x v="2"/>
    <n v="13.33"/>
    <n v="66"/>
    <x v="3"/>
    <x v="2"/>
    <s v="Russia"/>
    <n v="110"/>
    <s v="Low"/>
    <s v="Average"/>
  </r>
  <r>
    <x v="8"/>
    <x v="7"/>
    <x v="162"/>
    <x v="0"/>
    <s v="East Lindsey"/>
    <x v="0"/>
    <n v="20.7"/>
    <n v="80"/>
    <x v="0"/>
    <x v="0"/>
    <s v="Israel, UAE, USA"/>
    <n v="264"/>
    <s v="Medium"/>
    <s v="Good"/>
  </r>
  <r>
    <x v="8"/>
    <x v="15"/>
    <x v="163"/>
    <x v="1"/>
    <s v="New Victor"/>
    <x v="1"/>
    <n v="30.03"/>
    <n v="100"/>
    <x v="3"/>
    <x v="2"/>
    <s v="Russia, UK"/>
    <n v="43"/>
    <s v="Medium"/>
    <s v="Excellent"/>
  </r>
  <r>
    <x v="1"/>
    <x v="4"/>
    <x v="164"/>
    <x v="0"/>
    <s v="Sarahmouth"/>
    <x v="0"/>
    <n v="12.87"/>
    <n v="96"/>
    <x v="0"/>
    <x v="1"/>
    <s v="UAE, UK, China"/>
    <n v="170"/>
    <s v="Low"/>
    <s v="Excellent"/>
  </r>
  <r>
    <x v="9"/>
    <x v="19"/>
    <x v="165"/>
    <x v="0"/>
    <s v="South Johnnyburgh"/>
    <x v="3"/>
    <n v="31.41"/>
    <n v="78"/>
    <x v="4"/>
    <x v="0"/>
    <s v="UK, Germany"/>
    <n v="85"/>
    <s v="Medium"/>
    <s v="Good"/>
  </r>
  <r>
    <x v="8"/>
    <x v="15"/>
    <x v="166"/>
    <x v="1"/>
    <s v="Lake Timothy"/>
    <x v="1"/>
    <n v="16.079999999999998"/>
    <n v="56"/>
    <x v="3"/>
    <x v="0"/>
    <s v="China, UK"/>
    <n v="2"/>
    <s v="Medium"/>
    <s v="Average"/>
  </r>
  <r>
    <x v="0"/>
    <x v="22"/>
    <x v="167"/>
    <x v="1"/>
    <s v="Brandonton"/>
    <x v="0"/>
    <n v="3.99"/>
    <n v="100"/>
    <x v="2"/>
    <x v="0"/>
    <s v="France, Germany"/>
    <n v="139"/>
    <s v="Low"/>
    <s v="Excellent"/>
  </r>
  <r>
    <x v="3"/>
    <x v="1"/>
    <x v="168"/>
    <x v="0"/>
    <s v="North Thomasberg"/>
    <x v="2"/>
    <n v="46.02"/>
    <n v="52"/>
    <x v="3"/>
    <x v="0"/>
    <s v="Japan, USA"/>
    <n v="167"/>
    <s v="High"/>
    <s v="Average"/>
  </r>
  <r>
    <x v="7"/>
    <x v="10"/>
    <x v="169"/>
    <x v="0"/>
    <s v="Choifort"/>
    <x v="0"/>
    <n v="11.99"/>
    <n v="99"/>
    <x v="1"/>
    <x v="1"/>
    <s v="UAE"/>
    <n v="145"/>
    <s v="Low"/>
    <s v="Excellent"/>
  </r>
  <r>
    <x v="8"/>
    <x v="0"/>
    <x v="170"/>
    <x v="1"/>
    <s v="Moralesburgh"/>
    <x v="4"/>
    <n v="34.47"/>
    <n v="51"/>
    <x v="2"/>
    <x v="2"/>
    <s v="Germany, France, UAE"/>
    <n v="50"/>
    <s v="Medium"/>
    <s v="Average"/>
  </r>
  <r>
    <x v="4"/>
    <x v="22"/>
    <x v="171"/>
    <x v="1"/>
    <s v="Mcphersonmouth"/>
    <x v="2"/>
    <n v="37.049999999999997"/>
    <n v="89"/>
    <x v="2"/>
    <x v="0"/>
    <s v="France"/>
    <n v="174"/>
    <s v="High"/>
    <s v="Good"/>
  </r>
  <r>
    <x v="7"/>
    <x v="21"/>
    <x v="172"/>
    <x v="1"/>
    <s v="East April"/>
    <x v="3"/>
    <n v="16.53"/>
    <n v="69"/>
    <x v="4"/>
    <x v="1"/>
    <s v="Israel, France"/>
    <n v="20"/>
    <s v="Medium"/>
    <s v="Average"/>
  </r>
  <r>
    <x v="3"/>
    <x v="1"/>
    <x v="173"/>
    <x v="0"/>
    <s v="Ramosport"/>
    <x v="4"/>
    <n v="7.14"/>
    <n v="57"/>
    <x v="2"/>
    <x v="0"/>
    <s v="Germany"/>
    <n v="83"/>
    <s v="Low"/>
    <s v="Average"/>
  </r>
  <r>
    <x v="6"/>
    <x v="18"/>
    <x v="174"/>
    <x v="0"/>
    <s v="West Courtneyton"/>
    <x v="0"/>
    <n v="44.87"/>
    <n v="65"/>
    <x v="2"/>
    <x v="2"/>
    <s v="Japan, China, France"/>
    <n v="295"/>
    <s v="High"/>
    <s v="Average"/>
  </r>
  <r>
    <x v="1"/>
    <x v="14"/>
    <x v="175"/>
    <x v="1"/>
    <s v="West Elizabethshire"/>
    <x v="2"/>
    <n v="18.190000000000001"/>
    <n v="90"/>
    <x v="3"/>
    <x v="1"/>
    <s v="Russia, UAE, Germany"/>
    <n v="48"/>
    <s v="Medium"/>
    <s v="Excellent"/>
  </r>
  <r>
    <x v="9"/>
    <x v="16"/>
    <x v="176"/>
    <x v="1"/>
    <s v="West Marktown"/>
    <x v="2"/>
    <n v="42.16"/>
    <n v="70"/>
    <x v="1"/>
    <x v="1"/>
    <s v="UAE, UK, India"/>
    <n v="216"/>
    <s v="High"/>
    <s v="Average"/>
  </r>
  <r>
    <x v="9"/>
    <x v="13"/>
    <x v="177"/>
    <x v="1"/>
    <s v="Port Lindseyfort"/>
    <x v="0"/>
    <n v="23.44"/>
    <n v="90"/>
    <x v="4"/>
    <x v="2"/>
    <s v="France"/>
    <n v="304"/>
    <s v="Medium"/>
    <s v="Excellent"/>
  </r>
  <r>
    <x v="9"/>
    <x v="0"/>
    <x v="178"/>
    <x v="0"/>
    <s v="Lake Melissaborough"/>
    <x v="2"/>
    <n v="25.4"/>
    <n v="58"/>
    <x v="1"/>
    <x v="2"/>
    <s v="Japan, China, Germany"/>
    <n v="103"/>
    <s v="Medium"/>
    <s v="Average"/>
  </r>
  <r>
    <x v="8"/>
    <x v="17"/>
    <x v="179"/>
    <x v="0"/>
    <s v="South Kennethhaven"/>
    <x v="1"/>
    <n v="48.07"/>
    <n v="54"/>
    <x v="1"/>
    <x v="1"/>
    <s v="China"/>
    <n v="78"/>
    <s v="High"/>
    <s v="Average"/>
  </r>
  <r>
    <x v="7"/>
    <x v="0"/>
    <x v="180"/>
    <x v="1"/>
    <s v="Lambertbury"/>
    <x v="2"/>
    <n v="16.53"/>
    <n v="69"/>
    <x v="2"/>
    <x v="2"/>
    <s v="UAE, China, Israel"/>
    <n v="330"/>
    <s v="Medium"/>
    <s v="Average"/>
  </r>
  <r>
    <x v="9"/>
    <x v="0"/>
    <x v="181"/>
    <x v="0"/>
    <s v="New Amy"/>
    <x v="1"/>
    <n v="10.18"/>
    <n v="73"/>
    <x v="0"/>
    <x v="1"/>
    <s v="Germany"/>
    <n v="7"/>
    <s v="Low"/>
    <s v="Average"/>
  </r>
  <r>
    <x v="2"/>
    <x v="1"/>
    <x v="182"/>
    <x v="1"/>
    <s v="Kleintown"/>
    <x v="2"/>
    <n v="35.44"/>
    <n v="68"/>
    <x v="0"/>
    <x v="0"/>
    <s v="India"/>
    <n v="101"/>
    <s v="High"/>
    <s v="Average"/>
  </r>
  <r>
    <x v="4"/>
    <x v="13"/>
    <x v="183"/>
    <x v="0"/>
    <s v="Carlosstad"/>
    <x v="3"/>
    <n v="24.65"/>
    <n v="93"/>
    <x v="3"/>
    <x v="0"/>
    <s v="China, USA"/>
    <n v="84"/>
    <s v="Medium"/>
    <s v="Excellent"/>
  </r>
  <r>
    <x v="1"/>
    <x v="10"/>
    <x v="184"/>
    <x v="1"/>
    <s v="Smithton"/>
    <x v="4"/>
    <n v="9.66"/>
    <n v="96"/>
    <x v="3"/>
    <x v="0"/>
    <s v="Japan, Russia"/>
    <n v="137"/>
    <s v="Low"/>
    <s v="Excellent"/>
  </r>
  <r>
    <x v="7"/>
    <x v="15"/>
    <x v="185"/>
    <x v="0"/>
    <s v="Mitchellberg"/>
    <x v="4"/>
    <n v="36.549999999999997"/>
    <n v="64"/>
    <x v="2"/>
    <x v="2"/>
    <s v="USA"/>
    <n v="276"/>
    <s v="High"/>
    <s v="Average"/>
  </r>
  <r>
    <x v="3"/>
    <x v="20"/>
    <x v="186"/>
    <x v="0"/>
    <s v="Christianburgh"/>
    <x v="3"/>
    <n v="15.34"/>
    <n v="69"/>
    <x v="1"/>
    <x v="1"/>
    <s v="China, India"/>
    <n v="234"/>
    <s v="Medium"/>
    <s v="Average"/>
  </r>
  <r>
    <x v="0"/>
    <x v="6"/>
    <x v="187"/>
    <x v="0"/>
    <s v="Richardland"/>
    <x v="2"/>
    <n v="45.57"/>
    <n v="60"/>
    <x v="3"/>
    <x v="0"/>
    <s v="China, UK"/>
    <n v="99"/>
    <s v="High"/>
    <s v="Average"/>
  </r>
  <r>
    <x v="5"/>
    <x v="12"/>
    <x v="188"/>
    <x v="0"/>
    <s v="Lawrenceside"/>
    <x v="0"/>
    <n v="29.74"/>
    <n v="79"/>
    <x v="4"/>
    <x v="0"/>
    <s v="UK, Japan"/>
    <n v="309"/>
    <s v="Medium"/>
    <s v="Good"/>
  </r>
  <r>
    <x v="6"/>
    <x v="12"/>
    <x v="189"/>
    <x v="1"/>
    <s v="Kimberlyside"/>
    <x v="4"/>
    <n v="42.56"/>
    <n v="81"/>
    <x v="2"/>
    <x v="2"/>
    <s v="Japan, Germany, UAE"/>
    <n v="260"/>
    <s v="High"/>
    <s v="Good"/>
  </r>
  <r>
    <x v="7"/>
    <x v="20"/>
    <x v="190"/>
    <x v="1"/>
    <s v="Melissaview"/>
    <x v="2"/>
    <n v="31.38"/>
    <n v="61"/>
    <x v="1"/>
    <x v="2"/>
    <s v="Russia"/>
    <n v="90"/>
    <s v="Medium"/>
    <s v="Average"/>
  </r>
  <r>
    <x v="1"/>
    <x v="3"/>
    <x v="191"/>
    <x v="1"/>
    <s v="Jamesmouth"/>
    <x v="1"/>
    <n v="38.83"/>
    <n v="83"/>
    <x v="4"/>
    <x v="0"/>
    <s v="China, France, Germany"/>
    <n v="220"/>
    <s v="High"/>
    <s v="Good"/>
  </r>
  <r>
    <x v="8"/>
    <x v="11"/>
    <x v="192"/>
    <x v="0"/>
    <s v="West Lorraineton"/>
    <x v="1"/>
    <n v="11.86"/>
    <n v="60"/>
    <x v="2"/>
    <x v="1"/>
    <s v="UK"/>
    <n v="250"/>
    <s v="Low"/>
    <s v="Average"/>
  </r>
  <r>
    <x v="0"/>
    <x v="9"/>
    <x v="193"/>
    <x v="0"/>
    <s v="Allisonshire"/>
    <x v="4"/>
    <n v="36.630000000000003"/>
    <n v="51"/>
    <x v="1"/>
    <x v="1"/>
    <s v="Japan, France, India"/>
    <n v="20"/>
    <s v="High"/>
    <s v="Average"/>
  </r>
  <r>
    <x v="4"/>
    <x v="0"/>
    <x v="194"/>
    <x v="1"/>
    <s v="North Devin"/>
    <x v="0"/>
    <n v="39.93"/>
    <n v="87"/>
    <x v="1"/>
    <x v="2"/>
    <s v="Germany"/>
    <n v="314"/>
    <s v="High"/>
    <s v="Good"/>
  </r>
  <r>
    <x v="8"/>
    <x v="9"/>
    <x v="195"/>
    <x v="1"/>
    <s v="Gonzalesfort"/>
    <x v="0"/>
    <n v="34.04"/>
    <n v="76"/>
    <x v="3"/>
    <x v="2"/>
    <s v="China, Russia, Japan"/>
    <n v="42"/>
    <s v="Medium"/>
    <s v="Good"/>
  </r>
  <r>
    <x v="3"/>
    <x v="18"/>
    <x v="196"/>
    <x v="0"/>
    <s v="Rowefort"/>
    <x v="0"/>
    <n v="42.85"/>
    <n v="56"/>
    <x v="4"/>
    <x v="2"/>
    <s v="USA, Germany"/>
    <n v="226"/>
    <s v="High"/>
    <s v="Average"/>
  </r>
  <r>
    <x v="7"/>
    <x v="9"/>
    <x v="197"/>
    <x v="0"/>
    <s v="South Brandon"/>
    <x v="4"/>
    <n v="5.67"/>
    <n v="87"/>
    <x v="0"/>
    <x v="1"/>
    <s v="Germany, India, France"/>
    <n v="110"/>
    <s v="Low"/>
    <s v="Good"/>
  </r>
  <r>
    <x v="7"/>
    <x v="0"/>
    <x v="198"/>
    <x v="1"/>
    <s v="Port Scottbury"/>
    <x v="1"/>
    <n v="29.48"/>
    <n v="52"/>
    <x v="2"/>
    <x v="2"/>
    <s v="Russia"/>
    <n v="15"/>
    <s v="Medium"/>
    <s v="Average"/>
  </r>
  <r>
    <x v="7"/>
    <x v="16"/>
    <x v="199"/>
    <x v="0"/>
    <s v="Brooksland"/>
    <x v="3"/>
    <n v="33.11"/>
    <n v="61"/>
    <x v="4"/>
    <x v="1"/>
    <s v="France, USA, China"/>
    <n v="299"/>
    <s v="Medium"/>
    <s v="Average"/>
  </r>
  <r>
    <x v="5"/>
    <x v="9"/>
    <x v="200"/>
    <x v="0"/>
    <s v="New Deannatown"/>
    <x v="1"/>
    <n v="39.71"/>
    <n v="80"/>
    <x v="4"/>
    <x v="0"/>
    <s v="USA, India, UAE"/>
    <n v="300"/>
    <s v="High"/>
    <s v="Good"/>
  </r>
  <r>
    <x v="5"/>
    <x v="13"/>
    <x v="201"/>
    <x v="1"/>
    <s v="Lake Christina"/>
    <x v="2"/>
    <n v="41.54"/>
    <n v="55"/>
    <x v="1"/>
    <x v="2"/>
    <s v="Germany"/>
    <n v="130"/>
    <s v="High"/>
    <s v="Average"/>
  </r>
  <r>
    <x v="9"/>
    <x v="17"/>
    <x v="202"/>
    <x v="1"/>
    <s v="Lopezside"/>
    <x v="2"/>
    <n v="15.6"/>
    <n v="94"/>
    <x v="2"/>
    <x v="1"/>
    <s v="USA"/>
    <n v="109"/>
    <s v="Medium"/>
    <s v="Excellent"/>
  </r>
  <r>
    <x v="2"/>
    <x v="9"/>
    <x v="203"/>
    <x v="0"/>
    <s v="South Kenneth"/>
    <x v="4"/>
    <n v="28.88"/>
    <n v="63"/>
    <x v="0"/>
    <x v="2"/>
    <s v="Israel, UK, China"/>
    <n v="311"/>
    <s v="Medium"/>
    <s v="Average"/>
  </r>
  <r>
    <x v="3"/>
    <x v="25"/>
    <x v="204"/>
    <x v="0"/>
    <s v="New Heather"/>
    <x v="4"/>
    <n v="22.71"/>
    <n v="81"/>
    <x v="1"/>
    <x v="2"/>
    <s v="Israel"/>
    <n v="185"/>
    <s v="Medium"/>
    <s v="Good"/>
  </r>
  <r>
    <x v="6"/>
    <x v="16"/>
    <x v="205"/>
    <x v="1"/>
    <s v="West Cory"/>
    <x v="3"/>
    <n v="38.46"/>
    <n v="63"/>
    <x v="1"/>
    <x v="2"/>
    <s v="India, Germany, UAE"/>
    <n v="21"/>
    <s v="High"/>
    <s v="Average"/>
  </r>
  <r>
    <x v="7"/>
    <x v="21"/>
    <x v="206"/>
    <x v="0"/>
    <s v="New Julieville"/>
    <x v="1"/>
    <n v="11.86"/>
    <n v="81"/>
    <x v="0"/>
    <x v="1"/>
    <s v="UAE"/>
    <n v="333"/>
    <s v="Low"/>
    <s v="Good"/>
  </r>
  <r>
    <x v="5"/>
    <x v="14"/>
    <x v="207"/>
    <x v="0"/>
    <s v="Port Jennifer"/>
    <x v="3"/>
    <n v="0.57999999999999996"/>
    <n v="84"/>
    <x v="0"/>
    <x v="0"/>
    <s v="UK"/>
    <n v="112"/>
    <s v="Low"/>
    <s v="Good"/>
  </r>
  <r>
    <x v="7"/>
    <x v="23"/>
    <x v="208"/>
    <x v="0"/>
    <s v="Salinasbury"/>
    <x v="1"/>
    <n v="22.97"/>
    <n v="61"/>
    <x v="2"/>
    <x v="0"/>
    <s v="Israel"/>
    <n v="349"/>
    <s v="Medium"/>
    <s v="Average"/>
  </r>
  <r>
    <x v="4"/>
    <x v="9"/>
    <x v="209"/>
    <x v="0"/>
    <s v="New Sandra"/>
    <x v="1"/>
    <n v="18.57"/>
    <n v="76"/>
    <x v="4"/>
    <x v="2"/>
    <s v="UAE, China"/>
    <n v="5"/>
    <s v="Medium"/>
    <s v="Good"/>
  </r>
  <r>
    <x v="3"/>
    <x v="22"/>
    <x v="210"/>
    <x v="0"/>
    <s v="East Lisa"/>
    <x v="0"/>
    <n v="16.02"/>
    <n v="74"/>
    <x v="4"/>
    <x v="1"/>
    <s v="France, Russia, UAE"/>
    <n v="300"/>
    <s v="Medium"/>
    <s v="Average"/>
  </r>
  <r>
    <x v="8"/>
    <x v="13"/>
    <x v="211"/>
    <x v="1"/>
    <s v="New Brandonhaven"/>
    <x v="1"/>
    <n v="39.83"/>
    <n v="95"/>
    <x v="0"/>
    <x v="2"/>
    <s v="Russia, Japan, UAE"/>
    <n v="321"/>
    <s v="High"/>
    <s v="Excellent"/>
  </r>
  <r>
    <x v="3"/>
    <x v="11"/>
    <x v="212"/>
    <x v="1"/>
    <s v="Lake Jorge"/>
    <x v="0"/>
    <n v="46.41"/>
    <n v="54"/>
    <x v="3"/>
    <x v="2"/>
    <s v="USA, UAE, Israel"/>
    <n v="16"/>
    <s v="High"/>
    <s v="Average"/>
  </r>
  <r>
    <x v="9"/>
    <x v="12"/>
    <x v="213"/>
    <x v="1"/>
    <s v="North Christopher"/>
    <x v="2"/>
    <n v="7.92"/>
    <n v="76"/>
    <x v="3"/>
    <x v="2"/>
    <s v="Russia, Japan"/>
    <n v="152"/>
    <s v="Low"/>
    <s v="Good"/>
  </r>
  <r>
    <x v="5"/>
    <x v="11"/>
    <x v="214"/>
    <x v="0"/>
    <s v="Cooperfort"/>
    <x v="3"/>
    <n v="39.450000000000003"/>
    <n v="87"/>
    <x v="3"/>
    <x v="0"/>
    <s v="UK"/>
    <n v="233"/>
    <s v="High"/>
    <s v="Good"/>
  </r>
  <r>
    <x v="3"/>
    <x v="13"/>
    <x v="215"/>
    <x v="0"/>
    <s v="New Mark"/>
    <x v="0"/>
    <n v="6.2"/>
    <n v="76"/>
    <x v="3"/>
    <x v="1"/>
    <s v="France"/>
    <n v="29"/>
    <s v="Low"/>
    <s v="Good"/>
  </r>
  <r>
    <x v="2"/>
    <x v="24"/>
    <x v="216"/>
    <x v="1"/>
    <s v="Joshuatown"/>
    <x v="4"/>
    <n v="8.24"/>
    <n v="89"/>
    <x v="0"/>
    <x v="1"/>
    <s v="Russia, UAE, USA"/>
    <n v="189"/>
    <s v="Low"/>
    <s v="Good"/>
  </r>
  <r>
    <x v="0"/>
    <x v="18"/>
    <x v="217"/>
    <x v="0"/>
    <s v="North Mariahside"/>
    <x v="3"/>
    <n v="38.340000000000003"/>
    <n v="99"/>
    <x v="0"/>
    <x v="0"/>
    <s v="India"/>
    <n v="218"/>
    <s v="High"/>
    <s v="Excellent"/>
  </r>
  <r>
    <x v="3"/>
    <x v="15"/>
    <x v="218"/>
    <x v="1"/>
    <s v="Kochmouth"/>
    <x v="0"/>
    <n v="21.31"/>
    <n v="60"/>
    <x v="4"/>
    <x v="1"/>
    <s v="France, India, USA"/>
    <n v="225"/>
    <s v="Medium"/>
    <s v="Average"/>
  </r>
  <r>
    <x v="5"/>
    <x v="11"/>
    <x v="219"/>
    <x v="1"/>
    <s v="Michaelside"/>
    <x v="1"/>
    <n v="22.58"/>
    <n v="89"/>
    <x v="3"/>
    <x v="1"/>
    <s v="France, India, Japan"/>
    <n v="163"/>
    <s v="Medium"/>
    <s v="Good"/>
  </r>
  <r>
    <x v="9"/>
    <x v="4"/>
    <x v="220"/>
    <x v="0"/>
    <s v="Susanmouth"/>
    <x v="2"/>
    <n v="5.53"/>
    <n v="89"/>
    <x v="3"/>
    <x v="1"/>
    <s v="China, France"/>
    <n v="306"/>
    <s v="Low"/>
    <s v="Good"/>
  </r>
  <r>
    <x v="3"/>
    <x v="4"/>
    <x v="221"/>
    <x v="1"/>
    <s v="Lake Kimberly"/>
    <x v="4"/>
    <n v="2.19"/>
    <n v="85"/>
    <x v="2"/>
    <x v="2"/>
    <s v="Israel, Russia"/>
    <n v="292"/>
    <s v="Low"/>
    <s v="Good"/>
  </r>
  <r>
    <x v="3"/>
    <x v="22"/>
    <x v="222"/>
    <x v="1"/>
    <s v="Port Heather"/>
    <x v="2"/>
    <n v="15.51"/>
    <n v="56"/>
    <x v="2"/>
    <x v="2"/>
    <s v="Germany, Russia, UK"/>
    <n v="332"/>
    <s v="Medium"/>
    <s v="Average"/>
  </r>
  <r>
    <x v="3"/>
    <x v="22"/>
    <x v="223"/>
    <x v="0"/>
    <s v="East Amyview"/>
    <x v="2"/>
    <n v="30.58"/>
    <n v="83"/>
    <x v="0"/>
    <x v="0"/>
    <s v="France, India, Israel"/>
    <n v="76"/>
    <s v="Medium"/>
    <s v="Good"/>
  </r>
  <r>
    <x v="4"/>
    <x v="20"/>
    <x v="224"/>
    <x v="1"/>
    <s v="Gonzaleztown"/>
    <x v="3"/>
    <n v="16.47"/>
    <n v="56"/>
    <x v="0"/>
    <x v="1"/>
    <s v="Germany, USA"/>
    <n v="104"/>
    <s v="Medium"/>
    <s v="Average"/>
  </r>
  <r>
    <x v="9"/>
    <x v="23"/>
    <x v="225"/>
    <x v="0"/>
    <s v="South Leah"/>
    <x v="4"/>
    <n v="7.17"/>
    <n v="84"/>
    <x v="0"/>
    <x v="2"/>
    <s v="China, Japan"/>
    <n v="68"/>
    <s v="Low"/>
    <s v="Good"/>
  </r>
  <r>
    <x v="6"/>
    <x v="2"/>
    <x v="226"/>
    <x v="1"/>
    <s v="Josephfort"/>
    <x v="2"/>
    <n v="13.72"/>
    <n v="89"/>
    <x v="2"/>
    <x v="2"/>
    <s v="Germany, India"/>
    <n v="15"/>
    <s v="Low"/>
    <s v="Good"/>
  </r>
  <r>
    <x v="1"/>
    <x v="19"/>
    <x v="227"/>
    <x v="0"/>
    <s v="North William"/>
    <x v="0"/>
    <n v="9.92"/>
    <n v="55"/>
    <x v="1"/>
    <x v="0"/>
    <s v="USA, Israel"/>
    <n v="28"/>
    <s v="Low"/>
    <s v="Average"/>
  </r>
  <r>
    <x v="4"/>
    <x v="19"/>
    <x v="228"/>
    <x v="0"/>
    <s v="Guzmantown"/>
    <x v="2"/>
    <n v="28.78"/>
    <n v="55"/>
    <x v="2"/>
    <x v="2"/>
    <s v="UK"/>
    <n v="330"/>
    <s v="Medium"/>
    <s v="Average"/>
  </r>
  <r>
    <x v="3"/>
    <x v="13"/>
    <x v="229"/>
    <x v="1"/>
    <s v="Cooperland"/>
    <x v="2"/>
    <n v="45.04"/>
    <n v="54"/>
    <x v="2"/>
    <x v="1"/>
    <s v="India, Germany, Russia"/>
    <n v="144"/>
    <s v="High"/>
    <s v="Average"/>
  </r>
  <r>
    <x v="0"/>
    <x v="15"/>
    <x v="230"/>
    <x v="1"/>
    <s v="Heatherfurt"/>
    <x v="1"/>
    <n v="11.91"/>
    <n v="62"/>
    <x v="1"/>
    <x v="1"/>
    <s v="Israel"/>
    <n v="246"/>
    <s v="Low"/>
    <s v="Average"/>
  </r>
  <r>
    <x v="4"/>
    <x v="18"/>
    <x v="231"/>
    <x v="1"/>
    <s v="Lake Rebecca"/>
    <x v="3"/>
    <n v="44.52"/>
    <n v="83"/>
    <x v="3"/>
    <x v="1"/>
    <s v="France, Israel"/>
    <n v="214"/>
    <s v="High"/>
    <s v="Good"/>
  </r>
  <r>
    <x v="8"/>
    <x v="1"/>
    <x v="232"/>
    <x v="0"/>
    <s v="Richardborough"/>
    <x v="0"/>
    <n v="36.28"/>
    <n v="51"/>
    <x v="4"/>
    <x v="2"/>
    <s v="France, USA, UK"/>
    <n v="237"/>
    <s v="High"/>
    <s v="Average"/>
  </r>
  <r>
    <x v="1"/>
    <x v="6"/>
    <x v="233"/>
    <x v="1"/>
    <s v="East Janebury"/>
    <x v="2"/>
    <n v="9.48"/>
    <n v="93"/>
    <x v="0"/>
    <x v="1"/>
    <s v="Russia"/>
    <n v="305"/>
    <s v="Low"/>
    <s v="Excellent"/>
  </r>
  <r>
    <x v="2"/>
    <x v="18"/>
    <x v="234"/>
    <x v="0"/>
    <s v="South Samantha"/>
    <x v="2"/>
    <n v="20.440000000000001"/>
    <n v="54"/>
    <x v="3"/>
    <x v="2"/>
    <s v="UAE"/>
    <n v="167"/>
    <s v="Medium"/>
    <s v="Average"/>
  </r>
  <r>
    <x v="1"/>
    <x v="21"/>
    <x v="235"/>
    <x v="0"/>
    <s v="North David"/>
    <x v="3"/>
    <n v="32.58"/>
    <n v="97"/>
    <x v="1"/>
    <x v="2"/>
    <s v="Israel, France"/>
    <n v="248"/>
    <s v="Medium"/>
    <s v="Excellent"/>
  </r>
  <r>
    <x v="7"/>
    <x v="10"/>
    <x v="236"/>
    <x v="1"/>
    <s v="Amandashire"/>
    <x v="4"/>
    <n v="26.23"/>
    <n v="69"/>
    <x v="1"/>
    <x v="1"/>
    <s v="Israel, Germany"/>
    <n v="327"/>
    <s v="Medium"/>
    <s v="Average"/>
  </r>
  <r>
    <x v="2"/>
    <x v="25"/>
    <x v="237"/>
    <x v="0"/>
    <s v="Lake Kristinshire"/>
    <x v="1"/>
    <n v="42.24"/>
    <n v="57"/>
    <x v="2"/>
    <x v="1"/>
    <s v="France"/>
    <n v="154"/>
    <s v="High"/>
    <s v="Average"/>
  </r>
  <r>
    <x v="7"/>
    <x v="10"/>
    <x v="238"/>
    <x v="1"/>
    <s v="Port Bonnieport"/>
    <x v="0"/>
    <n v="14.39"/>
    <n v="97"/>
    <x v="3"/>
    <x v="1"/>
    <s v="Japan, USA"/>
    <n v="51"/>
    <s v="Low"/>
    <s v="Excellent"/>
  </r>
  <r>
    <x v="5"/>
    <x v="18"/>
    <x v="239"/>
    <x v="1"/>
    <s v="Port Zacharyton"/>
    <x v="1"/>
    <n v="44.1"/>
    <n v="68"/>
    <x v="0"/>
    <x v="2"/>
    <s v="India, Israel"/>
    <n v="307"/>
    <s v="High"/>
    <s v="Average"/>
  </r>
  <r>
    <x v="3"/>
    <x v="2"/>
    <x v="240"/>
    <x v="0"/>
    <s v="West Davidfurt"/>
    <x v="0"/>
    <n v="47.12"/>
    <n v="95"/>
    <x v="3"/>
    <x v="1"/>
    <s v="China, UK"/>
    <n v="251"/>
    <s v="High"/>
    <s v="Excellent"/>
  </r>
  <r>
    <x v="0"/>
    <x v="20"/>
    <x v="241"/>
    <x v="0"/>
    <s v="North Sarahfurt"/>
    <x v="3"/>
    <n v="43.25"/>
    <n v="52"/>
    <x v="3"/>
    <x v="2"/>
    <s v="Russia"/>
    <n v="57"/>
    <s v="High"/>
    <s v="Average"/>
  </r>
  <r>
    <x v="6"/>
    <x v="20"/>
    <x v="242"/>
    <x v="0"/>
    <s v="East Xavierborough"/>
    <x v="3"/>
    <n v="17.12"/>
    <n v="55"/>
    <x v="2"/>
    <x v="0"/>
    <s v="Russia"/>
    <n v="63"/>
    <s v="Medium"/>
    <s v="Average"/>
  </r>
  <r>
    <x v="6"/>
    <x v="2"/>
    <x v="243"/>
    <x v="1"/>
    <s v="Port Jenna"/>
    <x v="4"/>
    <n v="43.65"/>
    <n v="59"/>
    <x v="2"/>
    <x v="2"/>
    <s v="India, USA, UAE"/>
    <n v="365"/>
    <s v="High"/>
    <s v="Average"/>
  </r>
  <r>
    <x v="0"/>
    <x v="22"/>
    <x v="244"/>
    <x v="1"/>
    <s v="South Nancy"/>
    <x v="1"/>
    <n v="45.66"/>
    <n v="62"/>
    <x v="4"/>
    <x v="0"/>
    <s v="UK, Israel"/>
    <n v="252"/>
    <s v="High"/>
    <s v="Average"/>
  </r>
  <r>
    <x v="2"/>
    <x v="23"/>
    <x v="245"/>
    <x v="0"/>
    <s v="Richardsonfurt"/>
    <x v="1"/>
    <n v="48.27"/>
    <n v="52"/>
    <x v="0"/>
    <x v="1"/>
    <s v="Japan, India"/>
    <n v="169"/>
    <s v="High"/>
    <s v="Average"/>
  </r>
  <r>
    <x v="2"/>
    <x v="19"/>
    <x v="246"/>
    <x v="1"/>
    <s v="Lake Jeffrey"/>
    <x v="4"/>
    <n v="12.36"/>
    <n v="83"/>
    <x v="4"/>
    <x v="0"/>
    <s v="Israel, UK, Germany"/>
    <n v="169"/>
    <s v="Low"/>
    <s v="Good"/>
  </r>
  <r>
    <x v="8"/>
    <x v="25"/>
    <x v="247"/>
    <x v="0"/>
    <s v="Mirandaberg"/>
    <x v="4"/>
    <n v="10.88"/>
    <n v="71"/>
    <x v="1"/>
    <x v="2"/>
    <s v="Japan, Russia"/>
    <n v="153"/>
    <s v="Low"/>
    <s v="Average"/>
  </r>
  <r>
    <x v="6"/>
    <x v="25"/>
    <x v="248"/>
    <x v="0"/>
    <s v="Natalieborough"/>
    <x v="4"/>
    <n v="6.92"/>
    <n v="58"/>
    <x v="3"/>
    <x v="0"/>
    <s v="UAE, Israel, China"/>
    <n v="93"/>
    <s v="Low"/>
    <s v="Average"/>
  </r>
  <r>
    <x v="2"/>
    <x v="9"/>
    <x v="249"/>
    <x v="1"/>
    <s v="Kimberlybury"/>
    <x v="2"/>
    <n v="40.83"/>
    <n v="81"/>
    <x v="1"/>
    <x v="1"/>
    <s v="USA, China"/>
    <n v="237"/>
    <s v="High"/>
    <s v="Good"/>
  </r>
  <r>
    <x v="1"/>
    <x v="7"/>
    <x v="250"/>
    <x v="0"/>
    <s v="Murrayfort"/>
    <x v="1"/>
    <n v="25.15"/>
    <n v="52"/>
    <x v="0"/>
    <x v="2"/>
    <s v="India"/>
    <n v="216"/>
    <s v="Medium"/>
    <s v="Average"/>
  </r>
  <r>
    <x v="6"/>
    <x v="23"/>
    <x v="251"/>
    <x v="0"/>
    <s v="Perezstad"/>
    <x v="2"/>
    <n v="11.98"/>
    <n v="100"/>
    <x v="3"/>
    <x v="1"/>
    <s v="UK"/>
    <n v="62"/>
    <s v="Low"/>
    <s v="Excellent"/>
  </r>
  <r>
    <x v="9"/>
    <x v="24"/>
    <x v="252"/>
    <x v="1"/>
    <s v="West James"/>
    <x v="4"/>
    <n v="36.75"/>
    <n v="59"/>
    <x v="0"/>
    <x v="1"/>
    <s v="UAE"/>
    <n v="40"/>
    <s v="High"/>
    <s v="Average"/>
  </r>
  <r>
    <x v="1"/>
    <x v="16"/>
    <x v="253"/>
    <x v="1"/>
    <s v="Reynoldsmouth"/>
    <x v="1"/>
    <n v="30.25"/>
    <n v="87"/>
    <x v="4"/>
    <x v="0"/>
    <s v="India, Russia, China"/>
    <n v="107"/>
    <s v="Medium"/>
    <s v="Good"/>
  </r>
  <r>
    <x v="9"/>
    <x v="12"/>
    <x v="254"/>
    <x v="1"/>
    <s v="South Ryan"/>
    <x v="3"/>
    <n v="10.76"/>
    <n v="91"/>
    <x v="3"/>
    <x v="1"/>
    <s v="UK, France, China"/>
    <n v="343"/>
    <s v="Low"/>
    <s v="Excellent"/>
  </r>
  <r>
    <x v="6"/>
    <x v="17"/>
    <x v="255"/>
    <x v="1"/>
    <s v="Thompsonton"/>
    <x v="0"/>
    <n v="25.22"/>
    <n v="64"/>
    <x v="4"/>
    <x v="2"/>
    <s v="India"/>
    <n v="144"/>
    <s v="Medium"/>
    <s v="Average"/>
  </r>
  <r>
    <x v="2"/>
    <x v="20"/>
    <x v="256"/>
    <x v="0"/>
    <s v="Alvaradohaven"/>
    <x v="1"/>
    <n v="27.3"/>
    <n v="56"/>
    <x v="3"/>
    <x v="0"/>
    <s v="USA"/>
    <n v="321"/>
    <s v="Medium"/>
    <s v="Average"/>
  </r>
  <r>
    <x v="9"/>
    <x v="7"/>
    <x v="257"/>
    <x v="0"/>
    <s v="Deanchester"/>
    <x v="2"/>
    <n v="46.96"/>
    <n v="54"/>
    <x v="2"/>
    <x v="2"/>
    <s v="UK"/>
    <n v="235"/>
    <s v="High"/>
    <s v="Average"/>
  </r>
  <r>
    <x v="5"/>
    <x v="18"/>
    <x v="258"/>
    <x v="1"/>
    <s v="West Jaclynfort"/>
    <x v="0"/>
    <n v="31.82"/>
    <n v="83"/>
    <x v="4"/>
    <x v="0"/>
    <s v="China, Russia"/>
    <n v="78"/>
    <s v="Medium"/>
    <s v="Good"/>
  </r>
  <r>
    <x v="4"/>
    <x v="7"/>
    <x v="259"/>
    <x v="1"/>
    <s v="Hinesbury"/>
    <x v="1"/>
    <n v="6.81"/>
    <n v="74"/>
    <x v="1"/>
    <x v="0"/>
    <s v="India, UK, UAE"/>
    <n v="177"/>
    <s v="Low"/>
    <s v="Average"/>
  </r>
  <r>
    <x v="3"/>
    <x v="16"/>
    <x v="260"/>
    <x v="1"/>
    <s v="Port Joshuaville"/>
    <x v="4"/>
    <n v="41.19"/>
    <n v="58"/>
    <x v="0"/>
    <x v="2"/>
    <s v="Germany, Russia, UAE"/>
    <n v="48"/>
    <s v="High"/>
    <s v="Average"/>
  </r>
  <r>
    <x v="0"/>
    <x v="15"/>
    <x v="261"/>
    <x v="0"/>
    <s v="South Eric"/>
    <x v="2"/>
    <n v="49.23"/>
    <n v="56"/>
    <x v="0"/>
    <x v="1"/>
    <s v="Japan, Israel"/>
    <n v="113"/>
    <s v="High"/>
    <s v="Average"/>
  </r>
  <r>
    <x v="7"/>
    <x v="12"/>
    <x v="262"/>
    <x v="0"/>
    <s v="West Jesus"/>
    <x v="0"/>
    <n v="4.63"/>
    <n v="93"/>
    <x v="4"/>
    <x v="0"/>
    <s v="UAE, UK, France"/>
    <n v="178"/>
    <s v="Low"/>
    <s v="Excellent"/>
  </r>
  <r>
    <x v="1"/>
    <x v="23"/>
    <x v="263"/>
    <x v="1"/>
    <s v="West Angela"/>
    <x v="4"/>
    <n v="30.4"/>
    <n v="61"/>
    <x v="4"/>
    <x v="1"/>
    <s v="France"/>
    <n v="10"/>
    <s v="Medium"/>
    <s v="Average"/>
  </r>
  <r>
    <x v="5"/>
    <x v="8"/>
    <x v="264"/>
    <x v="0"/>
    <s v="Port Rebecca"/>
    <x v="2"/>
    <n v="41.51"/>
    <n v="64"/>
    <x v="1"/>
    <x v="2"/>
    <s v="Israel"/>
    <n v="96"/>
    <s v="High"/>
    <s v="Average"/>
  </r>
  <r>
    <x v="1"/>
    <x v="17"/>
    <x v="265"/>
    <x v="0"/>
    <s v="Daviston"/>
    <x v="4"/>
    <n v="8.01"/>
    <n v="96"/>
    <x v="0"/>
    <x v="1"/>
    <s v="Germany, UAE"/>
    <n v="179"/>
    <s v="Low"/>
    <s v="Excellent"/>
  </r>
  <r>
    <x v="1"/>
    <x v="17"/>
    <x v="266"/>
    <x v="1"/>
    <s v="Webbbury"/>
    <x v="3"/>
    <n v="44.18"/>
    <n v="54"/>
    <x v="0"/>
    <x v="1"/>
    <s v="Germany, Israel, UK"/>
    <n v="316"/>
    <s v="High"/>
    <s v="Average"/>
  </r>
  <r>
    <x v="8"/>
    <x v="20"/>
    <x v="267"/>
    <x v="0"/>
    <s v="Mccartytown"/>
    <x v="2"/>
    <n v="12.38"/>
    <n v="79"/>
    <x v="1"/>
    <x v="0"/>
    <s v="UAE"/>
    <n v="311"/>
    <s v="Low"/>
    <s v="Good"/>
  </r>
  <r>
    <x v="2"/>
    <x v="17"/>
    <x v="268"/>
    <x v="1"/>
    <s v="New Gary"/>
    <x v="2"/>
    <n v="5.0199999999999996"/>
    <n v="97"/>
    <x v="0"/>
    <x v="2"/>
    <s v="China, France"/>
    <n v="311"/>
    <s v="Low"/>
    <s v="Excellent"/>
  </r>
  <r>
    <x v="2"/>
    <x v="6"/>
    <x v="269"/>
    <x v="0"/>
    <s v="Lake Erikamouth"/>
    <x v="4"/>
    <n v="27.52"/>
    <n v="100"/>
    <x v="1"/>
    <x v="1"/>
    <s v="Israel, Germany, USA"/>
    <n v="153"/>
    <s v="Medium"/>
    <s v="Excellent"/>
  </r>
  <r>
    <x v="6"/>
    <x v="7"/>
    <x v="270"/>
    <x v="1"/>
    <s v="Port Hannahside"/>
    <x v="0"/>
    <n v="49.53"/>
    <n v="56"/>
    <x v="2"/>
    <x v="0"/>
    <s v="UAE, China, Israel"/>
    <n v="36"/>
    <s v="High"/>
    <s v="Average"/>
  </r>
  <r>
    <x v="5"/>
    <x v="13"/>
    <x v="271"/>
    <x v="0"/>
    <s v="New Brianmouth"/>
    <x v="3"/>
    <n v="3.81"/>
    <n v="53"/>
    <x v="4"/>
    <x v="2"/>
    <s v="Russia"/>
    <n v="6"/>
    <s v="Low"/>
    <s v="Average"/>
  </r>
  <r>
    <x v="7"/>
    <x v="19"/>
    <x v="272"/>
    <x v="0"/>
    <s v="South Ana"/>
    <x v="1"/>
    <n v="25.13"/>
    <n v="71"/>
    <x v="1"/>
    <x v="2"/>
    <s v="France"/>
    <n v="238"/>
    <s v="Medium"/>
    <s v="Average"/>
  </r>
  <r>
    <x v="4"/>
    <x v="22"/>
    <x v="273"/>
    <x v="0"/>
    <s v="Paulaberg"/>
    <x v="3"/>
    <n v="40.44"/>
    <n v="79"/>
    <x v="1"/>
    <x v="0"/>
    <s v="France, China"/>
    <n v="209"/>
    <s v="High"/>
    <s v="Good"/>
  </r>
  <r>
    <x v="4"/>
    <x v="19"/>
    <x v="274"/>
    <x v="0"/>
    <s v="Davidton"/>
    <x v="3"/>
    <n v="30.99"/>
    <n v="56"/>
    <x v="0"/>
    <x v="1"/>
    <s v="USA"/>
    <n v="208"/>
    <s v="Medium"/>
    <s v="Average"/>
  </r>
  <r>
    <x v="4"/>
    <x v="25"/>
    <x v="275"/>
    <x v="1"/>
    <s v="New Cynthiaport"/>
    <x v="0"/>
    <n v="41.84"/>
    <n v="62"/>
    <x v="1"/>
    <x v="0"/>
    <s v="UAE, Israel"/>
    <n v="166"/>
    <s v="High"/>
    <s v="Average"/>
  </r>
  <r>
    <x v="6"/>
    <x v="19"/>
    <x v="276"/>
    <x v="1"/>
    <s v="Lake Nicholas"/>
    <x v="0"/>
    <n v="27.23"/>
    <n v="62"/>
    <x v="0"/>
    <x v="1"/>
    <s v="France"/>
    <n v="205"/>
    <s v="Medium"/>
    <s v="Average"/>
  </r>
  <r>
    <x v="9"/>
    <x v="15"/>
    <x v="277"/>
    <x v="1"/>
    <s v="Port Jennifer"/>
    <x v="0"/>
    <n v="14.7"/>
    <n v="71"/>
    <x v="1"/>
    <x v="0"/>
    <s v="Russia, India, China"/>
    <n v="281"/>
    <s v="Low"/>
    <s v="Average"/>
  </r>
  <r>
    <x v="1"/>
    <x v="23"/>
    <x v="278"/>
    <x v="0"/>
    <s v="Parkborough"/>
    <x v="4"/>
    <n v="38.42"/>
    <n v="84"/>
    <x v="0"/>
    <x v="1"/>
    <s v="USA, Israel, France"/>
    <n v="203"/>
    <s v="High"/>
    <s v="Good"/>
  </r>
  <r>
    <x v="7"/>
    <x v="21"/>
    <x v="279"/>
    <x v="0"/>
    <s v="Amandastad"/>
    <x v="2"/>
    <n v="33.18"/>
    <n v="63"/>
    <x v="4"/>
    <x v="1"/>
    <s v="UK, Germany, China"/>
    <n v="221"/>
    <s v="Medium"/>
    <s v="Average"/>
  </r>
  <r>
    <x v="7"/>
    <x v="24"/>
    <x v="280"/>
    <x v="1"/>
    <s v="South Sierraport"/>
    <x v="2"/>
    <n v="18.89"/>
    <n v="52"/>
    <x v="1"/>
    <x v="0"/>
    <s v="China, Russia, UAE"/>
    <n v="291"/>
    <s v="Medium"/>
    <s v="Average"/>
  </r>
  <r>
    <x v="5"/>
    <x v="17"/>
    <x v="281"/>
    <x v="0"/>
    <s v="Port Justin"/>
    <x v="4"/>
    <n v="8.51"/>
    <n v="50"/>
    <x v="0"/>
    <x v="2"/>
    <s v="India, Israel, UAE"/>
    <n v="353"/>
    <s v="Low"/>
    <s v="Average"/>
  </r>
  <r>
    <x v="3"/>
    <x v="5"/>
    <x v="282"/>
    <x v="1"/>
    <s v="Nguyenton"/>
    <x v="2"/>
    <n v="16.98"/>
    <n v="95"/>
    <x v="0"/>
    <x v="1"/>
    <s v="India, Russia"/>
    <n v="98"/>
    <s v="Medium"/>
    <s v="Excellent"/>
  </r>
  <r>
    <x v="7"/>
    <x v="4"/>
    <x v="283"/>
    <x v="1"/>
    <s v="Ballmouth"/>
    <x v="2"/>
    <n v="19.32"/>
    <n v="84"/>
    <x v="0"/>
    <x v="1"/>
    <s v="Germany, Japan"/>
    <n v="209"/>
    <s v="Medium"/>
    <s v="Good"/>
  </r>
  <r>
    <x v="4"/>
    <x v="0"/>
    <x v="284"/>
    <x v="1"/>
    <s v="Carterberg"/>
    <x v="1"/>
    <n v="6.53"/>
    <n v="87"/>
    <x v="3"/>
    <x v="1"/>
    <s v="Japan, USA, France"/>
    <n v="315"/>
    <s v="Low"/>
    <s v="Good"/>
  </r>
  <r>
    <x v="2"/>
    <x v="16"/>
    <x v="285"/>
    <x v="0"/>
    <s v="West Charles"/>
    <x v="2"/>
    <n v="38.21"/>
    <n v="56"/>
    <x v="4"/>
    <x v="2"/>
    <s v="France, UK"/>
    <n v="341"/>
    <s v="High"/>
    <s v="Average"/>
  </r>
  <r>
    <x v="0"/>
    <x v="20"/>
    <x v="286"/>
    <x v="1"/>
    <s v="South Jamesstad"/>
    <x v="4"/>
    <n v="24.06"/>
    <n v="57"/>
    <x v="0"/>
    <x v="1"/>
    <s v="USA"/>
    <n v="73"/>
    <s v="Medium"/>
    <s v="Average"/>
  </r>
  <r>
    <x v="4"/>
    <x v="19"/>
    <x v="287"/>
    <x v="0"/>
    <s v="Stephenburgh"/>
    <x v="3"/>
    <n v="9.8699999999999992"/>
    <n v="91"/>
    <x v="1"/>
    <x v="1"/>
    <s v="UK, India, Russia"/>
    <n v="255"/>
    <s v="Low"/>
    <s v="Excellent"/>
  </r>
  <r>
    <x v="3"/>
    <x v="6"/>
    <x v="288"/>
    <x v="0"/>
    <s v="West Maryshire"/>
    <x v="1"/>
    <n v="4.82"/>
    <n v="50"/>
    <x v="0"/>
    <x v="0"/>
    <s v="Germany, Japan, France"/>
    <n v="52"/>
    <s v="Low"/>
    <s v="Average"/>
  </r>
  <r>
    <x v="2"/>
    <x v="3"/>
    <x v="289"/>
    <x v="0"/>
    <s v="South Micheleville"/>
    <x v="2"/>
    <n v="31.77"/>
    <n v="70"/>
    <x v="1"/>
    <x v="0"/>
    <s v="Israel, Japan, China"/>
    <n v="295"/>
    <s v="Medium"/>
    <s v="Average"/>
  </r>
  <r>
    <x v="9"/>
    <x v="5"/>
    <x v="290"/>
    <x v="0"/>
    <s v="Alexanderchester"/>
    <x v="3"/>
    <n v="30.07"/>
    <n v="56"/>
    <x v="0"/>
    <x v="0"/>
    <s v="France, Germany, USA"/>
    <n v="97"/>
    <s v="Medium"/>
    <s v="Average"/>
  </r>
  <r>
    <x v="5"/>
    <x v="18"/>
    <x v="291"/>
    <x v="0"/>
    <s v="East Michaeltown"/>
    <x v="1"/>
    <n v="31.87"/>
    <n v="53"/>
    <x v="4"/>
    <x v="1"/>
    <s v="Russia, USA, Germany"/>
    <n v="223"/>
    <s v="Medium"/>
    <s v="Average"/>
  </r>
  <r>
    <x v="9"/>
    <x v="6"/>
    <x v="292"/>
    <x v="0"/>
    <s v="West Jennifer"/>
    <x v="4"/>
    <n v="38.56"/>
    <n v="86"/>
    <x v="2"/>
    <x v="1"/>
    <s v="Israel, USA, China"/>
    <n v="151"/>
    <s v="High"/>
    <s v="Good"/>
  </r>
  <r>
    <x v="7"/>
    <x v="0"/>
    <x v="293"/>
    <x v="1"/>
    <s v="Lammouth"/>
    <x v="1"/>
    <n v="7.53"/>
    <n v="100"/>
    <x v="0"/>
    <x v="0"/>
    <s v="France, UK"/>
    <n v="205"/>
    <s v="Low"/>
    <s v="Excellent"/>
  </r>
  <r>
    <x v="0"/>
    <x v="5"/>
    <x v="294"/>
    <x v="0"/>
    <s v="West Elizabeth"/>
    <x v="0"/>
    <n v="42.35"/>
    <n v="66"/>
    <x v="0"/>
    <x v="1"/>
    <s v="Israel, Russia"/>
    <n v="110"/>
    <s v="High"/>
    <s v="Average"/>
  </r>
  <r>
    <x v="0"/>
    <x v="9"/>
    <x v="295"/>
    <x v="0"/>
    <s v="Lake Pamelabury"/>
    <x v="1"/>
    <n v="46.16"/>
    <n v="74"/>
    <x v="3"/>
    <x v="1"/>
    <s v="Russia, Japan, China"/>
    <n v="133"/>
    <s v="High"/>
    <s v="Average"/>
  </r>
  <r>
    <x v="2"/>
    <x v="22"/>
    <x v="296"/>
    <x v="0"/>
    <s v="Port Deniseburgh"/>
    <x v="3"/>
    <n v="31.98"/>
    <n v="67"/>
    <x v="0"/>
    <x v="1"/>
    <s v="France"/>
    <n v="203"/>
    <s v="Medium"/>
    <s v="Average"/>
  </r>
  <r>
    <x v="9"/>
    <x v="9"/>
    <x v="297"/>
    <x v="0"/>
    <s v="Sotoland"/>
    <x v="4"/>
    <n v="1.62"/>
    <n v="65"/>
    <x v="1"/>
    <x v="0"/>
    <s v="China, Japan"/>
    <n v="234"/>
    <s v="Low"/>
    <s v="Average"/>
  </r>
  <r>
    <x v="0"/>
    <x v="12"/>
    <x v="298"/>
    <x v="0"/>
    <s v="West Bradleyside"/>
    <x v="2"/>
    <n v="5.01"/>
    <n v="99"/>
    <x v="0"/>
    <x v="2"/>
    <s v="UK, Japan, India"/>
    <n v="90"/>
    <s v="Low"/>
    <s v="Excellent"/>
  </r>
  <r>
    <x v="2"/>
    <x v="11"/>
    <x v="299"/>
    <x v="0"/>
    <s v="Andersonbury"/>
    <x v="2"/>
    <n v="22.01"/>
    <n v="52"/>
    <x v="2"/>
    <x v="1"/>
    <s v="Germany, France, China"/>
    <n v="195"/>
    <s v="Medium"/>
    <s v="Average"/>
  </r>
  <r>
    <x v="7"/>
    <x v="24"/>
    <x v="300"/>
    <x v="1"/>
    <s v="Callahanstad"/>
    <x v="1"/>
    <n v="41.41"/>
    <n v="77"/>
    <x v="4"/>
    <x v="0"/>
    <s v="USA, Russia, Japan"/>
    <n v="178"/>
    <s v="High"/>
    <s v="Good"/>
  </r>
  <r>
    <x v="3"/>
    <x v="25"/>
    <x v="301"/>
    <x v="1"/>
    <s v="North Michael"/>
    <x v="4"/>
    <n v="7.5"/>
    <n v="59"/>
    <x v="1"/>
    <x v="0"/>
    <s v="France, UAE"/>
    <n v="78"/>
    <s v="Low"/>
    <s v="Average"/>
  </r>
  <r>
    <x v="5"/>
    <x v="20"/>
    <x v="302"/>
    <x v="1"/>
    <s v="Stuartfurt"/>
    <x v="2"/>
    <n v="42.55"/>
    <n v="63"/>
    <x v="2"/>
    <x v="1"/>
    <s v="China, Japan"/>
    <n v="198"/>
    <s v="High"/>
    <s v="Average"/>
  </r>
  <r>
    <x v="8"/>
    <x v="2"/>
    <x v="303"/>
    <x v="0"/>
    <s v="Connieberg"/>
    <x v="2"/>
    <n v="1.94"/>
    <n v="67"/>
    <x v="3"/>
    <x v="2"/>
    <s v="China, Japan"/>
    <n v="205"/>
    <s v="Low"/>
    <s v="Average"/>
  </r>
  <r>
    <x v="5"/>
    <x v="15"/>
    <x v="304"/>
    <x v="1"/>
    <s v="South Jeffreyland"/>
    <x v="4"/>
    <n v="47.91"/>
    <n v="96"/>
    <x v="4"/>
    <x v="2"/>
    <s v="Israel, USA, Japan"/>
    <n v="86"/>
    <s v="High"/>
    <s v="Excellent"/>
  </r>
  <r>
    <x v="5"/>
    <x v="23"/>
    <x v="305"/>
    <x v="1"/>
    <s v="Lake Raymondville"/>
    <x v="2"/>
    <n v="18.8"/>
    <n v="90"/>
    <x v="2"/>
    <x v="2"/>
    <s v="China, UK"/>
    <n v="41"/>
    <s v="Medium"/>
    <s v="Excellent"/>
  </r>
  <r>
    <x v="1"/>
    <x v="13"/>
    <x v="306"/>
    <x v="1"/>
    <s v="Fischerfort"/>
    <x v="3"/>
    <n v="6.12"/>
    <n v="94"/>
    <x v="1"/>
    <x v="0"/>
    <s v="India, Germany, China"/>
    <n v="253"/>
    <s v="Low"/>
    <s v="Excellent"/>
  </r>
  <r>
    <x v="8"/>
    <x v="22"/>
    <x v="307"/>
    <x v="1"/>
    <s v="North Troystad"/>
    <x v="1"/>
    <n v="25.55"/>
    <n v="58"/>
    <x v="1"/>
    <x v="0"/>
    <s v="Germany"/>
    <n v="117"/>
    <s v="Medium"/>
    <s v="Average"/>
  </r>
  <r>
    <x v="1"/>
    <x v="21"/>
    <x v="308"/>
    <x v="1"/>
    <s v="North Richardbury"/>
    <x v="3"/>
    <n v="25.52"/>
    <n v="52"/>
    <x v="4"/>
    <x v="0"/>
    <s v="China"/>
    <n v="157"/>
    <s v="Medium"/>
    <s v="Average"/>
  </r>
  <r>
    <x v="1"/>
    <x v="6"/>
    <x v="309"/>
    <x v="1"/>
    <s v="Jennifermouth"/>
    <x v="0"/>
    <n v="21.75"/>
    <n v="79"/>
    <x v="2"/>
    <x v="2"/>
    <s v="France"/>
    <n v="135"/>
    <s v="Medium"/>
    <s v="Good"/>
  </r>
  <r>
    <x v="0"/>
    <x v="25"/>
    <x v="310"/>
    <x v="0"/>
    <s v="Nicolebury"/>
    <x v="4"/>
    <n v="31.13"/>
    <n v="92"/>
    <x v="1"/>
    <x v="0"/>
    <s v="India, Russia, Israel"/>
    <n v="203"/>
    <s v="Medium"/>
    <s v="Excellent"/>
  </r>
  <r>
    <x v="4"/>
    <x v="0"/>
    <x v="311"/>
    <x v="0"/>
    <s v="Michaelburgh"/>
    <x v="4"/>
    <n v="48.05"/>
    <n v="94"/>
    <x v="4"/>
    <x v="2"/>
    <s v="Japan, Israel, France"/>
    <n v="74"/>
    <s v="High"/>
    <s v="Excellent"/>
  </r>
  <r>
    <x v="0"/>
    <x v="3"/>
    <x v="312"/>
    <x v="1"/>
    <s v="North Brandi"/>
    <x v="0"/>
    <n v="7.7"/>
    <n v="77"/>
    <x v="4"/>
    <x v="2"/>
    <s v="UAE"/>
    <n v="179"/>
    <s v="Low"/>
    <s v="Good"/>
  </r>
  <r>
    <x v="8"/>
    <x v="7"/>
    <x v="313"/>
    <x v="1"/>
    <s v="Richardshaven"/>
    <x v="3"/>
    <n v="17.98"/>
    <n v="78"/>
    <x v="1"/>
    <x v="1"/>
    <s v="Israel, Russia, USA"/>
    <n v="176"/>
    <s v="Medium"/>
    <s v="Good"/>
  </r>
  <r>
    <x v="3"/>
    <x v="23"/>
    <x v="314"/>
    <x v="0"/>
    <s v="West Yolanda"/>
    <x v="2"/>
    <n v="10.98"/>
    <n v="52"/>
    <x v="0"/>
    <x v="0"/>
    <s v="UK, Germany"/>
    <n v="134"/>
    <s v="Low"/>
    <s v="Average"/>
  </r>
  <r>
    <x v="8"/>
    <x v="16"/>
    <x v="315"/>
    <x v="0"/>
    <s v="Lake Zoefurt"/>
    <x v="0"/>
    <n v="0.91"/>
    <n v="62"/>
    <x v="3"/>
    <x v="1"/>
    <s v="Russia"/>
    <n v="328"/>
    <s v="Low"/>
    <s v="Average"/>
  </r>
  <r>
    <x v="5"/>
    <x v="21"/>
    <x v="316"/>
    <x v="1"/>
    <s v="Hornstad"/>
    <x v="0"/>
    <n v="18.28"/>
    <n v="96"/>
    <x v="3"/>
    <x v="2"/>
    <s v="UK, India"/>
    <n v="244"/>
    <s v="Medium"/>
    <s v="Excellent"/>
  </r>
  <r>
    <x v="8"/>
    <x v="25"/>
    <x v="317"/>
    <x v="0"/>
    <s v="Nicolemouth"/>
    <x v="3"/>
    <n v="45.79"/>
    <n v="96"/>
    <x v="1"/>
    <x v="2"/>
    <s v="USA, Israel"/>
    <n v="346"/>
    <s v="High"/>
    <s v="Excellent"/>
  </r>
  <r>
    <x v="9"/>
    <x v="14"/>
    <x v="318"/>
    <x v="1"/>
    <s v="Bowmanmouth"/>
    <x v="2"/>
    <n v="2.27"/>
    <n v="80"/>
    <x v="0"/>
    <x v="1"/>
    <s v="Russia, China, France"/>
    <n v="71"/>
    <s v="Low"/>
    <s v="Good"/>
  </r>
  <r>
    <x v="2"/>
    <x v="21"/>
    <x v="319"/>
    <x v="0"/>
    <s v="Port Andreston"/>
    <x v="4"/>
    <n v="49.58"/>
    <n v="97"/>
    <x v="3"/>
    <x v="1"/>
    <s v="Germany, France, USA"/>
    <n v="103"/>
    <s v="High"/>
    <s v="Excellent"/>
  </r>
  <r>
    <x v="4"/>
    <x v="10"/>
    <x v="320"/>
    <x v="1"/>
    <s v="Lake Margaret"/>
    <x v="2"/>
    <n v="25.6"/>
    <n v="78"/>
    <x v="1"/>
    <x v="2"/>
    <s v="Germany"/>
    <n v="7"/>
    <s v="Medium"/>
    <s v="Good"/>
  </r>
  <r>
    <x v="0"/>
    <x v="19"/>
    <x v="321"/>
    <x v="1"/>
    <s v="Walkerborough"/>
    <x v="4"/>
    <n v="10.63"/>
    <n v="90"/>
    <x v="3"/>
    <x v="1"/>
    <s v="UAE"/>
    <n v="119"/>
    <s v="Low"/>
    <s v="Excellent"/>
  </r>
  <r>
    <x v="1"/>
    <x v="7"/>
    <x v="322"/>
    <x v="1"/>
    <s v="Annamouth"/>
    <x v="0"/>
    <n v="15.42"/>
    <n v="50"/>
    <x v="1"/>
    <x v="1"/>
    <s v="Japan, USA, China"/>
    <n v="339"/>
    <s v="Medium"/>
    <s v="Average"/>
  </r>
  <r>
    <x v="0"/>
    <x v="11"/>
    <x v="323"/>
    <x v="0"/>
    <s v="Port William"/>
    <x v="2"/>
    <n v="49.33"/>
    <n v="72"/>
    <x v="3"/>
    <x v="1"/>
    <s v="Germany, China, UK"/>
    <n v="244"/>
    <s v="High"/>
    <s v="Average"/>
  </r>
  <r>
    <x v="2"/>
    <x v="0"/>
    <x v="324"/>
    <x v="0"/>
    <s v="Port Emily"/>
    <x v="1"/>
    <n v="18.54"/>
    <n v="100"/>
    <x v="1"/>
    <x v="0"/>
    <s v="India"/>
    <n v="123"/>
    <s v="Medium"/>
    <s v="Excellent"/>
  </r>
  <r>
    <x v="2"/>
    <x v="25"/>
    <x v="325"/>
    <x v="1"/>
    <s v="New Jeremiah"/>
    <x v="2"/>
    <n v="38.17"/>
    <n v="98"/>
    <x v="1"/>
    <x v="0"/>
    <s v="UK, India, Israel"/>
    <n v="206"/>
    <s v="High"/>
    <s v="Excellent"/>
  </r>
  <r>
    <x v="4"/>
    <x v="6"/>
    <x v="326"/>
    <x v="1"/>
    <s v="South Jacqueline"/>
    <x v="3"/>
    <n v="19.579999999999998"/>
    <n v="96"/>
    <x v="3"/>
    <x v="0"/>
    <s v="India, USA, Israel"/>
    <n v="74"/>
    <s v="Medium"/>
    <s v="Excellent"/>
  </r>
  <r>
    <x v="2"/>
    <x v="9"/>
    <x v="327"/>
    <x v="0"/>
    <s v="Simonborough"/>
    <x v="2"/>
    <n v="17.86"/>
    <n v="64"/>
    <x v="1"/>
    <x v="0"/>
    <s v="Japan"/>
    <n v="332"/>
    <s v="Medium"/>
    <s v="Average"/>
  </r>
  <r>
    <x v="8"/>
    <x v="19"/>
    <x v="328"/>
    <x v="1"/>
    <s v="Nielsenside"/>
    <x v="2"/>
    <n v="47.87"/>
    <n v="71"/>
    <x v="1"/>
    <x v="0"/>
    <s v="Israel"/>
    <n v="65"/>
    <s v="High"/>
    <s v="Average"/>
  </r>
  <r>
    <x v="1"/>
    <x v="23"/>
    <x v="329"/>
    <x v="1"/>
    <s v="North Maryhaven"/>
    <x v="2"/>
    <n v="35.76"/>
    <n v="84"/>
    <x v="2"/>
    <x v="1"/>
    <s v="Germany"/>
    <n v="316"/>
    <s v="High"/>
    <s v="Good"/>
  </r>
  <r>
    <x v="5"/>
    <x v="12"/>
    <x v="330"/>
    <x v="0"/>
    <s v="East Deannatown"/>
    <x v="2"/>
    <n v="38.57"/>
    <n v="58"/>
    <x v="2"/>
    <x v="0"/>
    <s v="Japan"/>
    <n v="29"/>
    <s v="High"/>
    <s v="Average"/>
  </r>
  <r>
    <x v="6"/>
    <x v="5"/>
    <x v="331"/>
    <x v="1"/>
    <s v="Walkertown"/>
    <x v="4"/>
    <n v="34.909999999999997"/>
    <n v="65"/>
    <x v="2"/>
    <x v="1"/>
    <s v="UK, UAE, India"/>
    <n v="188"/>
    <s v="Medium"/>
    <s v="Average"/>
  </r>
  <r>
    <x v="2"/>
    <x v="22"/>
    <x v="332"/>
    <x v="0"/>
    <s v="Jessicastad"/>
    <x v="3"/>
    <n v="9.26"/>
    <n v="62"/>
    <x v="0"/>
    <x v="2"/>
    <s v="Israel"/>
    <n v="95"/>
    <s v="Low"/>
    <s v="Average"/>
  </r>
  <r>
    <x v="9"/>
    <x v="10"/>
    <x v="333"/>
    <x v="0"/>
    <s v="Jacquelinefurt"/>
    <x v="3"/>
    <n v="28.65"/>
    <n v="60"/>
    <x v="1"/>
    <x v="0"/>
    <s v="China, UK"/>
    <n v="37"/>
    <s v="Medium"/>
    <s v="Average"/>
  </r>
  <r>
    <x v="3"/>
    <x v="17"/>
    <x v="334"/>
    <x v="1"/>
    <s v="Janetport"/>
    <x v="1"/>
    <n v="6.74"/>
    <n v="67"/>
    <x v="4"/>
    <x v="1"/>
    <s v="USA"/>
    <n v="237"/>
    <s v="Low"/>
    <s v="Average"/>
  </r>
  <r>
    <x v="3"/>
    <x v="25"/>
    <x v="335"/>
    <x v="0"/>
    <s v="Lake Erika"/>
    <x v="0"/>
    <n v="11.66"/>
    <n v="82"/>
    <x v="3"/>
    <x v="0"/>
    <s v="USA, UAE, Germany"/>
    <n v="90"/>
    <s v="Low"/>
    <s v="Good"/>
  </r>
  <r>
    <x v="2"/>
    <x v="15"/>
    <x v="336"/>
    <x v="0"/>
    <s v="Walshstad"/>
    <x v="0"/>
    <n v="47.97"/>
    <n v="95"/>
    <x v="3"/>
    <x v="1"/>
    <s v="UK"/>
    <n v="53"/>
    <s v="High"/>
    <s v="Excellent"/>
  </r>
  <r>
    <x v="8"/>
    <x v="14"/>
    <x v="337"/>
    <x v="0"/>
    <s v="South Donna"/>
    <x v="0"/>
    <n v="11.54"/>
    <n v="52"/>
    <x v="0"/>
    <x v="1"/>
    <s v="UK, Russia, Israel"/>
    <n v="307"/>
    <s v="Low"/>
    <s v="Average"/>
  </r>
  <r>
    <x v="0"/>
    <x v="4"/>
    <x v="338"/>
    <x v="1"/>
    <s v="Greenbury"/>
    <x v="3"/>
    <n v="14.54"/>
    <n v="85"/>
    <x v="1"/>
    <x v="1"/>
    <s v="Israel"/>
    <n v="122"/>
    <s v="Low"/>
    <s v="Good"/>
  </r>
  <r>
    <x v="2"/>
    <x v="8"/>
    <x v="339"/>
    <x v="0"/>
    <s v="Simmonsborough"/>
    <x v="4"/>
    <n v="42.01"/>
    <n v="76"/>
    <x v="2"/>
    <x v="2"/>
    <s v="China, Japan"/>
    <n v="252"/>
    <s v="High"/>
    <s v="Good"/>
  </r>
  <r>
    <x v="4"/>
    <x v="13"/>
    <x v="340"/>
    <x v="1"/>
    <s v="Robertfort"/>
    <x v="3"/>
    <n v="15.64"/>
    <n v="54"/>
    <x v="3"/>
    <x v="2"/>
    <s v="UK, UAE, China"/>
    <n v="98"/>
    <s v="Medium"/>
    <s v="Average"/>
  </r>
  <r>
    <x v="5"/>
    <x v="25"/>
    <x v="341"/>
    <x v="0"/>
    <s v="Ochoatown"/>
    <x v="1"/>
    <n v="34.08"/>
    <n v="79"/>
    <x v="1"/>
    <x v="0"/>
    <s v="UAE"/>
    <n v="331"/>
    <s v="Medium"/>
    <s v="Good"/>
  </r>
  <r>
    <x v="5"/>
    <x v="18"/>
    <x v="342"/>
    <x v="0"/>
    <s v="Sotoborough"/>
    <x v="4"/>
    <n v="8.92"/>
    <n v="51"/>
    <x v="4"/>
    <x v="1"/>
    <s v="Russia"/>
    <n v="243"/>
    <s v="Low"/>
    <s v="Average"/>
  </r>
  <r>
    <x v="0"/>
    <x v="12"/>
    <x v="343"/>
    <x v="0"/>
    <s v="Ryanshire"/>
    <x v="1"/>
    <n v="6.64"/>
    <n v="88"/>
    <x v="1"/>
    <x v="1"/>
    <s v="USA, Israel, Germany"/>
    <n v="337"/>
    <s v="Low"/>
    <s v="Good"/>
  </r>
  <r>
    <x v="0"/>
    <x v="12"/>
    <x v="344"/>
    <x v="0"/>
    <s v="Mendozaland"/>
    <x v="3"/>
    <n v="12.21"/>
    <n v="58"/>
    <x v="3"/>
    <x v="0"/>
    <s v="USA, India"/>
    <n v="129"/>
    <s v="Low"/>
    <s v="Average"/>
  </r>
  <r>
    <x v="4"/>
    <x v="14"/>
    <x v="345"/>
    <x v="0"/>
    <s v="Lake Danielview"/>
    <x v="2"/>
    <n v="30.52"/>
    <n v="65"/>
    <x v="3"/>
    <x v="0"/>
    <s v="USA"/>
    <n v="118"/>
    <s v="Medium"/>
    <s v="Average"/>
  </r>
  <r>
    <x v="0"/>
    <x v="21"/>
    <x v="346"/>
    <x v="1"/>
    <s v="New Shawn"/>
    <x v="1"/>
    <n v="21.93"/>
    <n v="71"/>
    <x v="4"/>
    <x v="2"/>
    <s v="Germany, India, Israel"/>
    <n v="269"/>
    <s v="Medium"/>
    <s v="Average"/>
  </r>
  <r>
    <x v="7"/>
    <x v="7"/>
    <x v="347"/>
    <x v="0"/>
    <s v="Amandaborough"/>
    <x v="3"/>
    <n v="26.8"/>
    <n v="87"/>
    <x v="2"/>
    <x v="2"/>
    <s v="France, Japan"/>
    <n v="198"/>
    <s v="Medium"/>
    <s v="Good"/>
  </r>
  <r>
    <x v="3"/>
    <x v="17"/>
    <x v="348"/>
    <x v="1"/>
    <s v="East Holly"/>
    <x v="4"/>
    <n v="34.29"/>
    <n v="75"/>
    <x v="3"/>
    <x v="2"/>
    <s v="UAE"/>
    <n v="199"/>
    <s v="Medium"/>
    <s v="Good"/>
  </r>
  <r>
    <x v="7"/>
    <x v="6"/>
    <x v="349"/>
    <x v="0"/>
    <s v="Michelleborough"/>
    <x v="4"/>
    <n v="31.11"/>
    <n v="95"/>
    <x v="0"/>
    <x v="0"/>
    <s v="UAE, UK, Japan"/>
    <n v="138"/>
    <s v="Medium"/>
    <s v="Excellent"/>
  </r>
  <r>
    <x v="8"/>
    <x v="4"/>
    <x v="350"/>
    <x v="1"/>
    <s v="Port Michelleland"/>
    <x v="4"/>
    <n v="25.88"/>
    <n v="89"/>
    <x v="0"/>
    <x v="0"/>
    <s v="Germany, France"/>
    <n v="326"/>
    <s v="Medium"/>
    <s v="Good"/>
  </r>
  <r>
    <x v="5"/>
    <x v="7"/>
    <x v="351"/>
    <x v="1"/>
    <s v="Lake Thomas"/>
    <x v="3"/>
    <n v="36.97"/>
    <n v="96"/>
    <x v="4"/>
    <x v="1"/>
    <s v="USA, China, Russia"/>
    <n v="15"/>
    <s v="High"/>
    <s v="Excellent"/>
  </r>
  <r>
    <x v="2"/>
    <x v="8"/>
    <x v="352"/>
    <x v="0"/>
    <s v="West Caleb"/>
    <x v="1"/>
    <n v="40.67"/>
    <n v="55"/>
    <x v="0"/>
    <x v="2"/>
    <s v="India, Japan"/>
    <n v="247"/>
    <s v="High"/>
    <s v="Average"/>
  </r>
  <r>
    <x v="5"/>
    <x v="11"/>
    <x v="353"/>
    <x v="0"/>
    <s v="Patrickfort"/>
    <x v="4"/>
    <n v="5.3"/>
    <n v="52"/>
    <x v="4"/>
    <x v="0"/>
    <s v="Japan"/>
    <n v="165"/>
    <s v="Low"/>
    <s v="Average"/>
  </r>
  <r>
    <x v="2"/>
    <x v="10"/>
    <x v="354"/>
    <x v="0"/>
    <s v="Teresaview"/>
    <x v="3"/>
    <n v="18.25"/>
    <n v="54"/>
    <x v="0"/>
    <x v="1"/>
    <s v="Russia, UK"/>
    <n v="272"/>
    <s v="Medium"/>
    <s v="Average"/>
  </r>
  <r>
    <x v="1"/>
    <x v="12"/>
    <x v="355"/>
    <x v="0"/>
    <s v="Port Zachary"/>
    <x v="2"/>
    <n v="19.23"/>
    <n v="81"/>
    <x v="1"/>
    <x v="2"/>
    <s v="Russia, Germany"/>
    <n v="285"/>
    <s v="Medium"/>
    <s v="Good"/>
  </r>
  <r>
    <x v="1"/>
    <x v="21"/>
    <x v="356"/>
    <x v="0"/>
    <s v="South Trevorberg"/>
    <x v="4"/>
    <n v="9.32"/>
    <n v="92"/>
    <x v="3"/>
    <x v="0"/>
    <s v="USA, UAE"/>
    <n v="345"/>
    <s v="Low"/>
    <s v="Excellent"/>
  </r>
  <r>
    <x v="8"/>
    <x v="4"/>
    <x v="357"/>
    <x v="0"/>
    <s v="Russellville"/>
    <x v="1"/>
    <n v="34.700000000000003"/>
    <n v="67"/>
    <x v="4"/>
    <x v="0"/>
    <s v="Germany, Israel"/>
    <n v="208"/>
    <s v="Medium"/>
    <s v="Average"/>
  </r>
  <r>
    <x v="4"/>
    <x v="8"/>
    <x v="358"/>
    <x v="1"/>
    <s v="Port Gary"/>
    <x v="3"/>
    <n v="19.84"/>
    <n v="50"/>
    <x v="3"/>
    <x v="1"/>
    <s v="Germany, China"/>
    <n v="20"/>
    <s v="Medium"/>
    <s v="Average"/>
  </r>
  <r>
    <x v="5"/>
    <x v="12"/>
    <x v="359"/>
    <x v="0"/>
    <s v="Port Jeffrey"/>
    <x v="3"/>
    <n v="28.13"/>
    <n v="73"/>
    <x v="3"/>
    <x v="0"/>
    <s v="China, UK"/>
    <n v="342"/>
    <s v="Medium"/>
    <s v="Average"/>
  </r>
  <r>
    <x v="4"/>
    <x v="20"/>
    <x v="360"/>
    <x v="0"/>
    <s v="Sharonfort"/>
    <x v="4"/>
    <n v="31.55"/>
    <n v="74"/>
    <x v="4"/>
    <x v="2"/>
    <s v="UAE, China"/>
    <n v="63"/>
    <s v="Medium"/>
    <s v="Average"/>
  </r>
  <r>
    <x v="2"/>
    <x v="21"/>
    <x v="361"/>
    <x v="0"/>
    <s v="Tuckerview"/>
    <x v="4"/>
    <n v="25"/>
    <n v="56"/>
    <x v="3"/>
    <x v="1"/>
    <s v="UK, USA, China"/>
    <n v="147"/>
    <s v="Medium"/>
    <s v="Average"/>
  </r>
  <r>
    <x v="2"/>
    <x v="20"/>
    <x v="362"/>
    <x v="1"/>
    <s v="East Thomas"/>
    <x v="2"/>
    <n v="34.49"/>
    <n v="63"/>
    <x v="2"/>
    <x v="2"/>
    <s v="Japan, Israel"/>
    <n v="239"/>
    <s v="Medium"/>
    <s v="Average"/>
  </r>
  <r>
    <x v="5"/>
    <x v="1"/>
    <x v="363"/>
    <x v="0"/>
    <s v="South Dianeview"/>
    <x v="2"/>
    <n v="16.23"/>
    <n v="82"/>
    <x v="4"/>
    <x v="1"/>
    <s v="India, Germany"/>
    <n v="41"/>
    <s v="Medium"/>
    <s v="Good"/>
  </r>
  <r>
    <x v="6"/>
    <x v="10"/>
    <x v="364"/>
    <x v="0"/>
    <s v="New Brendaport"/>
    <x v="4"/>
    <n v="23.24"/>
    <n v="100"/>
    <x v="2"/>
    <x v="2"/>
    <s v="India, Russia"/>
    <n v="62"/>
    <s v="Medium"/>
    <s v="Excellent"/>
  </r>
  <r>
    <x v="9"/>
    <x v="6"/>
    <x v="365"/>
    <x v="1"/>
    <s v="Steeleborough"/>
    <x v="2"/>
    <n v="2.37"/>
    <n v="94"/>
    <x v="4"/>
    <x v="2"/>
    <s v="Russia, China"/>
    <n v="356"/>
    <s v="Low"/>
    <s v="Excellent"/>
  </r>
  <r>
    <x v="1"/>
    <x v="9"/>
    <x v="366"/>
    <x v="1"/>
    <s v="Kennedyville"/>
    <x v="0"/>
    <n v="7.52"/>
    <n v="95"/>
    <x v="0"/>
    <x v="1"/>
    <s v="Germany, UK, USA"/>
    <n v="328"/>
    <s v="Low"/>
    <s v="Excellent"/>
  </r>
  <r>
    <x v="3"/>
    <x v="19"/>
    <x v="367"/>
    <x v="1"/>
    <s v="North Anna"/>
    <x v="4"/>
    <n v="12.43"/>
    <n v="62"/>
    <x v="1"/>
    <x v="0"/>
    <s v="Japan, UK"/>
    <n v="312"/>
    <s v="Low"/>
    <s v="Average"/>
  </r>
  <r>
    <x v="0"/>
    <x v="18"/>
    <x v="368"/>
    <x v="1"/>
    <s v="New Richardfort"/>
    <x v="0"/>
    <n v="43.02"/>
    <n v="66"/>
    <x v="0"/>
    <x v="2"/>
    <s v="UK, India, Israel"/>
    <n v="132"/>
    <s v="High"/>
    <s v="Average"/>
  </r>
  <r>
    <x v="4"/>
    <x v="1"/>
    <x v="369"/>
    <x v="1"/>
    <s v="Brettchester"/>
    <x v="3"/>
    <n v="30.72"/>
    <n v="90"/>
    <x v="2"/>
    <x v="0"/>
    <s v="UAE, UK"/>
    <n v="255"/>
    <s v="Medium"/>
    <s v="Excellent"/>
  </r>
  <r>
    <x v="6"/>
    <x v="22"/>
    <x v="370"/>
    <x v="1"/>
    <s v="Deanton"/>
    <x v="4"/>
    <n v="19.670000000000002"/>
    <n v="76"/>
    <x v="2"/>
    <x v="0"/>
    <s v="Israel, Japan, India"/>
    <n v="37"/>
    <s v="Medium"/>
    <s v="Good"/>
  </r>
  <r>
    <x v="4"/>
    <x v="15"/>
    <x v="371"/>
    <x v="1"/>
    <s v="North Sarah"/>
    <x v="4"/>
    <n v="47.59"/>
    <n v="99"/>
    <x v="0"/>
    <x v="1"/>
    <s v="Germany"/>
    <n v="31"/>
    <s v="High"/>
    <s v="Excellent"/>
  </r>
  <r>
    <x v="9"/>
    <x v="0"/>
    <x v="372"/>
    <x v="1"/>
    <s v="Vanessaland"/>
    <x v="0"/>
    <n v="40.450000000000003"/>
    <n v="66"/>
    <x v="4"/>
    <x v="2"/>
    <s v="UAE, Germany, Israel"/>
    <n v="34"/>
    <s v="High"/>
    <s v="Average"/>
  </r>
  <r>
    <x v="0"/>
    <x v="13"/>
    <x v="373"/>
    <x v="1"/>
    <s v="West Tyronefort"/>
    <x v="2"/>
    <n v="33.25"/>
    <n v="62"/>
    <x v="2"/>
    <x v="2"/>
    <s v="UAE"/>
    <n v="296"/>
    <s v="Medium"/>
    <s v="Average"/>
  </r>
  <r>
    <x v="3"/>
    <x v="21"/>
    <x v="374"/>
    <x v="0"/>
    <s v="Diazside"/>
    <x v="2"/>
    <n v="9.7100000000000009"/>
    <n v="78"/>
    <x v="3"/>
    <x v="1"/>
    <s v="France"/>
    <n v="166"/>
    <s v="Low"/>
    <s v="Good"/>
  </r>
  <r>
    <x v="2"/>
    <x v="16"/>
    <x v="375"/>
    <x v="1"/>
    <s v="Lake Stephanieborough"/>
    <x v="4"/>
    <n v="4.3600000000000003"/>
    <n v="68"/>
    <x v="2"/>
    <x v="0"/>
    <s v="Russia, UK"/>
    <n v="147"/>
    <s v="Low"/>
    <s v="Average"/>
  </r>
  <r>
    <x v="9"/>
    <x v="12"/>
    <x v="376"/>
    <x v="0"/>
    <s v="Patelview"/>
    <x v="1"/>
    <n v="45.52"/>
    <n v="60"/>
    <x v="3"/>
    <x v="1"/>
    <s v="Germany, France, Israel"/>
    <n v="294"/>
    <s v="High"/>
    <s v="Average"/>
  </r>
  <r>
    <x v="5"/>
    <x v="9"/>
    <x v="377"/>
    <x v="1"/>
    <s v="Lake Elizabethland"/>
    <x v="4"/>
    <n v="28.89"/>
    <n v="73"/>
    <x v="0"/>
    <x v="2"/>
    <s v="India"/>
    <n v="271"/>
    <s v="Medium"/>
    <s v="Average"/>
  </r>
  <r>
    <x v="0"/>
    <x v="13"/>
    <x v="378"/>
    <x v="0"/>
    <s v="South Lisafurt"/>
    <x v="1"/>
    <n v="14.64"/>
    <n v="63"/>
    <x v="1"/>
    <x v="0"/>
    <s v="Germany, Israel"/>
    <n v="363"/>
    <s v="Low"/>
    <s v="Average"/>
  </r>
  <r>
    <x v="9"/>
    <x v="6"/>
    <x v="379"/>
    <x v="0"/>
    <s v="East Valerieland"/>
    <x v="4"/>
    <n v="22.75"/>
    <n v="75"/>
    <x v="0"/>
    <x v="2"/>
    <s v="Japan"/>
    <n v="63"/>
    <s v="Medium"/>
    <s v="Good"/>
  </r>
  <r>
    <x v="7"/>
    <x v="7"/>
    <x v="380"/>
    <x v="1"/>
    <s v="New Kevinhaven"/>
    <x v="1"/>
    <n v="29.09"/>
    <n v="97"/>
    <x v="3"/>
    <x v="2"/>
    <s v="Germany, India, UK"/>
    <n v="125"/>
    <s v="Medium"/>
    <s v="Excellent"/>
  </r>
  <r>
    <x v="5"/>
    <x v="15"/>
    <x v="381"/>
    <x v="0"/>
    <s v="Jennifermouth"/>
    <x v="3"/>
    <n v="16.2"/>
    <n v="73"/>
    <x v="3"/>
    <x v="0"/>
    <s v="UK"/>
    <n v="299"/>
    <s v="Medium"/>
    <s v="Average"/>
  </r>
  <r>
    <x v="5"/>
    <x v="21"/>
    <x v="382"/>
    <x v="0"/>
    <s v="West Cassandra"/>
    <x v="3"/>
    <n v="22.66"/>
    <n v="52"/>
    <x v="3"/>
    <x v="1"/>
    <s v="India, UAE"/>
    <n v="141"/>
    <s v="Medium"/>
    <s v="Average"/>
  </r>
  <r>
    <x v="7"/>
    <x v="24"/>
    <x v="383"/>
    <x v="0"/>
    <s v="Berrybury"/>
    <x v="2"/>
    <n v="27.89"/>
    <n v="95"/>
    <x v="0"/>
    <x v="2"/>
    <s v="UK"/>
    <n v="153"/>
    <s v="Medium"/>
    <s v="Excellent"/>
  </r>
  <r>
    <x v="6"/>
    <x v="18"/>
    <x v="384"/>
    <x v="1"/>
    <s v="South David"/>
    <x v="2"/>
    <n v="31.69"/>
    <n v="91"/>
    <x v="1"/>
    <x v="0"/>
    <s v="India, Israel"/>
    <n v="278"/>
    <s v="Medium"/>
    <s v="Excellent"/>
  </r>
  <r>
    <x v="9"/>
    <x v="25"/>
    <x v="385"/>
    <x v="1"/>
    <s v="West Sarahland"/>
    <x v="4"/>
    <n v="9.5"/>
    <n v="59"/>
    <x v="1"/>
    <x v="2"/>
    <s v="USA, China, France"/>
    <n v="313"/>
    <s v="Low"/>
    <s v="Average"/>
  </r>
  <r>
    <x v="8"/>
    <x v="22"/>
    <x v="386"/>
    <x v="0"/>
    <s v="Guerraview"/>
    <x v="3"/>
    <n v="12.71"/>
    <n v="89"/>
    <x v="0"/>
    <x v="2"/>
    <s v="Germany, USA, Japan"/>
    <n v="24"/>
    <s v="Low"/>
    <s v="Good"/>
  </r>
  <r>
    <x v="0"/>
    <x v="20"/>
    <x v="387"/>
    <x v="0"/>
    <s v="North Nicholas"/>
    <x v="4"/>
    <n v="6.36"/>
    <n v="87"/>
    <x v="2"/>
    <x v="1"/>
    <s v="Israel"/>
    <n v="356"/>
    <s v="Low"/>
    <s v="Good"/>
  </r>
  <r>
    <x v="0"/>
    <x v="0"/>
    <x v="388"/>
    <x v="0"/>
    <s v="Lake Catherine"/>
    <x v="3"/>
    <n v="3.21"/>
    <n v="74"/>
    <x v="1"/>
    <x v="1"/>
    <s v="France, Japan"/>
    <n v="32"/>
    <s v="Low"/>
    <s v="Average"/>
  </r>
  <r>
    <x v="7"/>
    <x v="17"/>
    <x v="389"/>
    <x v="1"/>
    <s v="Frankport"/>
    <x v="1"/>
    <n v="15.36"/>
    <n v="98"/>
    <x v="0"/>
    <x v="1"/>
    <s v="UK, China"/>
    <n v="351"/>
    <s v="Medium"/>
    <s v="Excellent"/>
  </r>
  <r>
    <x v="5"/>
    <x v="24"/>
    <x v="390"/>
    <x v="1"/>
    <s v="Burnstown"/>
    <x v="3"/>
    <n v="8.6199999999999992"/>
    <n v="87"/>
    <x v="4"/>
    <x v="0"/>
    <s v="UK, Germany, USA"/>
    <n v="88"/>
    <s v="Low"/>
    <s v="Good"/>
  </r>
  <r>
    <x v="0"/>
    <x v="8"/>
    <x v="391"/>
    <x v="1"/>
    <s v="West Darinberg"/>
    <x v="1"/>
    <n v="28.98"/>
    <n v="91"/>
    <x v="1"/>
    <x v="1"/>
    <s v="USA, UAE"/>
    <n v="257"/>
    <s v="Medium"/>
    <s v="Excellent"/>
  </r>
  <r>
    <x v="4"/>
    <x v="13"/>
    <x v="392"/>
    <x v="1"/>
    <s v="East Paul"/>
    <x v="3"/>
    <n v="43.44"/>
    <n v="96"/>
    <x v="3"/>
    <x v="2"/>
    <s v="UK"/>
    <n v="326"/>
    <s v="High"/>
    <s v="Excellent"/>
  </r>
  <r>
    <x v="4"/>
    <x v="13"/>
    <x v="393"/>
    <x v="0"/>
    <s v="Jeffreychester"/>
    <x v="2"/>
    <n v="6.81"/>
    <n v="86"/>
    <x v="4"/>
    <x v="1"/>
    <s v="UAE, USA, China"/>
    <n v="262"/>
    <s v="Low"/>
    <s v="Good"/>
  </r>
  <r>
    <x v="7"/>
    <x v="4"/>
    <x v="394"/>
    <x v="1"/>
    <s v="Thomaschester"/>
    <x v="3"/>
    <n v="10.220000000000001"/>
    <n v="61"/>
    <x v="3"/>
    <x v="1"/>
    <s v="UK"/>
    <n v="2"/>
    <s v="Low"/>
    <s v="Average"/>
  </r>
  <r>
    <x v="3"/>
    <x v="22"/>
    <x v="395"/>
    <x v="0"/>
    <s v="South Jacob"/>
    <x v="3"/>
    <n v="10.51"/>
    <n v="68"/>
    <x v="1"/>
    <x v="1"/>
    <s v="Russia, Japan"/>
    <n v="171"/>
    <s v="Low"/>
    <s v="Average"/>
  </r>
  <r>
    <x v="9"/>
    <x v="0"/>
    <x v="396"/>
    <x v="1"/>
    <s v="Julieside"/>
    <x v="2"/>
    <n v="44.78"/>
    <n v="86"/>
    <x v="1"/>
    <x v="0"/>
    <s v="India, France"/>
    <n v="61"/>
    <s v="High"/>
    <s v="Good"/>
  </r>
  <r>
    <x v="3"/>
    <x v="9"/>
    <x v="397"/>
    <x v="1"/>
    <s v="West Richard"/>
    <x v="0"/>
    <n v="25.04"/>
    <n v="89"/>
    <x v="4"/>
    <x v="0"/>
    <s v="Israel, France, Russia"/>
    <n v="102"/>
    <s v="Medium"/>
    <s v="Good"/>
  </r>
  <r>
    <x v="7"/>
    <x v="3"/>
    <x v="398"/>
    <x v="1"/>
    <s v="West Kevinport"/>
    <x v="3"/>
    <n v="26.31"/>
    <n v="81"/>
    <x v="0"/>
    <x v="1"/>
    <s v="India"/>
    <n v="200"/>
    <s v="Medium"/>
    <s v="Good"/>
  </r>
  <r>
    <x v="2"/>
    <x v="13"/>
    <x v="399"/>
    <x v="0"/>
    <s v="East Jennifer"/>
    <x v="2"/>
    <n v="36.39"/>
    <n v="99"/>
    <x v="0"/>
    <x v="0"/>
    <s v="USA"/>
    <n v="226"/>
    <s v="High"/>
    <s v="Excellent"/>
  </r>
  <r>
    <x v="7"/>
    <x v="8"/>
    <x v="400"/>
    <x v="0"/>
    <s v="Parktown"/>
    <x v="1"/>
    <n v="1.49"/>
    <n v="58"/>
    <x v="1"/>
    <x v="2"/>
    <s v="UK, Japan"/>
    <n v="297"/>
    <s v="Low"/>
    <s v="Average"/>
  </r>
  <r>
    <x v="9"/>
    <x v="5"/>
    <x v="401"/>
    <x v="0"/>
    <s v="Jamiebury"/>
    <x v="0"/>
    <n v="46.13"/>
    <n v="85"/>
    <x v="2"/>
    <x v="2"/>
    <s v="India"/>
    <n v="20"/>
    <s v="High"/>
    <s v="Good"/>
  </r>
  <r>
    <x v="6"/>
    <x v="14"/>
    <x v="402"/>
    <x v="0"/>
    <s v="South Rebecca"/>
    <x v="3"/>
    <n v="47.99"/>
    <n v="96"/>
    <x v="1"/>
    <x v="2"/>
    <s v="Japan, France"/>
    <n v="137"/>
    <s v="High"/>
    <s v="Excellent"/>
  </r>
  <r>
    <x v="0"/>
    <x v="25"/>
    <x v="403"/>
    <x v="0"/>
    <s v="South Sarah"/>
    <x v="0"/>
    <n v="10.64"/>
    <n v="80"/>
    <x v="0"/>
    <x v="1"/>
    <s v="Russia"/>
    <n v="251"/>
    <s v="Low"/>
    <s v="Good"/>
  </r>
  <r>
    <x v="5"/>
    <x v="9"/>
    <x v="404"/>
    <x v="0"/>
    <s v="Lake Natalieside"/>
    <x v="4"/>
    <n v="27.35"/>
    <n v="63"/>
    <x v="3"/>
    <x v="0"/>
    <s v="Germany, USA, France"/>
    <n v="45"/>
    <s v="Medium"/>
    <s v="Average"/>
  </r>
  <r>
    <x v="7"/>
    <x v="11"/>
    <x v="405"/>
    <x v="0"/>
    <s v="Johnstad"/>
    <x v="1"/>
    <n v="30.36"/>
    <n v="63"/>
    <x v="2"/>
    <x v="2"/>
    <s v="Germany, Israel"/>
    <n v="27"/>
    <s v="Medium"/>
    <s v="Average"/>
  </r>
  <r>
    <x v="1"/>
    <x v="21"/>
    <x v="406"/>
    <x v="0"/>
    <s v="Stewartburgh"/>
    <x v="2"/>
    <n v="32.03"/>
    <n v="54"/>
    <x v="3"/>
    <x v="0"/>
    <s v="USA, France, Germany"/>
    <n v="334"/>
    <s v="Medium"/>
    <s v="Average"/>
  </r>
  <r>
    <x v="8"/>
    <x v="11"/>
    <x v="407"/>
    <x v="0"/>
    <s v="West Brian"/>
    <x v="3"/>
    <n v="30.26"/>
    <n v="59"/>
    <x v="2"/>
    <x v="2"/>
    <s v="France"/>
    <n v="167"/>
    <s v="Medium"/>
    <s v="Average"/>
  </r>
  <r>
    <x v="7"/>
    <x v="25"/>
    <x v="408"/>
    <x v="0"/>
    <s v="West Wayneport"/>
    <x v="3"/>
    <n v="2.2999999999999998"/>
    <n v="86"/>
    <x v="3"/>
    <x v="2"/>
    <s v="USA, China"/>
    <n v="161"/>
    <s v="Low"/>
    <s v="Good"/>
  </r>
  <r>
    <x v="8"/>
    <x v="19"/>
    <x v="409"/>
    <x v="1"/>
    <s v="North Paulside"/>
    <x v="3"/>
    <n v="16.04"/>
    <n v="58"/>
    <x v="2"/>
    <x v="2"/>
    <s v="USA, France, Japan"/>
    <n v="43"/>
    <s v="Medium"/>
    <s v="Average"/>
  </r>
  <r>
    <x v="4"/>
    <x v="13"/>
    <x v="410"/>
    <x v="0"/>
    <s v="Lake Christinaburgh"/>
    <x v="2"/>
    <n v="11.83"/>
    <n v="73"/>
    <x v="0"/>
    <x v="1"/>
    <s v="Israel"/>
    <n v="326"/>
    <s v="Low"/>
    <s v="Average"/>
  </r>
  <r>
    <x v="1"/>
    <x v="21"/>
    <x v="411"/>
    <x v="1"/>
    <s v="Caitlinstad"/>
    <x v="2"/>
    <n v="6.69"/>
    <n v="55"/>
    <x v="2"/>
    <x v="0"/>
    <s v="Israel"/>
    <n v="137"/>
    <s v="Low"/>
    <s v="Average"/>
  </r>
  <r>
    <x v="2"/>
    <x v="21"/>
    <x v="412"/>
    <x v="0"/>
    <s v="Lake Maria"/>
    <x v="1"/>
    <n v="14.8"/>
    <n v="52"/>
    <x v="2"/>
    <x v="1"/>
    <s v="Russia, China"/>
    <n v="310"/>
    <s v="Low"/>
    <s v="Average"/>
  </r>
  <r>
    <x v="1"/>
    <x v="1"/>
    <x v="413"/>
    <x v="0"/>
    <s v="Williamstad"/>
    <x v="1"/>
    <n v="47.95"/>
    <n v="95"/>
    <x v="3"/>
    <x v="2"/>
    <s v="Japan, Russia, UK"/>
    <n v="291"/>
    <s v="High"/>
    <s v="Excellent"/>
  </r>
  <r>
    <x v="7"/>
    <x v="25"/>
    <x v="414"/>
    <x v="1"/>
    <s v="New Timothyberg"/>
    <x v="1"/>
    <n v="10.97"/>
    <n v="94"/>
    <x v="1"/>
    <x v="0"/>
    <s v="Japan, Russia, UAE"/>
    <n v="4"/>
    <s v="Low"/>
    <s v="Excellent"/>
  </r>
  <r>
    <x v="3"/>
    <x v="24"/>
    <x v="415"/>
    <x v="0"/>
    <s v="Eddiestad"/>
    <x v="1"/>
    <n v="21.69"/>
    <n v="97"/>
    <x v="1"/>
    <x v="2"/>
    <s v="India, USA"/>
    <n v="295"/>
    <s v="Medium"/>
    <s v="Excellent"/>
  </r>
  <r>
    <x v="4"/>
    <x v="3"/>
    <x v="416"/>
    <x v="1"/>
    <s v="Port Christine"/>
    <x v="3"/>
    <n v="49.69"/>
    <n v="100"/>
    <x v="4"/>
    <x v="0"/>
    <s v="Israel"/>
    <n v="261"/>
    <s v="High"/>
    <s v="Excellent"/>
  </r>
  <r>
    <x v="8"/>
    <x v="11"/>
    <x v="417"/>
    <x v="0"/>
    <s v="New Christopherstad"/>
    <x v="3"/>
    <n v="40.99"/>
    <n v="92"/>
    <x v="0"/>
    <x v="0"/>
    <s v="India, Japan"/>
    <n v="323"/>
    <s v="High"/>
    <s v="Excellent"/>
  </r>
  <r>
    <x v="3"/>
    <x v="20"/>
    <x v="418"/>
    <x v="1"/>
    <s v="North Williamstad"/>
    <x v="2"/>
    <n v="14.14"/>
    <n v="66"/>
    <x v="4"/>
    <x v="1"/>
    <s v="Russia, France"/>
    <n v="126"/>
    <s v="Low"/>
    <s v="Average"/>
  </r>
  <r>
    <x v="8"/>
    <x v="22"/>
    <x v="419"/>
    <x v="0"/>
    <s v="Samanthaberg"/>
    <x v="4"/>
    <n v="48.03"/>
    <n v="58"/>
    <x v="3"/>
    <x v="1"/>
    <s v="USA"/>
    <n v="247"/>
    <s v="High"/>
    <s v="Average"/>
  </r>
  <r>
    <x v="5"/>
    <x v="24"/>
    <x v="420"/>
    <x v="1"/>
    <s v="Marcofort"/>
    <x v="3"/>
    <n v="19.47"/>
    <n v="81"/>
    <x v="0"/>
    <x v="1"/>
    <s v="UAE"/>
    <n v="171"/>
    <s v="Medium"/>
    <s v="Good"/>
  </r>
  <r>
    <x v="8"/>
    <x v="10"/>
    <x v="421"/>
    <x v="1"/>
    <s v="Hendrickshaven"/>
    <x v="1"/>
    <n v="34.28"/>
    <n v="98"/>
    <x v="1"/>
    <x v="1"/>
    <s v="Japan, China"/>
    <n v="352"/>
    <s v="Medium"/>
    <s v="Excellent"/>
  </r>
  <r>
    <x v="5"/>
    <x v="11"/>
    <x v="422"/>
    <x v="0"/>
    <s v="North Saraview"/>
    <x v="3"/>
    <n v="12.69"/>
    <n v="57"/>
    <x v="2"/>
    <x v="0"/>
    <s v="USA, France"/>
    <n v="196"/>
    <s v="Low"/>
    <s v="Average"/>
  </r>
  <r>
    <x v="8"/>
    <x v="22"/>
    <x v="423"/>
    <x v="1"/>
    <s v="Martinezshire"/>
    <x v="0"/>
    <n v="2.4300000000000002"/>
    <n v="77"/>
    <x v="3"/>
    <x v="2"/>
    <s v="China, Germany"/>
    <n v="258"/>
    <s v="Low"/>
    <s v="Good"/>
  </r>
  <r>
    <x v="7"/>
    <x v="25"/>
    <x v="424"/>
    <x v="1"/>
    <s v="West Michael"/>
    <x v="3"/>
    <n v="31.46"/>
    <n v="62"/>
    <x v="2"/>
    <x v="1"/>
    <s v="UK"/>
    <n v="123"/>
    <s v="Medium"/>
    <s v="Average"/>
  </r>
  <r>
    <x v="0"/>
    <x v="13"/>
    <x v="425"/>
    <x v="0"/>
    <s v="Laurastad"/>
    <x v="4"/>
    <n v="35.28"/>
    <n v="73"/>
    <x v="0"/>
    <x v="0"/>
    <s v="UK, Japan"/>
    <n v="348"/>
    <s v="High"/>
    <s v="Average"/>
  </r>
  <r>
    <x v="7"/>
    <x v="21"/>
    <x v="426"/>
    <x v="0"/>
    <s v="Lake Jamiemouth"/>
    <x v="2"/>
    <n v="42.81"/>
    <n v="54"/>
    <x v="0"/>
    <x v="1"/>
    <s v="Israel, China, India"/>
    <n v="344"/>
    <s v="High"/>
    <s v="Average"/>
  </r>
  <r>
    <x v="7"/>
    <x v="8"/>
    <x v="427"/>
    <x v="0"/>
    <s v="Tabithaport"/>
    <x v="4"/>
    <n v="39.799999999999997"/>
    <n v="71"/>
    <x v="3"/>
    <x v="0"/>
    <s v="France"/>
    <n v="213"/>
    <s v="High"/>
    <s v="Average"/>
  </r>
  <r>
    <x v="7"/>
    <x v="1"/>
    <x v="428"/>
    <x v="0"/>
    <s v="Brockchester"/>
    <x v="3"/>
    <n v="31.94"/>
    <n v="90"/>
    <x v="3"/>
    <x v="1"/>
    <s v="China"/>
    <n v="332"/>
    <s v="Medium"/>
    <s v="Excellent"/>
  </r>
  <r>
    <x v="5"/>
    <x v="13"/>
    <x v="429"/>
    <x v="0"/>
    <s v="Lambury"/>
    <x v="4"/>
    <n v="37.19"/>
    <n v="80"/>
    <x v="0"/>
    <x v="0"/>
    <s v="Israel"/>
    <n v="333"/>
    <s v="High"/>
    <s v="Good"/>
  </r>
  <r>
    <x v="6"/>
    <x v="4"/>
    <x v="430"/>
    <x v="0"/>
    <s v="Clarkfurt"/>
    <x v="1"/>
    <n v="37.47"/>
    <n v="86"/>
    <x v="3"/>
    <x v="2"/>
    <s v="China, UK"/>
    <n v="118"/>
    <s v="High"/>
    <s v="Good"/>
  </r>
  <r>
    <x v="8"/>
    <x v="9"/>
    <x v="431"/>
    <x v="0"/>
    <s v="Ryanburgh"/>
    <x v="3"/>
    <n v="35.56"/>
    <n v="54"/>
    <x v="2"/>
    <x v="1"/>
    <s v="USA"/>
    <n v="284"/>
    <s v="High"/>
    <s v="Average"/>
  </r>
  <r>
    <x v="1"/>
    <x v="23"/>
    <x v="432"/>
    <x v="0"/>
    <s v="South Matthew"/>
    <x v="1"/>
    <n v="24.96"/>
    <n v="87"/>
    <x v="3"/>
    <x v="1"/>
    <s v="Russia, UAE, Germany"/>
    <n v="320"/>
    <s v="Medium"/>
    <s v="Good"/>
  </r>
  <r>
    <x v="2"/>
    <x v="8"/>
    <x v="433"/>
    <x v="0"/>
    <s v="Knoxland"/>
    <x v="0"/>
    <n v="36.31"/>
    <n v="64"/>
    <x v="0"/>
    <x v="2"/>
    <s v="China, Russia"/>
    <n v="208"/>
    <s v="High"/>
    <s v="Average"/>
  </r>
  <r>
    <x v="2"/>
    <x v="17"/>
    <x v="434"/>
    <x v="1"/>
    <s v="New Ronald"/>
    <x v="1"/>
    <n v="36.29"/>
    <n v="66"/>
    <x v="4"/>
    <x v="0"/>
    <s v="UAE, USA"/>
    <n v="48"/>
    <s v="High"/>
    <s v="Average"/>
  </r>
  <r>
    <x v="2"/>
    <x v="13"/>
    <x v="435"/>
    <x v="0"/>
    <s v="Ellisonbury"/>
    <x v="4"/>
    <n v="28.27"/>
    <n v="81"/>
    <x v="1"/>
    <x v="0"/>
    <s v="UAE"/>
    <n v="357"/>
    <s v="Medium"/>
    <s v="Good"/>
  </r>
  <r>
    <x v="8"/>
    <x v="2"/>
    <x v="436"/>
    <x v="1"/>
    <s v="South Suzannechester"/>
    <x v="2"/>
    <n v="7.33"/>
    <n v="75"/>
    <x v="4"/>
    <x v="2"/>
    <s v="UK"/>
    <n v="117"/>
    <s v="Low"/>
    <s v="Good"/>
  </r>
  <r>
    <x v="2"/>
    <x v="24"/>
    <x v="437"/>
    <x v="0"/>
    <s v="New Kevinmouth"/>
    <x v="1"/>
    <n v="20.98"/>
    <n v="70"/>
    <x v="0"/>
    <x v="0"/>
    <s v="USA"/>
    <n v="321"/>
    <s v="Medium"/>
    <s v="Average"/>
  </r>
  <r>
    <x v="5"/>
    <x v="25"/>
    <x v="438"/>
    <x v="0"/>
    <s v="Ashleymouth"/>
    <x v="1"/>
    <n v="20.6"/>
    <n v="60"/>
    <x v="2"/>
    <x v="2"/>
    <s v="Israel"/>
    <n v="91"/>
    <s v="Medium"/>
    <s v="Average"/>
  </r>
  <r>
    <x v="0"/>
    <x v="2"/>
    <x v="439"/>
    <x v="1"/>
    <s v="Jasonshire"/>
    <x v="0"/>
    <n v="36.94"/>
    <n v="80"/>
    <x v="0"/>
    <x v="1"/>
    <s v="UK, Germany, UAE"/>
    <n v="108"/>
    <s v="High"/>
    <s v="Good"/>
  </r>
  <r>
    <x v="4"/>
    <x v="7"/>
    <x v="440"/>
    <x v="1"/>
    <s v="Trujilloborough"/>
    <x v="2"/>
    <n v="47.99"/>
    <n v="63"/>
    <x v="0"/>
    <x v="0"/>
    <s v="India"/>
    <n v="332"/>
    <s v="High"/>
    <s v="Average"/>
  </r>
  <r>
    <x v="1"/>
    <x v="16"/>
    <x v="441"/>
    <x v="0"/>
    <s v="Jamesbury"/>
    <x v="2"/>
    <n v="10.32"/>
    <n v="80"/>
    <x v="1"/>
    <x v="2"/>
    <s v="China, UK"/>
    <n v="348"/>
    <s v="Low"/>
    <s v="Good"/>
  </r>
  <r>
    <x v="2"/>
    <x v="20"/>
    <x v="442"/>
    <x v="1"/>
    <s v="Acostashire"/>
    <x v="3"/>
    <n v="32.14"/>
    <n v="77"/>
    <x v="1"/>
    <x v="2"/>
    <s v="India"/>
    <n v="275"/>
    <s v="Medium"/>
    <s v="Good"/>
  </r>
  <r>
    <x v="4"/>
    <x v="11"/>
    <x v="443"/>
    <x v="0"/>
    <s v="Port Kimberly"/>
    <x v="0"/>
    <n v="44.75"/>
    <n v="80"/>
    <x v="3"/>
    <x v="0"/>
    <s v="India, Russia, Germany"/>
    <n v="110"/>
    <s v="High"/>
    <s v="Good"/>
  </r>
  <r>
    <x v="5"/>
    <x v="25"/>
    <x v="444"/>
    <x v="1"/>
    <s v="East Nancyside"/>
    <x v="2"/>
    <n v="8.57"/>
    <n v="50"/>
    <x v="0"/>
    <x v="0"/>
    <s v="UAE, China"/>
    <n v="357"/>
    <s v="Low"/>
    <s v="Average"/>
  </r>
  <r>
    <x v="1"/>
    <x v="2"/>
    <x v="445"/>
    <x v="1"/>
    <s v="Fernandohaven"/>
    <x v="2"/>
    <n v="22.28"/>
    <n v="64"/>
    <x v="0"/>
    <x v="2"/>
    <s v="Germany, Russia, China"/>
    <n v="275"/>
    <s v="Medium"/>
    <s v="Average"/>
  </r>
  <r>
    <x v="7"/>
    <x v="11"/>
    <x v="446"/>
    <x v="1"/>
    <s v="New Brittanyburgh"/>
    <x v="4"/>
    <n v="19.77"/>
    <n v="69"/>
    <x v="2"/>
    <x v="1"/>
    <s v="UAE"/>
    <n v="346"/>
    <s v="Medium"/>
    <s v="Average"/>
  </r>
  <r>
    <x v="7"/>
    <x v="20"/>
    <x v="447"/>
    <x v="1"/>
    <s v="New Jared"/>
    <x v="0"/>
    <n v="17.53"/>
    <n v="94"/>
    <x v="3"/>
    <x v="1"/>
    <s v="UAE, India"/>
    <n v="122"/>
    <s v="Medium"/>
    <s v="Excellent"/>
  </r>
  <r>
    <x v="2"/>
    <x v="17"/>
    <x v="448"/>
    <x v="1"/>
    <s v="New Jason"/>
    <x v="3"/>
    <n v="19.809999999999999"/>
    <n v="81"/>
    <x v="2"/>
    <x v="0"/>
    <s v="USA, China, India"/>
    <n v="253"/>
    <s v="Medium"/>
    <s v="Good"/>
  </r>
  <r>
    <x v="1"/>
    <x v="4"/>
    <x v="449"/>
    <x v="0"/>
    <s v="Jeffreytown"/>
    <x v="2"/>
    <n v="36.35"/>
    <n v="61"/>
    <x v="3"/>
    <x v="1"/>
    <s v="France, Israel, USA"/>
    <n v="53"/>
    <s v="High"/>
    <s v="Average"/>
  </r>
  <r>
    <x v="1"/>
    <x v="20"/>
    <x v="450"/>
    <x v="0"/>
    <s v="Kellyhaven"/>
    <x v="4"/>
    <n v="26.68"/>
    <n v="53"/>
    <x v="2"/>
    <x v="0"/>
    <s v="China"/>
    <n v="23"/>
    <s v="Medium"/>
    <s v="Average"/>
  </r>
  <r>
    <x v="4"/>
    <x v="17"/>
    <x v="451"/>
    <x v="1"/>
    <s v="Porterfurt"/>
    <x v="3"/>
    <n v="40.65"/>
    <n v="68"/>
    <x v="4"/>
    <x v="0"/>
    <s v="China, Japan, France"/>
    <n v="51"/>
    <s v="High"/>
    <s v="Average"/>
  </r>
  <r>
    <x v="3"/>
    <x v="1"/>
    <x v="452"/>
    <x v="1"/>
    <s v="West Nathan"/>
    <x v="4"/>
    <n v="24.57"/>
    <n v="95"/>
    <x v="1"/>
    <x v="2"/>
    <s v="China, Germany"/>
    <n v="56"/>
    <s v="Medium"/>
    <s v="Excellent"/>
  </r>
  <r>
    <x v="4"/>
    <x v="14"/>
    <x v="453"/>
    <x v="1"/>
    <s v="West Alexandramouth"/>
    <x v="0"/>
    <n v="46.17"/>
    <n v="51"/>
    <x v="2"/>
    <x v="0"/>
    <s v="UAE, Germany"/>
    <n v="22"/>
    <s v="High"/>
    <s v="Average"/>
  </r>
  <r>
    <x v="1"/>
    <x v="19"/>
    <x v="454"/>
    <x v="0"/>
    <s v="Lake Erin"/>
    <x v="3"/>
    <n v="16.5"/>
    <n v="79"/>
    <x v="4"/>
    <x v="1"/>
    <s v="India, UAE"/>
    <n v="304"/>
    <s v="Medium"/>
    <s v="Good"/>
  </r>
  <r>
    <x v="2"/>
    <x v="5"/>
    <x v="455"/>
    <x v="1"/>
    <s v="North Susanbury"/>
    <x v="4"/>
    <n v="15.7"/>
    <n v="68"/>
    <x v="0"/>
    <x v="1"/>
    <s v="Israel"/>
    <n v="143"/>
    <s v="Medium"/>
    <s v="Average"/>
  </r>
  <r>
    <x v="3"/>
    <x v="21"/>
    <x v="456"/>
    <x v="0"/>
    <s v="Lake Christopherfurt"/>
    <x v="2"/>
    <n v="44.95"/>
    <n v="70"/>
    <x v="0"/>
    <x v="2"/>
    <s v="UK"/>
    <n v="330"/>
    <s v="High"/>
    <s v="Average"/>
  </r>
  <r>
    <x v="8"/>
    <x v="12"/>
    <x v="457"/>
    <x v="1"/>
    <s v="East Beth"/>
    <x v="3"/>
    <n v="11.6"/>
    <n v="70"/>
    <x v="4"/>
    <x v="1"/>
    <s v="UAE, Germany"/>
    <n v="126"/>
    <s v="Low"/>
    <s v="Average"/>
  </r>
  <r>
    <x v="2"/>
    <x v="20"/>
    <x v="458"/>
    <x v="1"/>
    <s v="New Stephaniehaven"/>
    <x v="3"/>
    <n v="2.48"/>
    <n v="67"/>
    <x v="4"/>
    <x v="2"/>
    <s v="USA, China, Japan"/>
    <n v="106"/>
    <s v="Low"/>
    <s v="Average"/>
  </r>
  <r>
    <x v="9"/>
    <x v="11"/>
    <x v="459"/>
    <x v="0"/>
    <s v="Christianville"/>
    <x v="3"/>
    <n v="22"/>
    <n v="91"/>
    <x v="0"/>
    <x v="0"/>
    <s v="Germany, Israel, India"/>
    <n v="85"/>
    <s v="Medium"/>
    <s v="Excellent"/>
  </r>
  <r>
    <x v="7"/>
    <x v="24"/>
    <x v="460"/>
    <x v="0"/>
    <s v="Lake Amanda"/>
    <x v="3"/>
    <n v="22.1"/>
    <n v="73"/>
    <x v="0"/>
    <x v="2"/>
    <s v="France"/>
    <n v="74"/>
    <s v="Medium"/>
    <s v="Average"/>
  </r>
  <r>
    <x v="8"/>
    <x v="10"/>
    <x v="461"/>
    <x v="1"/>
    <s v="East Christopherview"/>
    <x v="3"/>
    <n v="47.66"/>
    <n v="92"/>
    <x v="4"/>
    <x v="1"/>
    <s v="UAE"/>
    <n v="345"/>
    <s v="High"/>
    <s v="Excellent"/>
  </r>
  <r>
    <x v="5"/>
    <x v="2"/>
    <x v="462"/>
    <x v="1"/>
    <s v="Grossview"/>
    <x v="3"/>
    <n v="39.74"/>
    <n v="58"/>
    <x v="0"/>
    <x v="2"/>
    <s v="Israel, Germany"/>
    <n v="237"/>
    <s v="High"/>
    <s v="Average"/>
  </r>
  <r>
    <x v="0"/>
    <x v="20"/>
    <x v="463"/>
    <x v="1"/>
    <s v="Porterchester"/>
    <x v="0"/>
    <n v="1.54"/>
    <n v="56"/>
    <x v="2"/>
    <x v="1"/>
    <s v="USA, France"/>
    <n v="262"/>
    <s v="Low"/>
    <s v="Average"/>
  </r>
  <r>
    <x v="8"/>
    <x v="22"/>
    <x v="464"/>
    <x v="1"/>
    <s v="Samuelshire"/>
    <x v="0"/>
    <n v="27"/>
    <n v="52"/>
    <x v="4"/>
    <x v="2"/>
    <s v="USA, Germany"/>
    <n v="224"/>
    <s v="Medium"/>
    <s v="Average"/>
  </r>
  <r>
    <x v="2"/>
    <x v="12"/>
    <x v="465"/>
    <x v="0"/>
    <s v="South Christine"/>
    <x v="0"/>
    <n v="3.55"/>
    <n v="88"/>
    <x v="4"/>
    <x v="2"/>
    <s v="Israel, Japan"/>
    <n v="242"/>
    <s v="Low"/>
    <s v="Good"/>
  </r>
  <r>
    <x v="5"/>
    <x v="6"/>
    <x v="466"/>
    <x v="1"/>
    <s v="Flynnland"/>
    <x v="2"/>
    <n v="0.96"/>
    <n v="91"/>
    <x v="4"/>
    <x v="0"/>
    <s v="Russia"/>
    <n v="166"/>
    <s v="Low"/>
    <s v="Excellent"/>
  </r>
  <r>
    <x v="2"/>
    <x v="6"/>
    <x v="467"/>
    <x v="0"/>
    <s v="Henrytown"/>
    <x v="0"/>
    <n v="27.05"/>
    <n v="81"/>
    <x v="3"/>
    <x v="0"/>
    <s v="UAE, France, Germany"/>
    <n v="247"/>
    <s v="Medium"/>
    <s v="Good"/>
  </r>
  <r>
    <x v="1"/>
    <x v="15"/>
    <x v="468"/>
    <x v="1"/>
    <s v="East Patricia"/>
    <x v="2"/>
    <n v="30.29"/>
    <n v="52"/>
    <x v="4"/>
    <x v="2"/>
    <s v="UAE, Russia, Germany"/>
    <n v="177"/>
    <s v="Medium"/>
    <s v="Average"/>
  </r>
  <r>
    <x v="5"/>
    <x v="10"/>
    <x v="469"/>
    <x v="1"/>
    <s v="Port Charles"/>
    <x v="2"/>
    <n v="39.46"/>
    <n v="50"/>
    <x v="0"/>
    <x v="2"/>
    <s v="Israel"/>
    <n v="155"/>
    <s v="High"/>
    <s v="Average"/>
  </r>
  <r>
    <x v="9"/>
    <x v="19"/>
    <x v="470"/>
    <x v="1"/>
    <s v="Anthonystad"/>
    <x v="4"/>
    <n v="46.27"/>
    <n v="90"/>
    <x v="0"/>
    <x v="2"/>
    <s v="USA"/>
    <n v="293"/>
    <s v="High"/>
    <s v="Excellent"/>
  </r>
  <r>
    <x v="0"/>
    <x v="9"/>
    <x v="471"/>
    <x v="0"/>
    <s v="Lisaburgh"/>
    <x v="0"/>
    <n v="16.850000000000001"/>
    <n v="57"/>
    <x v="0"/>
    <x v="2"/>
    <s v="France"/>
    <n v="39"/>
    <s v="Medium"/>
    <s v="Average"/>
  </r>
  <r>
    <x v="4"/>
    <x v="12"/>
    <x v="472"/>
    <x v="0"/>
    <s v="Burnsfort"/>
    <x v="3"/>
    <n v="41.01"/>
    <n v="71"/>
    <x v="1"/>
    <x v="0"/>
    <s v="France, India"/>
    <n v="181"/>
    <s v="High"/>
    <s v="Average"/>
  </r>
  <r>
    <x v="6"/>
    <x v="20"/>
    <x v="473"/>
    <x v="1"/>
    <s v="Orozcoview"/>
    <x v="4"/>
    <n v="35.75"/>
    <n v="74"/>
    <x v="3"/>
    <x v="1"/>
    <s v="UAE, Japan, Russia"/>
    <n v="125"/>
    <s v="High"/>
    <s v="Average"/>
  </r>
  <r>
    <x v="1"/>
    <x v="24"/>
    <x v="474"/>
    <x v="0"/>
    <s v="Port Beverly"/>
    <x v="3"/>
    <n v="30.77"/>
    <n v="100"/>
    <x v="1"/>
    <x v="2"/>
    <s v="UAE, UK, India"/>
    <n v="346"/>
    <s v="Medium"/>
    <s v="Excellent"/>
  </r>
  <r>
    <x v="2"/>
    <x v="15"/>
    <x v="475"/>
    <x v="1"/>
    <s v="New Karinastad"/>
    <x v="4"/>
    <n v="34.409999999999997"/>
    <n v="59"/>
    <x v="1"/>
    <x v="1"/>
    <s v="Japan, Israel, USA"/>
    <n v="42"/>
    <s v="Medium"/>
    <s v="Average"/>
  </r>
  <r>
    <x v="5"/>
    <x v="2"/>
    <x v="476"/>
    <x v="1"/>
    <s v="West Gerald"/>
    <x v="2"/>
    <n v="15.35"/>
    <n v="50"/>
    <x v="0"/>
    <x v="0"/>
    <s v="Germany"/>
    <n v="101"/>
    <s v="Medium"/>
    <s v="Average"/>
  </r>
  <r>
    <x v="3"/>
    <x v="5"/>
    <x v="477"/>
    <x v="1"/>
    <s v="Jessicaview"/>
    <x v="2"/>
    <n v="35.369999999999997"/>
    <n v="94"/>
    <x v="4"/>
    <x v="2"/>
    <s v="Japan"/>
    <n v="330"/>
    <s v="High"/>
    <s v="Excellent"/>
  </r>
  <r>
    <x v="7"/>
    <x v="13"/>
    <x v="478"/>
    <x v="1"/>
    <s v="East Trevor"/>
    <x v="4"/>
    <n v="24.99"/>
    <n v="58"/>
    <x v="4"/>
    <x v="1"/>
    <s v="UAE, Germany"/>
    <n v="58"/>
    <s v="Medium"/>
    <s v="Average"/>
  </r>
  <r>
    <x v="1"/>
    <x v="8"/>
    <x v="479"/>
    <x v="1"/>
    <s v="Karenmouth"/>
    <x v="1"/>
    <n v="3.07"/>
    <n v="74"/>
    <x v="0"/>
    <x v="2"/>
    <s v="UK"/>
    <n v="331"/>
    <s v="Low"/>
    <s v="Average"/>
  </r>
  <r>
    <x v="9"/>
    <x v="24"/>
    <x v="480"/>
    <x v="0"/>
    <s v="Whitehaven"/>
    <x v="3"/>
    <n v="21.98"/>
    <n v="53"/>
    <x v="4"/>
    <x v="2"/>
    <s v="UK"/>
    <n v="206"/>
    <s v="Medium"/>
    <s v="Average"/>
  </r>
  <r>
    <x v="5"/>
    <x v="7"/>
    <x v="481"/>
    <x v="0"/>
    <s v="Larryport"/>
    <x v="3"/>
    <n v="31.48"/>
    <n v="60"/>
    <x v="3"/>
    <x v="0"/>
    <s v="USA, Germany"/>
    <n v="141"/>
    <s v="Medium"/>
    <s v="Average"/>
  </r>
  <r>
    <x v="9"/>
    <x v="23"/>
    <x v="482"/>
    <x v="1"/>
    <s v="Lake Maryfurt"/>
    <x v="0"/>
    <n v="22.82"/>
    <n v="81"/>
    <x v="2"/>
    <x v="1"/>
    <s v="Israel, France"/>
    <n v="304"/>
    <s v="Medium"/>
    <s v="Good"/>
  </r>
  <r>
    <x v="4"/>
    <x v="23"/>
    <x v="483"/>
    <x v="0"/>
    <s v="South Ericaview"/>
    <x v="2"/>
    <n v="8.33"/>
    <n v="54"/>
    <x v="4"/>
    <x v="0"/>
    <s v="Israel, USA, India"/>
    <n v="41"/>
    <s v="Low"/>
    <s v="Average"/>
  </r>
  <r>
    <x v="0"/>
    <x v="23"/>
    <x v="484"/>
    <x v="1"/>
    <s v="New Peterside"/>
    <x v="2"/>
    <n v="43.36"/>
    <n v="73"/>
    <x v="1"/>
    <x v="0"/>
    <s v="Israel, France"/>
    <n v="25"/>
    <s v="High"/>
    <s v="Average"/>
  </r>
  <r>
    <x v="7"/>
    <x v="22"/>
    <x v="485"/>
    <x v="1"/>
    <s v="West Anthony"/>
    <x v="2"/>
    <n v="1.45"/>
    <n v="68"/>
    <x v="2"/>
    <x v="0"/>
    <s v="Germany, UK, Russia"/>
    <n v="189"/>
    <s v="Low"/>
    <s v="Average"/>
  </r>
  <r>
    <x v="5"/>
    <x v="12"/>
    <x v="486"/>
    <x v="1"/>
    <s v="Marshallside"/>
    <x v="3"/>
    <n v="10.92"/>
    <n v="82"/>
    <x v="2"/>
    <x v="2"/>
    <s v="UK"/>
    <n v="183"/>
    <s v="Low"/>
    <s v="Good"/>
  </r>
  <r>
    <x v="0"/>
    <x v="22"/>
    <x v="487"/>
    <x v="1"/>
    <s v="Kellyside"/>
    <x v="0"/>
    <n v="30.28"/>
    <n v="96"/>
    <x v="1"/>
    <x v="1"/>
    <s v="UK"/>
    <n v="130"/>
    <s v="Medium"/>
    <s v="Excellent"/>
  </r>
  <r>
    <x v="2"/>
    <x v="14"/>
    <x v="488"/>
    <x v="0"/>
    <s v="West Julie"/>
    <x v="2"/>
    <n v="4.3600000000000003"/>
    <n v="77"/>
    <x v="0"/>
    <x v="1"/>
    <s v="USA, China, UAE"/>
    <n v="268"/>
    <s v="Low"/>
    <s v="Good"/>
  </r>
  <r>
    <x v="7"/>
    <x v="4"/>
    <x v="489"/>
    <x v="0"/>
    <s v="Port Michael"/>
    <x v="1"/>
    <n v="46.54"/>
    <n v="58"/>
    <x v="4"/>
    <x v="0"/>
    <s v="UK"/>
    <n v="316"/>
    <s v="High"/>
    <s v="Average"/>
  </r>
  <r>
    <x v="4"/>
    <x v="15"/>
    <x v="490"/>
    <x v="0"/>
    <s v="Port Kyle"/>
    <x v="2"/>
    <n v="46.74"/>
    <n v="98"/>
    <x v="3"/>
    <x v="1"/>
    <s v="USA, Israel"/>
    <n v="206"/>
    <s v="High"/>
    <s v="Excellent"/>
  </r>
  <r>
    <x v="3"/>
    <x v="13"/>
    <x v="491"/>
    <x v="1"/>
    <s v="Lesliefurt"/>
    <x v="4"/>
    <n v="45.69"/>
    <n v="63"/>
    <x v="0"/>
    <x v="1"/>
    <s v="UAE, UK"/>
    <n v="52"/>
    <s v="High"/>
    <s v="Average"/>
  </r>
  <r>
    <x v="4"/>
    <x v="6"/>
    <x v="492"/>
    <x v="0"/>
    <s v="West Cynthiaberg"/>
    <x v="1"/>
    <n v="39.130000000000003"/>
    <n v="93"/>
    <x v="1"/>
    <x v="1"/>
    <s v="USA, UK, Germany"/>
    <n v="114"/>
    <s v="High"/>
    <s v="Excellent"/>
  </r>
  <r>
    <x v="2"/>
    <x v="22"/>
    <x v="493"/>
    <x v="0"/>
    <s v="Humphreytown"/>
    <x v="3"/>
    <n v="34.03"/>
    <n v="61"/>
    <x v="2"/>
    <x v="1"/>
    <s v="Russia, Germany, Japan"/>
    <n v="225"/>
    <s v="Medium"/>
    <s v="Average"/>
  </r>
  <r>
    <x v="0"/>
    <x v="1"/>
    <x v="494"/>
    <x v="0"/>
    <s v="North Justinstad"/>
    <x v="4"/>
    <n v="46.25"/>
    <n v="82"/>
    <x v="1"/>
    <x v="1"/>
    <s v="India, Japan"/>
    <n v="125"/>
    <s v="High"/>
    <s v="Good"/>
  </r>
  <r>
    <x v="0"/>
    <x v="14"/>
    <x v="495"/>
    <x v="1"/>
    <s v="Lake Sabrina"/>
    <x v="0"/>
    <n v="48.18"/>
    <n v="86"/>
    <x v="4"/>
    <x v="1"/>
    <s v="USA"/>
    <n v="217"/>
    <s v="High"/>
    <s v="Good"/>
  </r>
  <r>
    <x v="2"/>
    <x v="19"/>
    <x v="496"/>
    <x v="1"/>
    <s v="East Dianaton"/>
    <x v="0"/>
    <n v="12.09"/>
    <n v="57"/>
    <x v="4"/>
    <x v="2"/>
    <s v="UAE, India, Israel"/>
    <n v="117"/>
    <s v="Low"/>
    <s v="Average"/>
  </r>
  <r>
    <x v="7"/>
    <x v="18"/>
    <x v="497"/>
    <x v="0"/>
    <s v="East Zacharyland"/>
    <x v="0"/>
    <n v="9.67"/>
    <n v="56"/>
    <x v="3"/>
    <x v="1"/>
    <s v="USA"/>
    <n v="335"/>
    <s v="Low"/>
    <s v="Average"/>
  </r>
  <r>
    <x v="7"/>
    <x v="2"/>
    <x v="498"/>
    <x v="0"/>
    <s v="New Edwardfurt"/>
    <x v="1"/>
    <n v="46.73"/>
    <n v="74"/>
    <x v="2"/>
    <x v="1"/>
    <s v="USA, China, Germany"/>
    <n v="349"/>
    <s v="High"/>
    <s v="Average"/>
  </r>
  <r>
    <x v="6"/>
    <x v="25"/>
    <x v="499"/>
    <x v="1"/>
    <s v="Port Christopherborough"/>
    <x v="0"/>
    <n v="3.62"/>
    <n v="62"/>
    <x v="0"/>
    <x v="1"/>
    <s v="China, India"/>
    <n v="133"/>
    <s v="Low"/>
    <s v="Average"/>
  </r>
  <r>
    <x v="3"/>
    <x v="20"/>
    <x v="500"/>
    <x v="1"/>
    <s v="Robinsonbury"/>
    <x v="4"/>
    <n v="3.15"/>
    <n v="74"/>
    <x v="3"/>
    <x v="0"/>
    <s v="Germany"/>
    <n v="207"/>
    <s v="Low"/>
    <s v="Average"/>
  </r>
  <r>
    <x v="0"/>
    <x v="18"/>
    <x v="501"/>
    <x v="0"/>
    <s v="Aprilfurt"/>
    <x v="0"/>
    <n v="31.94"/>
    <n v="75"/>
    <x v="2"/>
    <x v="1"/>
    <s v="India, Russia"/>
    <n v="143"/>
    <s v="Medium"/>
    <s v="Good"/>
  </r>
  <r>
    <x v="9"/>
    <x v="19"/>
    <x v="502"/>
    <x v="1"/>
    <s v="Lake William"/>
    <x v="0"/>
    <n v="34.71"/>
    <n v="59"/>
    <x v="4"/>
    <x v="2"/>
    <s v="USA"/>
    <n v="33"/>
    <s v="Medium"/>
    <s v="Average"/>
  </r>
  <r>
    <x v="2"/>
    <x v="8"/>
    <x v="503"/>
    <x v="0"/>
    <s v="West Melissa"/>
    <x v="0"/>
    <n v="25.49"/>
    <n v="64"/>
    <x v="0"/>
    <x v="1"/>
    <s v="China, USA, France"/>
    <n v="90"/>
    <s v="Medium"/>
    <s v="Average"/>
  </r>
  <r>
    <x v="9"/>
    <x v="16"/>
    <x v="504"/>
    <x v="1"/>
    <s v="Port Kristen"/>
    <x v="0"/>
    <n v="30.87"/>
    <n v="78"/>
    <x v="1"/>
    <x v="2"/>
    <s v="France, Germany"/>
    <n v="314"/>
    <s v="Medium"/>
    <s v="Good"/>
  </r>
  <r>
    <x v="6"/>
    <x v="15"/>
    <x v="505"/>
    <x v="1"/>
    <s v="Lake Eileenberg"/>
    <x v="3"/>
    <n v="34.81"/>
    <n v="69"/>
    <x v="0"/>
    <x v="2"/>
    <s v="Russia, UAE, UK"/>
    <n v="74"/>
    <s v="Medium"/>
    <s v="Average"/>
  </r>
  <r>
    <x v="7"/>
    <x v="1"/>
    <x v="506"/>
    <x v="0"/>
    <s v="North Toddside"/>
    <x v="0"/>
    <n v="45.44"/>
    <n v="76"/>
    <x v="3"/>
    <x v="2"/>
    <s v="Japan"/>
    <n v="346"/>
    <s v="High"/>
    <s v="Good"/>
  </r>
  <r>
    <x v="5"/>
    <x v="10"/>
    <x v="507"/>
    <x v="1"/>
    <s v="New Kristinastad"/>
    <x v="0"/>
    <n v="6.35"/>
    <n v="94"/>
    <x v="0"/>
    <x v="1"/>
    <s v="UAE"/>
    <n v="66"/>
    <s v="Low"/>
    <s v="Excellent"/>
  </r>
  <r>
    <x v="6"/>
    <x v="4"/>
    <x v="508"/>
    <x v="1"/>
    <s v="New Lorishire"/>
    <x v="0"/>
    <n v="14.38"/>
    <n v="95"/>
    <x v="2"/>
    <x v="1"/>
    <s v="UAE"/>
    <n v="102"/>
    <s v="Low"/>
    <s v="Excellent"/>
  </r>
  <r>
    <x v="5"/>
    <x v="18"/>
    <x v="509"/>
    <x v="0"/>
    <s v="North Angela"/>
    <x v="4"/>
    <n v="27.27"/>
    <n v="73"/>
    <x v="1"/>
    <x v="1"/>
    <s v="UAE"/>
    <n v="233"/>
    <s v="Medium"/>
    <s v="Average"/>
  </r>
  <r>
    <x v="1"/>
    <x v="2"/>
    <x v="510"/>
    <x v="0"/>
    <s v="Lake Mary"/>
    <x v="0"/>
    <n v="49.47"/>
    <n v="85"/>
    <x v="0"/>
    <x v="2"/>
    <s v="China, India, France"/>
    <n v="56"/>
    <s v="High"/>
    <s v="Good"/>
  </r>
  <r>
    <x v="0"/>
    <x v="6"/>
    <x v="511"/>
    <x v="1"/>
    <s v="Lanceshire"/>
    <x v="0"/>
    <n v="2.57"/>
    <n v="76"/>
    <x v="4"/>
    <x v="0"/>
    <s v="Japan"/>
    <n v="126"/>
    <s v="Low"/>
    <s v="Good"/>
  </r>
  <r>
    <x v="9"/>
    <x v="23"/>
    <x v="512"/>
    <x v="0"/>
    <s v="Kathleenburgh"/>
    <x v="1"/>
    <n v="29.23"/>
    <n v="76"/>
    <x v="4"/>
    <x v="0"/>
    <s v="Japan"/>
    <n v="116"/>
    <s v="Medium"/>
    <s v="Good"/>
  </r>
  <r>
    <x v="3"/>
    <x v="3"/>
    <x v="513"/>
    <x v="1"/>
    <s v="North Ericville"/>
    <x v="1"/>
    <n v="0.53"/>
    <n v="55"/>
    <x v="0"/>
    <x v="0"/>
    <s v="UAE, Russia"/>
    <n v="161"/>
    <s v="Low"/>
    <s v="Average"/>
  </r>
  <r>
    <x v="3"/>
    <x v="18"/>
    <x v="514"/>
    <x v="1"/>
    <s v="West Michelle"/>
    <x v="4"/>
    <n v="16.170000000000002"/>
    <n v="60"/>
    <x v="4"/>
    <x v="0"/>
    <s v="Israel, Germany, India"/>
    <n v="205"/>
    <s v="Medium"/>
    <s v="Average"/>
  </r>
  <r>
    <x v="7"/>
    <x v="6"/>
    <x v="515"/>
    <x v="1"/>
    <s v="Maddoxport"/>
    <x v="4"/>
    <n v="47.02"/>
    <n v="69"/>
    <x v="4"/>
    <x v="0"/>
    <s v="USA, China"/>
    <n v="17"/>
    <s v="High"/>
    <s v="Average"/>
  </r>
  <r>
    <x v="4"/>
    <x v="19"/>
    <x v="516"/>
    <x v="0"/>
    <s v="Annafort"/>
    <x v="0"/>
    <n v="45.2"/>
    <n v="53"/>
    <x v="3"/>
    <x v="0"/>
    <s v="India, Japan"/>
    <n v="16"/>
    <s v="High"/>
    <s v="Average"/>
  </r>
  <r>
    <x v="4"/>
    <x v="2"/>
    <x v="517"/>
    <x v="1"/>
    <s v="South Danielle"/>
    <x v="2"/>
    <n v="27.93"/>
    <n v="97"/>
    <x v="4"/>
    <x v="0"/>
    <s v="UK, France"/>
    <n v="196"/>
    <s v="Medium"/>
    <s v="Excellent"/>
  </r>
  <r>
    <x v="9"/>
    <x v="14"/>
    <x v="518"/>
    <x v="1"/>
    <s v="Morrisside"/>
    <x v="3"/>
    <n v="10.56"/>
    <n v="60"/>
    <x v="0"/>
    <x v="0"/>
    <s v="USA"/>
    <n v="68"/>
    <s v="Low"/>
    <s v="Average"/>
  </r>
  <r>
    <x v="4"/>
    <x v="1"/>
    <x v="519"/>
    <x v="0"/>
    <s v="West Leah"/>
    <x v="4"/>
    <n v="16.510000000000002"/>
    <n v="63"/>
    <x v="1"/>
    <x v="0"/>
    <s v="Israel, China, Russia"/>
    <n v="350"/>
    <s v="Medium"/>
    <s v="Average"/>
  </r>
  <r>
    <x v="6"/>
    <x v="11"/>
    <x v="520"/>
    <x v="0"/>
    <s v="East Donna"/>
    <x v="2"/>
    <n v="35.19"/>
    <n v="77"/>
    <x v="4"/>
    <x v="1"/>
    <s v="Germany, Israel, UK"/>
    <n v="173"/>
    <s v="High"/>
    <s v="Good"/>
  </r>
  <r>
    <x v="0"/>
    <x v="2"/>
    <x v="521"/>
    <x v="0"/>
    <s v="Knightport"/>
    <x v="3"/>
    <n v="28.48"/>
    <n v="73"/>
    <x v="1"/>
    <x v="2"/>
    <s v="Germany"/>
    <n v="318"/>
    <s v="Medium"/>
    <s v="Average"/>
  </r>
  <r>
    <x v="3"/>
    <x v="11"/>
    <x v="522"/>
    <x v="0"/>
    <s v="West Thomas"/>
    <x v="3"/>
    <n v="14.66"/>
    <n v="84"/>
    <x v="3"/>
    <x v="0"/>
    <s v="USA"/>
    <n v="159"/>
    <s v="Low"/>
    <s v="Good"/>
  </r>
  <r>
    <x v="3"/>
    <x v="20"/>
    <x v="523"/>
    <x v="0"/>
    <s v="Johnsonmouth"/>
    <x v="3"/>
    <n v="41.66"/>
    <n v="76"/>
    <x v="1"/>
    <x v="2"/>
    <s v="Israel, Germany, India"/>
    <n v="178"/>
    <s v="High"/>
    <s v="Good"/>
  </r>
  <r>
    <x v="3"/>
    <x v="7"/>
    <x v="524"/>
    <x v="1"/>
    <s v="New Erin"/>
    <x v="4"/>
    <n v="23.86"/>
    <n v="80"/>
    <x v="1"/>
    <x v="0"/>
    <s v="Japan, France"/>
    <n v="293"/>
    <s v="Medium"/>
    <s v="Good"/>
  </r>
  <r>
    <x v="6"/>
    <x v="2"/>
    <x v="525"/>
    <x v="0"/>
    <s v="New Thomas"/>
    <x v="0"/>
    <n v="40.11"/>
    <n v="67"/>
    <x v="2"/>
    <x v="1"/>
    <s v="USA, China, Japan"/>
    <n v="22"/>
    <s v="High"/>
    <s v="Average"/>
  </r>
  <r>
    <x v="8"/>
    <x v="10"/>
    <x v="526"/>
    <x v="0"/>
    <s v="North Latoya"/>
    <x v="3"/>
    <n v="31.56"/>
    <n v="53"/>
    <x v="3"/>
    <x v="0"/>
    <s v="USA, UAE, France"/>
    <n v="293"/>
    <s v="Medium"/>
    <s v="Average"/>
  </r>
  <r>
    <x v="4"/>
    <x v="10"/>
    <x v="527"/>
    <x v="0"/>
    <s v="North Tracybury"/>
    <x v="4"/>
    <n v="6.74"/>
    <n v="53"/>
    <x v="1"/>
    <x v="2"/>
    <s v="Israel"/>
    <n v="272"/>
    <s v="Low"/>
    <s v="Average"/>
  </r>
  <r>
    <x v="4"/>
    <x v="17"/>
    <x v="528"/>
    <x v="0"/>
    <s v="New Melissashire"/>
    <x v="1"/>
    <n v="45.01"/>
    <n v="81"/>
    <x v="1"/>
    <x v="0"/>
    <s v="Russia, China, Japan"/>
    <n v="73"/>
    <s v="High"/>
    <s v="Good"/>
  </r>
  <r>
    <x v="4"/>
    <x v="8"/>
    <x v="529"/>
    <x v="1"/>
    <s v="Staceyville"/>
    <x v="1"/>
    <n v="11.75"/>
    <n v="86"/>
    <x v="4"/>
    <x v="0"/>
    <s v="India, UK"/>
    <n v="150"/>
    <s v="Low"/>
    <s v="Good"/>
  </r>
  <r>
    <x v="7"/>
    <x v="1"/>
    <x v="530"/>
    <x v="1"/>
    <s v="West Lisaside"/>
    <x v="2"/>
    <n v="47.3"/>
    <n v="70"/>
    <x v="3"/>
    <x v="2"/>
    <s v="France, USA, Russia"/>
    <n v="204"/>
    <s v="High"/>
    <s v="Average"/>
  </r>
  <r>
    <x v="0"/>
    <x v="3"/>
    <x v="531"/>
    <x v="1"/>
    <s v="North Kristy"/>
    <x v="0"/>
    <n v="43.07"/>
    <n v="86"/>
    <x v="4"/>
    <x v="1"/>
    <s v="Japan, Germany, Israel"/>
    <n v="261"/>
    <s v="High"/>
    <s v="Good"/>
  </r>
  <r>
    <x v="9"/>
    <x v="9"/>
    <x v="532"/>
    <x v="0"/>
    <s v="Paulmouth"/>
    <x v="3"/>
    <n v="25.67"/>
    <n v="71"/>
    <x v="0"/>
    <x v="2"/>
    <s v="Japan, UK, France"/>
    <n v="265"/>
    <s v="Medium"/>
    <s v="Average"/>
  </r>
  <r>
    <x v="3"/>
    <x v="14"/>
    <x v="533"/>
    <x v="0"/>
    <s v="Gallaghermouth"/>
    <x v="3"/>
    <n v="43.69"/>
    <n v="85"/>
    <x v="1"/>
    <x v="1"/>
    <s v="Israel, Russia"/>
    <n v="83"/>
    <s v="High"/>
    <s v="Good"/>
  </r>
  <r>
    <x v="9"/>
    <x v="16"/>
    <x v="534"/>
    <x v="0"/>
    <s v="Tanyahaven"/>
    <x v="1"/>
    <n v="22.23"/>
    <n v="74"/>
    <x v="4"/>
    <x v="0"/>
    <s v="UK"/>
    <n v="90"/>
    <s v="Medium"/>
    <s v="Average"/>
  </r>
  <r>
    <x v="1"/>
    <x v="17"/>
    <x v="535"/>
    <x v="1"/>
    <s v="Port Lisa"/>
    <x v="0"/>
    <n v="44.57"/>
    <n v="67"/>
    <x v="0"/>
    <x v="1"/>
    <s v="India, Russia"/>
    <n v="228"/>
    <s v="High"/>
    <s v="Average"/>
  </r>
  <r>
    <x v="1"/>
    <x v="6"/>
    <x v="536"/>
    <x v="0"/>
    <s v="South Kenneth"/>
    <x v="0"/>
    <n v="18.61"/>
    <n v="68"/>
    <x v="4"/>
    <x v="0"/>
    <s v="Japan, China"/>
    <n v="176"/>
    <s v="Medium"/>
    <s v="Average"/>
  </r>
  <r>
    <x v="1"/>
    <x v="7"/>
    <x v="537"/>
    <x v="1"/>
    <s v="Port Johnbury"/>
    <x v="2"/>
    <n v="7.93"/>
    <n v="81"/>
    <x v="3"/>
    <x v="0"/>
    <s v="UK"/>
    <n v="58"/>
    <s v="Low"/>
    <s v="Good"/>
  </r>
  <r>
    <x v="1"/>
    <x v="12"/>
    <x v="538"/>
    <x v="0"/>
    <s v="Santosville"/>
    <x v="1"/>
    <n v="2.96"/>
    <n v="52"/>
    <x v="2"/>
    <x v="2"/>
    <s v="India"/>
    <n v="31"/>
    <s v="Low"/>
    <s v="Average"/>
  </r>
  <r>
    <x v="2"/>
    <x v="9"/>
    <x v="539"/>
    <x v="0"/>
    <s v="New Faith"/>
    <x v="4"/>
    <n v="34.99"/>
    <n v="100"/>
    <x v="4"/>
    <x v="2"/>
    <s v="China"/>
    <n v="128"/>
    <s v="Medium"/>
    <s v="Excellent"/>
  </r>
  <r>
    <x v="3"/>
    <x v="10"/>
    <x v="540"/>
    <x v="0"/>
    <s v="Rachelfurt"/>
    <x v="2"/>
    <n v="13.19"/>
    <n v="68"/>
    <x v="2"/>
    <x v="2"/>
    <s v="UK"/>
    <n v="261"/>
    <s v="Low"/>
    <s v="Average"/>
  </r>
  <r>
    <x v="9"/>
    <x v="5"/>
    <x v="541"/>
    <x v="0"/>
    <s v="East Susan"/>
    <x v="1"/>
    <n v="17.64"/>
    <n v="51"/>
    <x v="1"/>
    <x v="2"/>
    <s v="India, Japan"/>
    <n v="7"/>
    <s v="Medium"/>
    <s v="Average"/>
  </r>
  <r>
    <x v="3"/>
    <x v="21"/>
    <x v="542"/>
    <x v="1"/>
    <s v="East Amber"/>
    <x v="1"/>
    <n v="35.979999999999997"/>
    <n v="56"/>
    <x v="4"/>
    <x v="2"/>
    <s v="Russia"/>
    <n v="259"/>
    <s v="High"/>
    <s v="Average"/>
  </r>
  <r>
    <x v="1"/>
    <x v="16"/>
    <x v="543"/>
    <x v="1"/>
    <s v="Lake Brooke"/>
    <x v="3"/>
    <n v="22.42"/>
    <n v="87"/>
    <x v="4"/>
    <x v="1"/>
    <s v="China, India, France"/>
    <n v="22"/>
    <s v="Medium"/>
    <s v="Good"/>
  </r>
  <r>
    <x v="9"/>
    <x v="11"/>
    <x v="544"/>
    <x v="0"/>
    <s v="Port Dianaborough"/>
    <x v="3"/>
    <n v="8.6"/>
    <n v="74"/>
    <x v="0"/>
    <x v="1"/>
    <s v="Germany, China"/>
    <n v="284"/>
    <s v="Low"/>
    <s v="Average"/>
  </r>
  <r>
    <x v="6"/>
    <x v="16"/>
    <x v="545"/>
    <x v="0"/>
    <s v="Lake Teresamouth"/>
    <x v="3"/>
    <n v="47.21"/>
    <n v="55"/>
    <x v="2"/>
    <x v="1"/>
    <s v="Israel"/>
    <n v="312"/>
    <s v="High"/>
    <s v="Average"/>
  </r>
  <r>
    <x v="2"/>
    <x v="24"/>
    <x v="546"/>
    <x v="0"/>
    <s v="Davidfort"/>
    <x v="4"/>
    <n v="35.24"/>
    <n v="73"/>
    <x v="1"/>
    <x v="2"/>
    <s v="France, Japan"/>
    <n v="315"/>
    <s v="High"/>
    <s v="Average"/>
  </r>
  <r>
    <x v="3"/>
    <x v="15"/>
    <x v="547"/>
    <x v="0"/>
    <s v="Kelseyfort"/>
    <x v="4"/>
    <n v="3.66"/>
    <n v="97"/>
    <x v="1"/>
    <x v="2"/>
    <s v="France, China, UK"/>
    <n v="79"/>
    <s v="Low"/>
    <s v="Excellent"/>
  </r>
  <r>
    <x v="0"/>
    <x v="21"/>
    <x v="548"/>
    <x v="1"/>
    <s v="Annafort"/>
    <x v="0"/>
    <n v="10.46"/>
    <n v="72"/>
    <x v="1"/>
    <x v="2"/>
    <s v="China, Israel, Japan"/>
    <n v="133"/>
    <s v="Low"/>
    <s v="Average"/>
  </r>
  <r>
    <x v="7"/>
    <x v="1"/>
    <x v="549"/>
    <x v="0"/>
    <s v="North Robertchester"/>
    <x v="1"/>
    <n v="27.47"/>
    <n v="70"/>
    <x v="3"/>
    <x v="1"/>
    <s v="Israel, Germany"/>
    <n v="199"/>
    <s v="Medium"/>
    <s v="Average"/>
  </r>
  <r>
    <x v="9"/>
    <x v="11"/>
    <x v="550"/>
    <x v="0"/>
    <s v="Ryanland"/>
    <x v="4"/>
    <n v="8.2100000000000009"/>
    <n v="93"/>
    <x v="4"/>
    <x v="0"/>
    <s v="Israel, China, Germany"/>
    <n v="105"/>
    <s v="Low"/>
    <s v="Excellent"/>
  </r>
  <r>
    <x v="2"/>
    <x v="10"/>
    <x v="551"/>
    <x v="0"/>
    <s v="Jameshaven"/>
    <x v="4"/>
    <n v="31.42"/>
    <n v="84"/>
    <x v="0"/>
    <x v="2"/>
    <s v="Russia"/>
    <n v="300"/>
    <s v="Medium"/>
    <s v="Good"/>
  </r>
  <r>
    <x v="8"/>
    <x v="22"/>
    <x v="552"/>
    <x v="0"/>
    <s v="Espinozachester"/>
    <x v="1"/>
    <n v="5.88"/>
    <n v="99"/>
    <x v="0"/>
    <x v="0"/>
    <s v="China, India, Russia"/>
    <n v="133"/>
    <s v="Low"/>
    <s v="Excellent"/>
  </r>
  <r>
    <x v="5"/>
    <x v="9"/>
    <x v="553"/>
    <x v="0"/>
    <s v="Estradaville"/>
    <x v="4"/>
    <n v="39.950000000000003"/>
    <n v="90"/>
    <x v="3"/>
    <x v="1"/>
    <s v="Israel, Germany, Russia"/>
    <n v="22"/>
    <s v="High"/>
    <s v="Excellent"/>
  </r>
  <r>
    <x v="1"/>
    <x v="12"/>
    <x v="554"/>
    <x v="1"/>
    <s v="Littleberg"/>
    <x v="4"/>
    <n v="48.01"/>
    <n v="68"/>
    <x v="1"/>
    <x v="1"/>
    <s v="Russia, UK, France"/>
    <n v="19"/>
    <s v="High"/>
    <s v="Average"/>
  </r>
  <r>
    <x v="3"/>
    <x v="1"/>
    <x v="555"/>
    <x v="0"/>
    <s v="North Susan"/>
    <x v="1"/>
    <n v="5.74"/>
    <n v="65"/>
    <x v="3"/>
    <x v="2"/>
    <s v="UAE"/>
    <n v="279"/>
    <s v="Low"/>
    <s v="Average"/>
  </r>
  <r>
    <x v="4"/>
    <x v="14"/>
    <x v="556"/>
    <x v="0"/>
    <s v="Michaelhaven"/>
    <x v="3"/>
    <n v="43.18"/>
    <n v="92"/>
    <x v="0"/>
    <x v="0"/>
    <s v="USA, Japan, Russia"/>
    <n v="183"/>
    <s v="High"/>
    <s v="Excellent"/>
  </r>
  <r>
    <x v="1"/>
    <x v="11"/>
    <x v="557"/>
    <x v="1"/>
    <s v="Velazquezville"/>
    <x v="2"/>
    <n v="11.88"/>
    <n v="87"/>
    <x v="4"/>
    <x v="2"/>
    <s v="Israel, China"/>
    <n v="329"/>
    <s v="Low"/>
    <s v="Good"/>
  </r>
  <r>
    <x v="0"/>
    <x v="17"/>
    <x v="558"/>
    <x v="1"/>
    <s v="Danielfurt"/>
    <x v="1"/>
    <n v="2.44"/>
    <n v="90"/>
    <x v="4"/>
    <x v="1"/>
    <s v="Germany, China, India"/>
    <n v="129"/>
    <s v="Low"/>
    <s v="Excellent"/>
  </r>
  <r>
    <x v="9"/>
    <x v="7"/>
    <x v="559"/>
    <x v="0"/>
    <s v="South Michaelbury"/>
    <x v="1"/>
    <n v="44.93"/>
    <n v="63"/>
    <x v="0"/>
    <x v="2"/>
    <s v="India, France, Israel"/>
    <n v="352"/>
    <s v="High"/>
    <s v="Average"/>
  </r>
  <r>
    <x v="8"/>
    <x v="7"/>
    <x v="560"/>
    <x v="0"/>
    <s v="Joshuaton"/>
    <x v="2"/>
    <n v="27.61"/>
    <n v="70"/>
    <x v="2"/>
    <x v="0"/>
    <s v="Japan"/>
    <n v="117"/>
    <s v="Medium"/>
    <s v="Average"/>
  </r>
  <r>
    <x v="6"/>
    <x v="25"/>
    <x v="561"/>
    <x v="0"/>
    <s v="Port Cynthia"/>
    <x v="4"/>
    <n v="16.739999999999998"/>
    <n v="94"/>
    <x v="4"/>
    <x v="1"/>
    <s v="Israel, Germany"/>
    <n v="329"/>
    <s v="Medium"/>
    <s v="Excellent"/>
  </r>
  <r>
    <x v="8"/>
    <x v="9"/>
    <x v="562"/>
    <x v="0"/>
    <s v="South Johnny"/>
    <x v="0"/>
    <n v="9.5399999999999991"/>
    <n v="69"/>
    <x v="2"/>
    <x v="1"/>
    <s v="Germany, China"/>
    <n v="116"/>
    <s v="Low"/>
    <s v="Average"/>
  </r>
  <r>
    <x v="5"/>
    <x v="4"/>
    <x v="563"/>
    <x v="1"/>
    <s v="Pearsonstad"/>
    <x v="4"/>
    <n v="36.1"/>
    <n v="96"/>
    <x v="4"/>
    <x v="2"/>
    <s v="Germany, USA, France"/>
    <n v="19"/>
    <s v="High"/>
    <s v="Excellent"/>
  </r>
  <r>
    <x v="6"/>
    <x v="11"/>
    <x v="564"/>
    <x v="0"/>
    <s v="Williamsbury"/>
    <x v="3"/>
    <n v="32.950000000000003"/>
    <n v="82"/>
    <x v="4"/>
    <x v="1"/>
    <s v="Germany, USA"/>
    <n v="281"/>
    <s v="Medium"/>
    <s v="Good"/>
  </r>
  <r>
    <x v="3"/>
    <x v="1"/>
    <x v="565"/>
    <x v="1"/>
    <s v="Port Phillip"/>
    <x v="2"/>
    <n v="12.48"/>
    <n v="100"/>
    <x v="2"/>
    <x v="1"/>
    <s v="China, Israel, UAE"/>
    <n v="352"/>
    <s v="Low"/>
    <s v="Excellent"/>
  </r>
  <r>
    <x v="5"/>
    <x v="1"/>
    <x v="566"/>
    <x v="0"/>
    <s v="Woodfort"/>
    <x v="3"/>
    <n v="36.26"/>
    <n v="69"/>
    <x v="3"/>
    <x v="0"/>
    <s v="UK, Israel"/>
    <n v="186"/>
    <s v="High"/>
    <s v="Average"/>
  </r>
  <r>
    <x v="2"/>
    <x v="24"/>
    <x v="567"/>
    <x v="1"/>
    <s v="Lake Jonathanhaven"/>
    <x v="1"/>
    <n v="21.54"/>
    <n v="60"/>
    <x v="2"/>
    <x v="1"/>
    <s v="Russia, UK, Israel"/>
    <n v="316"/>
    <s v="Medium"/>
    <s v="Average"/>
  </r>
  <r>
    <x v="6"/>
    <x v="23"/>
    <x v="568"/>
    <x v="0"/>
    <s v="South Jennachester"/>
    <x v="0"/>
    <n v="44.12"/>
    <n v="78"/>
    <x v="3"/>
    <x v="0"/>
    <s v="USA, Israel, Russia"/>
    <n v="343"/>
    <s v="High"/>
    <s v="Good"/>
  </r>
  <r>
    <x v="7"/>
    <x v="15"/>
    <x v="569"/>
    <x v="0"/>
    <s v="East Kim"/>
    <x v="1"/>
    <n v="30.83"/>
    <n v="80"/>
    <x v="3"/>
    <x v="0"/>
    <s v="USA, Germany, India"/>
    <n v="11"/>
    <s v="Medium"/>
    <s v="Good"/>
  </r>
  <r>
    <x v="6"/>
    <x v="1"/>
    <x v="570"/>
    <x v="0"/>
    <s v="Port Jamesfort"/>
    <x v="2"/>
    <n v="8.1300000000000008"/>
    <n v="53"/>
    <x v="0"/>
    <x v="0"/>
    <s v="China, UAE, Japan"/>
    <n v="285"/>
    <s v="Low"/>
    <s v="Average"/>
  </r>
  <r>
    <x v="0"/>
    <x v="2"/>
    <x v="571"/>
    <x v="0"/>
    <s v="Lake Matthewborough"/>
    <x v="4"/>
    <n v="9.35"/>
    <n v="81"/>
    <x v="4"/>
    <x v="2"/>
    <s v="USA"/>
    <n v="207"/>
    <s v="Low"/>
    <s v="Good"/>
  </r>
  <r>
    <x v="7"/>
    <x v="7"/>
    <x v="572"/>
    <x v="0"/>
    <s v="Lake Melissaview"/>
    <x v="0"/>
    <n v="25.13"/>
    <n v="50"/>
    <x v="2"/>
    <x v="2"/>
    <s v="France, Israel"/>
    <n v="162"/>
    <s v="Medium"/>
    <s v="Average"/>
  </r>
  <r>
    <x v="9"/>
    <x v="1"/>
    <x v="573"/>
    <x v="1"/>
    <s v="Andersonside"/>
    <x v="1"/>
    <n v="49.54"/>
    <n v="66"/>
    <x v="4"/>
    <x v="2"/>
    <s v="Israel"/>
    <n v="144"/>
    <s v="High"/>
    <s v="Average"/>
  </r>
  <r>
    <x v="4"/>
    <x v="12"/>
    <x v="574"/>
    <x v="1"/>
    <s v="Tammyberg"/>
    <x v="1"/>
    <n v="44.58"/>
    <n v="61"/>
    <x v="3"/>
    <x v="2"/>
    <s v="UK, France, India"/>
    <n v="76"/>
    <s v="High"/>
    <s v="Average"/>
  </r>
  <r>
    <x v="9"/>
    <x v="24"/>
    <x v="575"/>
    <x v="1"/>
    <s v="Craighaven"/>
    <x v="2"/>
    <n v="23.22"/>
    <n v="85"/>
    <x v="1"/>
    <x v="1"/>
    <s v="France, Israel, Japan"/>
    <n v="5"/>
    <s v="Medium"/>
    <s v="Good"/>
  </r>
  <r>
    <x v="7"/>
    <x v="3"/>
    <x v="576"/>
    <x v="1"/>
    <s v="Charlesville"/>
    <x v="2"/>
    <n v="13.48"/>
    <n v="94"/>
    <x v="4"/>
    <x v="0"/>
    <s v="UK"/>
    <n v="77"/>
    <s v="Low"/>
    <s v="Excellent"/>
  </r>
  <r>
    <x v="6"/>
    <x v="16"/>
    <x v="577"/>
    <x v="1"/>
    <s v="Kimberlymouth"/>
    <x v="1"/>
    <n v="48.58"/>
    <n v="78"/>
    <x v="1"/>
    <x v="1"/>
    <s v="Israel, China"/>
    <n v="255"/>
    <s v="High"/>
    <s v="Good"/>
  </r>
  <r>
    <x v="5"/>
    <x v="2"/>
    <x v="578"/>
    <x v="0"/>
    <s v="Meganmouth"/>
    <x v="3"/>
    <n v="22.28"/>
    <n v="65"/>
    <x v="3"/>
    <x v="0"/>
    <s v="Japan, France"/>
    <n v="75"/>
    <s v="Medium"/>
    <s v="Average"/>
  </r>
  <r>
    <x v="8"/>
    <x v="3"/>
    <x v="579"/>
    <x v="1"/>
    <s v="West Brian"/>
    <x v="3"/>
    <n v="47.53"/>
    <n v="94"/>
    <x v="0"/>
    <x v="1"/>
    <s v="India, Russia, USA"/>
    <n v="168"/>
    <s v="High"/>
    <s v="Excellent"/>
  </r>
  <r>
    <x v="3"/>
    <x v="3"/>
    <x v="580"/>
    <x v="0"/>
    <s v="Caseyside"/>
    <x v="0"/>
    <n v="1.1599999999999999"/>
    <n v="93"/>
    <x v="0"/>
    <x v="0"/>
    <s v="India, UAE, France"/>
    <n v="138"/>
    <s v="Low"/>
    <s v="Excellent"/>
  </r>
  <r>
    <x v="6"/>
    <x v="23"/>
    <x v="581"/>
    <x v="1"/>
    <s v="New Gregory"/>
    <x v="2"/>
    <n v="25.38"/>
    <n v="87"/>
    <x v="1"/>
    <x v="0"/>
    <s v="China, Israel, Russia"/>
    <n v="356"/>
    <s v="Medium"/>
    <s v="Good"/>
  </r>
  <r>
    <x v="0"/>
    <x v="17"/>
    <x v="582"/>
    <x v="1"/>
    <s v="Robertmouth"/>
    <x v="2"/>
    <n v="23.88"/>
    <n v="80"/>
    <x v="2"/>
    <x v="0"/>
    <s v="Germany"/>
    <n v="115"/>
    <s v="Medium"/>
    <s v="Good"/>
  </r>
  <r>
    <x v="1"/>
    <x v="22"/>
    <x v="583"/>
    <x v="0"/>
    <s v="Lake Debbie"/>
    <x v="3"/>
    <n v="8.99"/>
    <n v="57"/>
    <x v="0"/>
    <x v="0"/>
    <s v="Japan, China"/>
    <n v="297"/>
    <s v="Low"/>
    <s v="Average"/>
  </r>
  <r>
    <x v="7"/>
    <x v="14"/>
    <x v="584"/>
    <x v="0"/>
    <s v="Howardport"/>
    <x v="2"/>
    <n v="1.69"/>
    <n v="93"/>
    <x v="4"/>
    <x v="0"/>
    <s v="Russia"/>
    <n v="189"/>
    <s v="Low"/>
    <s v="Excellent"/>
  </r>
  <r>
    <x v="6"/>
    <x v="1"/>
    <x v="585"/>
    <x v="0"/>
    <s v="Martinezstad"/>
    <x v="4"/>
    <n v="43.74"/>
    <n v="93"/>
    <x v="1"/>
    <x v="2"/>
    <s v="UK"/>
    <n v="76"/>
    <s v="High"/>
    <s v="Excellent"/>
  </r>
  <r>
    <x v="1"/>
    <x v="6"/>
    <x v="586"/>
    <x v="1"/>
    <s v="East Blake"/>
    <x v="2"/>
    <n v="20.079999999999998"/>
    <n v="97"/>
    <x v="0"/>
    <x v="0"/>
    <s v="Russia"/>
    <n v="153"/>
    <s v="Medium"/>
    <s v="Excellent"/>
  </r>
  <r>
    <x v="6"/>
    <x v="5"/>
    <x v="587"/>
    <x v="0"/>
    <s v="New Alexandrastad"/>
    <x v="3"/>
    <n v="37.130000000000003"/>
    <n v="99"/>
    <x v="3"/>
    <x v="2"/>
    <s v="France"/>
    <n v="93"/>
    <s v="High"/>
    <s v="Excellent"/>
  </r>
  <r>
    <x v="9"/>
    <x v="12"/>
    <x v="588"/>
    <x v="1"/>
    <s v="Smithberg"/>
    <x v="1"/>
    <n v="39.799999999999997"/>
    <n v="71"/>
    <x v="0"/>
    <x v="0"/>
    <s v="Israel"/>
    <n v="278"/>
    <s v="High"/>
    <s v="Average"/>
  </r>
  <r>
    <x v="6"/>
    <x v="19"/>
    <x v="589"/>
    <x v="0"/>
    <s v="Port Ana"/>
    <x v="3"/>
    <n v="2.65"/>
    <n v="54"/>
    <x v="2"/>
    <x v="2"/>
    <s v="UAE, Israel, USA"/>
    <n v="12"/>
    <s v="Low"/>
    <s v="Average"/>
  </r>
  <r>
    <x v="4"/>
    <x v="5"/>
    <x v="590"/>
    <x v="1"/>
    <s v="West Austintown"/>
    <x v="2"/>
    <n v="48.05"/>
    <n v="76"/>
    <x v="0"/>
    <x v="1"/>
    <s v="Germany, Russia, UK"/>
    <n v="292"/>
    <s v="High"/>
    <s v="Good"/>
  </r>
  <r>
    <x v="0"/>
    <x v="23"/>
    <x v="591"/>
    <x v="1"/>
    <s v="Margaretberg"/>
    <x v="4"/>
    <n v="39.5"/>
    <n v="50"/>
    <x v="2"/>
    <x v="1"/>
    <s v="China, USA, India"/>
    <n v="141"/>
    <s v="High"/>
    <s v="Average"/>
  </r>
  <r>
    <x v="8"/>
    <x v="15"/>
    <x v="592"/>
    <x v="1"/>
    <s v="Farrelltown"/>
    <x v="3"/>
    <n v="24.15"/>
    <n v="98"/>
    <x v="0"/>
    <x v="1"/>
    <s v="UAE, France"/>
    <n v="117"/>
    <s v="Medium"/>
    <s v="Excellent"/>
  </r>
  <r>
    <x v="3"/>
    <x v="1"/>
    <x v="593"/>
    <x v="1"/>
    <s v="Port Tara"/>
    <x v="1"/>
    <n v="22.24"/>
    <n v="84"/>
    <x v="0"/>
    <x v="1"/>
    <s v="Israel, UAE"/>
    <n v="67"/>
    <s v="Medium"/>
    <s v="Good"/>
  </r>
  <r>
    <x v="0"/>
    <x v="4"/>
    <x v="594"/>
    <x v="1"/>
    <s v="Jesseland"/>
    <x v="3"/>
    <n v="46.98"/>
    <n v="51"/>
    <x v="0"/>
    <x v="2"/>
    <s v="France"/>
    <n v="119"/>
    <s v="High"/>
    <s v="Average"/>
  </r>
  <r>
    <x v="8"/>
    <x v="7"/>
    <x v="595"/>
    <x v="0"/>
    <s v="South Ashleybury"/>
    <x v="1"/>
    <n v="9.91"/>
    <n v="97"/>
    <x v="0"/>
    <x v="1"/>
    <s v="Germany, USA"/>
    <n v="32"/>
    <s v="Low"/>
    <s v="Excellent"/>
  </r>
  <r>
    <x v="2"/>
    <x v="13"/>
    <x v="596"/>
    <x v="1"/>
    <s v="West Samanthaburgh"/>
    <x v="2"/>
    <n v="30.65"/>
    <n v="95"/>
    <x v="1"/>
    <x v="1"/>
    <s v="France, Israel"/>
    <n v="40"/>
    <s v="Medium"/>
    <s v="Excellent"/>
  </r>
  <r>
    <x v="0"/>
    <x v="23"/>
    <x v="597"/>
    <x v="1"/>
    <s v="West Michaelhaven"/>
    <x v="3"/>
    <n v="19.010000000000002"/>
    <n v="99"/>
    <x v="3"/>
    <x v="0"/>
    <s v="UAE, Germany"/>
    <n v="125"/>
    <s v="Medium"/>
    <s v="Excellent"/>
  </r>
  <r>
    <x v="4"/>
    <x v="10"/>
    <x v="598"/>
    <x v="1"/>
    <s v="Jacobsburgh"/>
    <x v="4"/>
    <n v="24.23"/>
    <n v="50"/>
    <x v="2"/>
    <x v="2"/>
    <s v="China, France, Israel"/>
    <n v="262"/>
    <s v="Medium"/>
    <s v="Average"/>
  </r>
  <r>
    <x v="9"/>
    <x v="20"/>
    <x v="599"/>
    <x v="1"/>
    <s v="New Melinda"/>
    <x v="3"/>
    <n v="38.049999999999997"/>
    <n v="97"/>
    <x v="2"/>
    <x v="0"/>
    <s v="France, USA"/>
    <n v="185"/>
    <s v="High"/>
    <s v="Excellent"/>
  </r>
  <r>
    <x v="8"/>
    <x v="21"/>
    <x v="600"/>
    <x v="0"/>
    <s v="Port Courtneyburgh"/>
    <x v="2"/>
    <n v="23.52"/>
    <n v="53"/>
    <x v="2"/>
    <x v="2"/>
    <s v="USA, Japan"/>
    <n v="135"/>
    <s v="Medium"/>
    <s v="Average"/>
  </r>
  <r>
    <x v="6"/>
    <x v="3"/>
    <x v="601"/>
    <x v="0"/>
    <s v="Ericaside"/>
    <x v="1"/>
    <n v="31.35"/>
    <n v="69"/>
    <x v="3"/>
    <x v="1"/>
    <s v="UK"/>
    <n v="103"/>
    <s v="Medium"/>
    <s v="Average"/>
  </r>
  <r>
    <x v="8"/>
    <x v="7"/>
    <x v="602"/>
    <x v="1"/>
    <s v="West Dana"/>
    <x v="3"/>
    <n v="29.38"/>
    <n v="82"/>
    <x v="1"/>
    <x v="0"/>
    <s v="USA"/>
    <n v="183"/>
    <s v="Medium"/>
    <s v="Good"/>
  </r>
  <r>
    <x v="0"/>
    <x v="3"/>
    <x v="603"/>
    <x v="0"/>
    <s v="Rhodesburgh"/>
    <x v="3"/>
    <n v="6.51"/>
    <n v="61"/>
    <x v="4"/>
    <x v="0"/>
    <s v="Russia, China"/>
    <n v="25"/>
    <s v="Low"/>
    <s v="Average"/>
  </r>
  <r>
    <x v="2"/>
    <x v="15"/>
    <x v="604"/>
    <x v="0"/>
    <s v="Austinside"/>
    <x v="2"/>
    <n v="44.02"/>
    <n v="70"/>
    <x v="2"/>
    <x v="1"/>
    <s v="Germany"/>
    <n v="288"/>
    <s v="High"/>
    <s v="Average"/>
  </r>
  <r>
    <x v="8"/>
    <x v="3"/>
    <x v="605"/>
    <x v="1"/>
    <s v="Allenburgh"/>
    <x v="2"/>
    <n v="39.58"/>
    <n v="94"/>
    <x v="2"/>
    <x v="0"/>
    <s v="USA, China, Germany"/>
    <n v="213"/>
    <s v="High"/>
    <s v="Excellent"/>
  </r>
  <r>
    <x v="0"/>
    <x v="12"/>
    <x v="606"/>
    <x v="1"/>
    <s v="Holmesmouth"/>
    <x v="4"/>
    <n v="42.08"/>
    <n v="81"/>
    <x v="2"/>
    <x v="1"/>
    <s v="Germany"/>
    <n v="154"/>
    <s v="High"/>
    <s v="Good"/>
  </r>
  <r>
    <x v="7"/>
    <x v="19"/>
    <x v="607"/>
    <x v="1"/>
    <s v="Lake Bryanstad"/>
    <x v="2"/>
    <n v="22.92"/>
    <n v="93"/>
    <x v="1"/>
    <x v="1"/>
    <s v="France"/>
    <n v="129"/>
    <s v="Medium"/>
    <s v="Excellent"/>
  </r>
  <r>
    <x v="5"/>
    <x v="8"/>
    <x v="608"/>
    <x v="0"/>
    <s v="Chadberg"/>
    <x v="3"/>
    <n v="26.7"/>
    <n v="53"/>
    <x v="0"/>
    <x v="1"/>
    <s v="Russia, India, Germany"/>
    <n v="269"/>
    <s v="Medium"/>
    <s v="Average"/>
  </r>
  <r>
    <x v="2"/>
    <x v="6"/>
    <x v="609"/>
    <x v="1"/>
    <s v="New Markton"/>
    <x v="0"/>
    <n v="13.88"/>
    <n v="74"/>
    <x v="3"/>
    <x v="0"/>
    <s v="India, Israel"/>
    <n v="9"/>
    <s v="Low"/>
    <s v="Average"/>
  </r>
  <r>
    <x v="8"/>
    <x v="24"/>
    <x v="610"/>
    <x v="1"/>
    <s v="Lake Sally"/>
    <x v="3"/>
    <n v="38.159999999999997"/>
    <n v="77"/>
    <x v="2"/>
    <x v="0"/>
    <s v="UK, Israel, USA"/>
    <n v="244"/>
    <s v="High"/>
    <s v="Good"/>
  </r>
  <r>
    <x v="9"/>
    <x v="15"/>
    <x v="611"/>
    <x v="1"/>
    <s v="North Randyfurt"/>
    <x v="1"/>
    <n v="6.06"/>
    <n v="76"/>
    <x v="0"/>
    <x v="0"/>
    <s v="France, China, India"/>
    <n v="81"/>
    <s v="Low"/>
    <s v="Good"/>
  </r>
  <r>
    <x v="5"/>
    <x v="7"/>
    <x v="612"/>
    <x v="1"/>
    <s v="Alexmouth"/>
    <x v="3"/>
    <n v="42.33"/>
    <n v="56"/>
    <x v="4"/>
    <x v="0"/>
    <s v="UK, Russia, Israel"/>
    <n v="338"/>
    <s v="High"/>
    <s v="Average"/>
  </r>
  <r>
    <x v="0"/>
    <x v="0"/>
    <x v="613"/>
    <x v="0"/>
    <s v="Melanieville"/>
    <x v="3"/>
    <n v="14.31"/>
    <n v="84"/>
    <x v="4"/>
    <x v="1"/>
    <s v="Germany, India, China"/>
    <n v="250"/>
    <s v="Low"/>
    <s v="Good"/>
  </r>
  <r>
    <x v="9"/>
    <x v="12"/>
    <x v="614"/>
    <x v="0"/>
    <s v="Port Tiffany"/>
    <x v="3"/>
    <n v="39.28"/>
    <n v="96"/>
    <x v="1"/>
    <x v="2"/>
    <s v="Japan, USA"/>
    <n v="358"/>
    <s v="High"/>
    <s v="Excellent"/>
  </r>
  <r>
    <x v="8"/>
    <x v="2"/>
    <x v="615"/>
    <x v="1"/>
    <s v="Jodistad"/>
    <x v="3"/>
    <n v="41.69"/>
    <n v="54"/>
    <x v="4"/>
    <x v="2"/>
    <s v="Russia, India, UK"/>
    <n v="38"/>
    <s v="High"/>
    <s v="Average"/>
  </r>
  <r>
    <x v="6"/>
    <x v="23"/>
    <x v="616"/>
    <x v="1"/>
    <s v="Reedland"/>
    <x v="4"/>
    <n v="28.66"/>
    <n v="96"/>
    <x v="4"/>
    <x v="0"/>
    <s v="France, Israel"/>
    <n v="123"/>
    <s v="Medium"/>
    <s v="Excellent"/>
  </r>
  <r>
    <x v="1"/>
    <x v="23"/>
    <x v="617"/>
    <x v="0"/>
    <s v="South Susanville"/>
    <x v="0"/>
    <n v="22.97"/>
    <n v="97"/>
    <x v="4"/>
    <x v="1"/>
    <s v="Russia, China, France"/>
    <n v="269"/>
    <s v="Medium"/>
    <s v="Excellent"/>
  </r>
  <r>
    <x v="3"/>
    <x v="8"/>
    <x v="618"/>
    <x v="0"/>
    <s v="South Matthew"/>
    <x v="0"/>
    <n v="3.22"/>
    <n v="98"/>
    <x v="3"/>
    <x v="2"/>
    <s v="USA"/>
    <n v="81"/>
    <s v="Low"/>
    <s v="Excellent"/>
  </r>
  <r>
    <x v="5"/>
    <x v="14"/>
    <x v="619"/>
    <x v="1"/>
    <s v="Tuckerfort"/>
    <x v="3"/>
    <n v="26.7"/>
    <n v="95"/>
    <x v="3"/>
    <x v="2"/>
    <s v="China, USA, Japan"/>
    <n v="47"/>
    <s v="Medium"/>
    <s v="Excellent"/>
  </r>
  <r>
    <x v="6"/>
    <x v="19"/>
    <x v="620"/>
    <x v="0"/>
    <s v="Port Claytonshire"/>
    <x v="2"/>
    <n v="44.61"/>
    <n v="92"/>
    <x v="4"/>
    <x v="0"/>
    <s v="France, USA"/>
    <n v="221"/>
    <s v="High"/>
    <s v="Excellent"/>
  </r>
  <r>
    <x v="2"/>
    <x v="0"/>
    <x v="621"/>
    <x v="0"/>
    <s v="South Vanessa"/>
    <x v="4"/>
    <n v="5.8"/>
    <n v="52"/>
    <x v="2"/>
    <x v="0"/>
    <s v="Russia, Israel"/>
    <n v="336"/>
    <s v="Low"/>
    <s v="Average"/>
  </r>
  <r>
    <x v="2"/>
    <x v="21"/>
    <x v="622"/>
    <x v="1"/>
    <s v="Brownville"/>
    <x v="3"/>
    <n v="43.31"/>
    <n v="91"/>
    <x v="2"/>
    <x v="0"/>
    <s v="UK"/>
    <n v="180"/>
    <s v="High"/>
    <s v="Excellent"/>
  </r>
  <r>
    <x v="5"/>
    <x v="21"/>
    <x v="623"/>
    <x v="1"/>
    <s v="Marshburgh"/>
    <x v="3"/>
    <n v="41.74"/>
    <n v="89"/>
    <x v="4"/>
    <x v="2"/>
    <s v="Israel, UK"/>
    <n v="225"/>
    <s v="High"/>
    <s v="Good"/>
  </r>
  <r>
    <x v="3"/>
    <x v="5"/>
    <x v="624"/>
    <x v="0"/>
    <s v="Alexisside"/>
    <x v="3"/>
    <n v="9.26"/>
    <n v="87"/>
    <x v="4"/>
    <x v="2"/>
    <s v="China, UAE, UK"/>
    <n v="267"/>
    <s v="Low"/>
    <s v="Good"/>
  </r>
  <r>
    <x v="0"/>
    <x v="12"/>
    <x v="625"/>
    <x v="0"/>
    <s v="Conradland"/>
    <x v="1"/>
    <n v="46.28"/>
    <n v="53"/>
    <x v="0"/>
    <x v="0"/>
    <s v="Israel"/>
    <n v="342"/>
    <s v="High"/>
    <s v="Average"/>
  </r>
  <r>
    <x v="1"/>
    <x v="0"/>
    <x v="626"/>
    <x v="1"/>
    <s v="Greenhaven"/>
    <x v="1"/>
    <n v="44.63"/>
    <n v="79"/>
    <x v="2"/>
    <x v="1"/>
    <s v="Russia, Israel, India"/>
    <n v="250"/>
    <s v="High"/>
    <s v="Good"/>
  </r>
  <r>
    <x v="3"/>
    <x v="7"/>
    <x v="627"/>
    <x v="0"/>
    <s v="West Maryview"/>
    <x v="1"/>
    <n v="30.89"/>
    <n v="88"/>
    <x v="0"/>
    <x v="1"/>
    <s v="India"/>
    <n v="285"/>
    <s v="Medium"/>
    <s v="Good"/>
  </r>
  <r>
    <x v="1"/>
    <x v="4"/>
    <x v="628"/>
    <x v="0"/>
    <s v="Tylerbury"/>
    <x v="3"/>
    <n v="36.82"/>
    <n v="70"/>
    <x v="3"/>
    <x v="0"/>
    <s v="USA"/>
    <n v="178"/>
    <s v="High"/>
    <s v="Average"/>
  </r>
  <r>
    <x v="9"/>
    <x v="14"/>
    <x v="629"/>
    <x v="0"/>
    <s v="South Nicolehaven"/>
    <x v="1"/>
    <n v="45.07"/>
    <n v="65"/>
    <x v="1"/>
    <x v="0"/>
    <s v="Germany, UAE"/>
    <n v="26"/>
    <s v="High"/>
    <s v="Average"/>
  </r>
  <r>
    <x v="5"/>
    <x v="14"/>
    <x v="630"/>
    <x v="0"/>
    <s v="Atkinsfurt"/>
    <x v="1"/>
    <n v="35.64"/>
    <n v="52"/>
    <x v="2"/>
    <x v="0"/>
    <s v="Russia"/>
    <n v="318"/>
    <s v="High"/>
    <s v="Average"/>
  </r>
  <r>
    <x v="1"/>
    <x v="24"/>
    <x v="631"/>
    <x v="0"/>
    <s v="Bowersborough"/>
    <x v="3"/>
    <n v="29.09"/>
    <n v="51"/>
    <x v="3"/>
    <x v="1"/>
    <s v="India, Israel, UAE"/>
    <n v="325"/>
    <s v="Medium"/>
    <s v="Average"/>
  </r>
  <r>
    <x v="2"/>
    <x v="16"/>
    <x v="632"/>
    <x v="1"/>
    <s v="North Sean"/>
    <x v="2"/>
    <n v="27.57"/>
    <n v="52"/>
    <x v="3"/>
    <x v="1"/>
    <s v="Germany, Japan, China"/>
    <n v="256"/>
    <s v="Medium"/>
    <s v="Average"/>
  </r>
  <r>
    <x v="1"/>
    <x v="21"/>
    <x v="633"/>
    <x v="1"/>
    <s v="East Margaret"/>
    <x v="3"/>
    <n v="40.93"/>
    <n v="87"/>
    <x v="1"/>
    <x v="1"/>
    <s v="France, UAE, Japan"/>
    <n v="234"/>
    <s v="High"/>
    <s v="Good"/>
  </r>
  <r>
    <x v="9"/>
    <x v="14"/>
    <x v="634"/>
    <x v="1"/>
    <s v="Newmanfort"/>
    <x v="3"/>
    <n v="14.45"/>
    <n v="67"/>
    <x v="1"/>
    <x v="0"/>
    <s v="USA, UK, UAE"/>
    <n v="271"/>
    <s v="Low"/>
    <s v="Average"/>
  </r>
  <r>
    <x v="3"/>
    <x v="13"/>
    <x v="635"/>
    <x v="1"/>
    <s v="New Mark"/>
    <x v="1"/>
    <n v="11.46"/>
    <n v="82"/>
    <x v="2"/>
    <x v="0"/>
    <s v="Russia"/>
    <n v="355"/>
    <s v="Low"/>
    <s v="Good"/>
  </r>
  <r>
    <x v="1"/>
    <x v="5"/>
    <x v="636"/>
    <x v="0"/>
    <s v="Kellershire"/>
    <x v="3"/>
    <n v="24.68"/>
    <n v="50"/>
    <x v="0"/>
    <x v="2"/>
    <s v="UAE, Israel, Germany"/>
    <n v="16"/>
    <s v="Medium"/>
    <s v="Average"/>
  </r>
  <r>
    <x v="2"/>
    <x v="7"/>
    <x v="637"/>
    <x v="1"/>
    <s v="Cummingshaven"/>
    <x v="0"/>
    <n v="35.81"/>
    <n v="95"/>
    <x v="3"/>
    <x v="2"/>
    <s v="Japan, UK"/>
    <n v="9"/>
    <s v="High"/>
    <s v="Excellent"/>
  </r>
  <r>
    <x v="0"/>
    <x v="4"/>
    <x v="638"/>
    <x v="0"/>
    <s v="Edwardsmouth"/>
    <x v="2"/>
    <n v="10.59"/>
    <n v="97"/>
    <x v="2"/>
    <x v="1"/>
    <s v="UK, Japan, USA"/>
    <n v="77"/>
    <s v="Low"/>
    <s v="Excellent"/>
  </r>
  <r>
    <x v="8"/>
    <x v="1"/>
    <x v="639"/>
    <x v="1"/>
    <s v="Lake Hectorchester"/>
    <x v="4"/>
    <n v="48.87"/>
    <n v="90"/>
    <x v="2"/>
    <x v="2"/>
    <s v="Japan, India, USA"/>
    <n v="6"/>
    <s v="High"/>
    <s v="Excellent"/>
  </r>
  <r>
    <x v="5"/>
    <x v="10"/>
    <x v="640"/>
    <x v="0"/>
    <s v="New Jacob"/>
    <x v="0"/>
    <n v="15.26"/>
    <n v="96"/>
    <x v="0"/>
    <x v="1"/>
    <s v="UAE, Japan, France"/>
    <n v="98"/>
    <s v="Medium"/>
    <s v="Excellent"/>
  </r>
  <r>
    <x v="2"/>
    <x v="2"/>
    <x v="641"/>
    <x v="1"/>
    <s v="South Jason"/>
    <x v="4"/>
    <n v="3.43"/>
    <n v="70"/>
    <x v="3"/>
    <x v="2"/>
    <s v="Japan, France"/>
    <n v="183"/>
    <s v="Low"/>
    <s v="Average"/>
  </r>
  <r>
    <x v="9"/>
    <x v="14"/>
    <x v="642"/>
    <x v="1"/>
    <s v="New Toddmouth"/>
    <x v="0"/>
    <n v="5.1100000000000003"/>
    <n v="84"/>
    <x v="2"/>
    <x v="2"/>
    <s v="UAE, Israel"/>
    <n v="199"/>
    <s v="Low"/>
    <s v="Good"/>
  </r>
  <r>
    <x v="9"/>
    <x v="1"/>
    <x v="643"/>
    <x v="1"/>
    <s v="Garrettfurt"/>
    <x v="3"/>
    <n v="17.93"/>
    <n v="91"/>
    <x v="3"/>
    <x v="2"/>
    <s v="UK, Germany, India"/>
    <n v="324"/>
    <s v="Medium"/>
    <s v="Excellent"/>
  </r>
  <r>
    <x v="7"/>
    <x v="9"/>
    <x v="644"/>
    <x v="0"/>
    <s v="New Michaelberg"/>
    <x v="1"/>
    <n v="45.79"/>
    <n v="53"/>
    <x v="4"/>
    <x v="2"/>
    <s v="France"/>
    <n v="99"/>
    <s v="High"/>
    <s v="Average"/>
  </r>
  <r>
    <x v="5"/>
    <x v="8"/>
    <x v="645"/>
    <x v="0"/>
    <s v="New Kyle"/>
    <x v="2"/>
    <n v="49.69"/>
    <n v="63"/>
    <x v="3"/>
    <x v="1"/>
    <s v="France, Germany, China"/>
    <n v="242"/>
    <s v="High"/>
    <s v="Average"/>
  </r>
  <r>
    <x v="4"/>
    <x v="14"/>
    <x v="646"/>
    <x v="1"/>
    <s v="Cartershire"/>
    <x v="2"/>
    <n v="49.84"/>
    <n v="76"/>
    <x v="1"/>
    <x v="2"/>
    <s v="UK"/>
    <n v="166"/>
    <s v="High"/>
    <s v="Good"/>
  </r>
  <r>
    <x v="4"/>
    <x v="2"/>
    <x v="647"/>
    <x v="1"/>
    <s v="Amyburgh"/>
    <x v="1"/>
    <n v="48.6"/>
    <n v="67"/>
    <x v="1"/>
    <x v="0"/>
    <s v="UAE, Germany"/>
    <n v="51"/>
    <s v="High"/>
    <s v="Average"/>
  </r>
  <r>
    <x v="6"/>
    <x v="11"/>
    <x v="648"/>
    <x v="1"/>
    <s v="North Lisaburgh"/>
    <x v="3"/>
    <n v="27.26"/>
    <n v="87"/>
    <x v="4"/>
    <x v="1"/>
    <s v="UK, UAE"/>
    <n v="351"/>
    <s v="Medium"/>
    <s v="Good"/>
  </r>
  <r>
    <x v="2"/>
    <x v="8"/>
    <x v="649"/>
    <x v="0"/>
    <s v="North Vickie"/>
    <x v="2"/>
    <n v="4.22"/>
    <n v="94"/>
    <x v="0"/>
    <x v="1"/>
    <s v="India"/>
    <n v="170"/>
    <s v="Low"/>
    <s v="Excellent"/>
  </r>
  <r>
    <x v="5"/>
    <x v="23"/>
    <x v="650"/>
    <x v="0"/>
    <s v="Debbiefort"/>
    <x v="2"/>
    <n v="10"/>
    <n v="81"/>
    <x v="2"/>
    <x v="1"/>
    <s v="China, Japan, UAE"/>
    <n v="141"/>
    <s v="Low"/>
    <s v="Good"/>
  </r>
  <r>
    <x v="9"/>
    <x v="3"/>
    <x v="651"/>
    <x v="1"/>
    <s v="Crawfordland"/>
    <x v="1"/>
    <n v="9.4499999999999993"/>
    <n v="65"/>
    <x v="0"/>
    <x v="0"/>
    <s v="Japan, UAE"/>
    <n v="322"/>
    <s v="Low"/>
    <s v="Average"/>
  </r>
  <r>
    <x v="3"/>
    <x v="17"/>
    <x v="652"/>
    <x v="0"/>
    <s v="North Elizabeth"/>
    <x v="2"/>
    <n v="21.33"/>
    <n v="74"/>
    <x v="3"/>
    <x v="2"/>
    <s v="UAE, USA, Russia"/>
    <n v="33"/>
    <s v="Medium"/>
    <s v="Average"/>
  </r>
  <r>
    <x v="8"/>
    <x v="12"/>
    <x v="653"/>
    <x v="0"/>
    <s v="Lake Markberg"/>
    <x v="1"/>
    <n v="11.89"/>
    <n v="88"/>
    <x v="3"/>
    <x v="1"/>
    <s v="India, France, Russia"/>
    <n v="127"/>
    <s v="Low"/>
    <s v="Good"/>
  </r>
  <r>
    <x v="7"/>
    <x v="18"/>
    <x v="654"/>
    <x v="1"/>
    <s v="East Deniseport"/>
    <x v="0"/>
    <n v="2.65"/>
    <n v="69"/>
    <x v="4"/>
    <x v="1"/>
    <s v="France, India, Germany"/>
    <n v="179"/>
    <s v="Low"/>
    <s v="Average"/>
  </r>
  <r>
    <x v="5"/>
    <x v="20"/>
    <x v="655"/>
    <x v="0"/>
    <s v="Lake Jessica"/>
    <x v="2"/>
    <n v="47.83"/>
    <n v="62"/>
    <x v="3"/>
    <x v="1"/>
    <s v="UK"/>
    <n v="154"/>
    <s v="High"/>
    <s v="Average"/>
  </r>
  <r>
    <x v="3"/>
    <x v="15"/>
    <x v="656"/>
    <x v="0"/>
    <s v="Davidsonshire"/>
    <x v="3"/>
    <n v="33.6"/>
    <n v="96"/>
    <x v="2"/>
    <x v="0"/>
    <s v="France, China"/>
    <n v="200"/>
    <s v="Medium"/>
    <s v="Excellent"/>
  </r>
  <r>
    <x v="6"/>
    <x v="9"/>
    <x v="657"/>
    <x v="1"/>
    <s v="Clarkmouth"/>
    <x v="1"/>
    <n v="12.09"/>
    <n v="74"/>
    <x v="2"/>
    <x v="2"/>
    <s v="France, USA"/>
    <n v="338"/>
    <s v="Low"/>
    <s v="Average"/>
  </r>
  <r>
    <x v="5"/>
    <x v="0"/>
    <x v="658"/>
    <x v="1"/>
    <s v="Lake Davidmouth"/>
    <x v="0"/>
    <n v="26.18"/>
    <n v="59"/>
    <x v="0"/>
    <x v="1"/>
    <s v="UK, Japan, India"/>
    <n v="241"/>
    <s v="Medium"/>
    <s v="Average"/>
  </r>
  <r>
    <x v="3"/>
    <x v="23"/>
    <x v="659"/>
    <x v="0"/>
    <s v="North Donaldland"/>
    <x v="2"/>
    <n v="42.47"/>
    <n v="100"/>
    <x v="0"/>
    <x v="2"/>
    <s v="India"/>
    <n v="293"/>
    <s v="High"/>
    <s v="Excellent"/>
  </r>
  <r>
    <x v="2"/>
    <x v="10"/>
    <x v="660"/>
    <x v="0"/>
    <s v="Adrienneville"/>
    <x v="2"/>
    <n v="38.46"/>
    <n v="92"/>
    <x v="3"/>
    <x v="0"/>
    <s v="Israel"/>
    <n v="13"/>
    <s v="High"/>
    <s v="Excellent"/>
  </r>
  <r>
    <x v="9"/>
    <x v="1"/>
    <x v="661"/>
    <x v="1"/>
    <s v="Michelebury"/>
    <x v="1"/>
    <n v="32.94"/>
    <n v="74"/>
    <x v="4"/>
    <x v="0"/>
    <s v="UAE"/>
    <n v="317"/>
    <s v="Medium"/>
    <s v="Average"/>
  </r>
  <r>
    <x v="5"/>
    <x v="6"/>
    <x v="662"/>
    <x v="0"/>
    <s v="South Danielletown"/>
    <x v="0"/>
    <n v="1.1100000000000001"/>
    <n v="100"/>
    <x v="3"/>
    <x v="1"/>
    <s v="India"/>
    <n v="261"/>
    <s v="Low"/>
    <s v="Excellent"/>
  </r>
  <r>
    <x v="9"/>
    <x v="17"/>
    <x v="663"/>
    <x v="0"/>
    <s v="New Kevinmouth"/>
    <x v="3"/>
    <n v="39.159999999999997"/>
    <n v="89"/>
    <x v="2"/>
    <x v="0"/>
    <s v="USA, France, UK"/>
    <n v="280"/>
    <s v="High"/>
    <s v="Good"/>
  </r>
  <r>
    <x v="6"/>
    <x v="10"/>
    <x v="664"/>
    <x v="1"/>
    <s v="Johnsonfort"/>
    <x v="3"/>
    <n v="49.16"/>
    <n v="97"/>
    <x v="4"/>
    <x v="2"/>
    <s v="Israel, India"/>
    <n v="10"/>
    <s v="High"/>
    <s v="Excellent"/>
  </r>
  <r>
    <x v="6"/>
    <x v="13"/>
    <x v="665"/>
    <x v="1"/>
    <s v="Johnsontown"/>
    <x v="2"/>
    <n v="8.76"/>
    <n v="55"/>
    <x v="2"/>
    <x v="2"/>
    <s v="France, Japan, China"/>
    <n v="56"/>
    <s v="Low"/>
    <s v="Average"/>
  </r>
  <r>
    <x v="5"/>
    <x v="19"/>
    <x v="666"/>
    <x v="0"/>
    <s v="New Bethville"/>
    <x v="4"/>
    <n v="22.04"/>
    <n v="99"/>
    <x v="0"/>
    <x v="2"/>
    <s v="Japan, Israel, China"/>
    <n v="15"/>
    <s v="Medium"/>
    <s v="Excellent"/>
  </r>
  <r>
    <x v="6"/>
    <x v="22"/>
    <x v="667"/>
    <x v="1"/>
    <s v="Port Ashley"/>
    <x v="4"/>
    <n v="15.75"/>
    <n v="53"/>
    <x v="1"/>
    <x v="0"/>
    <s v="Japan, India, Israel"/>
    <n v="276"/>
    <s v="Medium"/>
    <s v="Average"/>
  </r>
  <r>
    <x v="3"/>
    <x v="21"/>
    <x v="668"/>
    <x v="0"/>
    <s v="West Ericatown"/>
    <x v="2"/>
    <n v="37.24"/>
    <n v="100"/>
    <x v="4"/>
    <x v="2"/>
    <s v="China, Israel, Russia"/>
    <n v="310"/>
    <s v="High"/>
    <s v="Excellent"/>
  </r>
  <r>
    <x v="3"/>
    <x v="22"/>
    <x v="669"/>
    <x v="1"/>
    <s v="New Stevenfurt"/>
    <x v="3"/>
    <n v="45.41"/>
    <n v="66"/>
    <x v="2"/>
    <x v="0"/>
    <s v="India"/>
    <n v="186"/>
    <s v="High"/>
    <s v="Average"/>
  </r>
  <r>
    <x v="7"/>
    <x v="12"/>
    <x v="670"/>
    <x v="0"/>
    <s v="West Michael"/>
    <x v="2"/>
    <n v="42.96"/>
    <n v="92"/>
    <x v="0"/>
    <x v="1"/>
    <s v="UK, Israel"/>
    <n v="191"/>
    <s v="High"/>
    <s v="Excellent"/>
  </r>
  <r>
    <x v="5"/>
    <x v="1"/>
    <x v="671"/>
    <x v="1"/>
    <s v="Michelleview"/>
    <x v="4"/>
    <n v="47.97"/>
    <n v="64"/>
    <x v="1"/>
    <x v="2"/>
    <s v="Japan, Germany, France"/>
    <n v="104"/>
    <s v="High"/>
    <s v="Average"/>
  </r>
  <r>
    <x v="2"/>
    <x v="15"/>
    <x v="672"/>
    <x v="1"/>
    <s v="Joannchester"/>
    <x v="0"/>
    <n v="33.92"/>
    <n v="66"/>
    <x v="3"/>
    <x v="2"/>
    <s v="Israel, Russia, France"/>
    <n v="203"/>
    <s v="Medium"/>
    <s v="Average"/>
  </r>
  <r>
    <x v="0"/>
    <x v="10"/>
    <x v="673"/>
    <x v="0"/>
    <s v="Lake Jeffreyfurt"/>
    <x v="0"/>
    <n v="24.96"/>
    <n v="74"/>
    <x v="0"/>
    <x v="1"/>
    <s v="India"/>
    <n v="21"/>
    <s v="Medium"/>
    <s v="Average"/>
  </r>
  <r>
    <x v="5"/>
    <x v="4"/>
    <x v="674"/>
    <x v="0"/>
    <s v="New Taylormouth"/>
    <x v="3"/>
    <n v="45.59"/>
    <n v="97"/>
    <x v="3"/>
    <x v="2"/>
    <s v="China, Germany, France"/>
    <n v="180"/>
    <s v="High"/>
    <s v="Excellent"/>
  </r>
  <r>
    <x v="9"/>
    <x v="18"/>
    <x v="675"/>
    <x v="0"/>
    <s v="Anneton"/>
    <x v="3"/>
    <n v="15.25"/>
    <n v="77"/>
    <x v="4"/>
    <x v="2"/>
    <s v="India"/>
    <n v="91"/>
    <s v="Medium"/>
    <s v="Good"/>
  </r>
  <r>
    <x v="4"/>
    <x v="3"/>
    <x v="676"/>
    <x v="1"/>
    <s v="East Donaldchester"/>
    <x v="3"/>
    <n v="18.489999999999998"/>
    <n v="67"/>
    <x v="3"/>
    <x v="2"/>
    <s v="Israel"/>
    <n v="346"/>
    <s v="Medium"/>
    <s v="Average"/>
  </r>
  <r>
    <x v="2"/>
    <x v="4"/>
    <x v="677"/>
    <x v="0"/>
    <s v="Terrellbury"/>
    <x v="2"/>
    <n v="22.83"/>
    <n v="65"/>
    <x v="3"/>
    <x v="0"/>
    <s v="UAE"/>
    <n v="290"/>
    <s v="Medium"/>
    <s v="Average"/>
  </r>
  <r>
    <x v="7"/>
    <x v="13"/>
    <x v="678"/>
    <x v="1"/>
    <s v="New Julie"/>
    <x v="4"/>
    <n v="41.12"/>
    <n v="64"/>
    <x v="3"/>
    <x v="0"/>
    <s v="India, Russia, Israel"/>
    <n v="246"/>
    <s v="High"/>
    <s v="Average"/>
  </r>
  <r>
    <x v="5"/>
    <x v="12"/>
    <x v="679"/>
    <x v="0"/>
    <s v="East Cindy"/>
    <x v="4"/>
    <n v="15.42"/>
    <n v="67"/>
    <x v="2"/>
    <x v="1"/>
    <s v="UAE, India"/>
    <n v="328"/>
    <s v="Medium"/>
    <s v="Average"/>
  </r>
  <r>
    <x v="5"/>
    <x v="2"/>
    <x v="680"/>
    <x v="0"/>
    <s v="Currychester"/>
    <x v="1"/>
    <n v="9.2799999999999994"/>
    <n v="55"/>
    <x v="0"/>
    <x v="1"/>
    <s v="USA, Japan, UK"/>
    <n v="119"/>
    <s v="Low"/>
    <s v="Average"/>
  </r>
  <r>
    <x v="9"/>
    <x v="17"/>
    <x v="681"/>
    <x v="0"/>
    <s v="East Jackie"/>
    <x v="2"/>
    <n v="30.17"/>
    <n v="60"/>
    <x v="2"/>
    <x v="1"/>
    <s v="USA"/>
    <n v="251"/>
    <s v="Medium"/>
    <s v="Average"/>
  </r>
  <r>
    <x v="1"/>
    <x v="5"/>
    <x v="682"/>
    <x v="1"/>
    <s v="East Patricia"/>
    <x v="4"/>
    <n v="41.91"/>
    <n v="77"/>
    <x v="1"/>
    <x v="1"/>
    <s v="Russia, China"/>
    <n v="338"/>
    <s v="High"/>
    <s v="Good"/>
  </r>
  <r>
    <x v="7"/>
    <x v="21"/>
    <x v="683"/>
    <x v="1"/>
    <s v="Ashleyside"/>
    <x v="2"/>
    <n v="39.79"/>
    <n v="68"/>
    <x v="0"/>
    <x v="1"/>
    <s v="Israel, Germany"/>
    <n v="326"/>
    <s v="High"/>
    <s v="Average"/>
  </r>
  <r>
    <x v="7"/>
    <x v="9"/>
    <x v="684"/>
    <x v="0"/>
    <s v="Port Amyshire"/>
    <x v="1"/>
    <n v="48.56"/>
    <n v="71"/>
    <x v="2"/>
    <x v="2"/>
    <s v="India, China"/>
    <n v="358"/>
    <s v="High"/>
    <s v="Average"/>
  </r>
  <r>
    <x v="8"/>
    <x v="20"/>
    <x v="685"/>
    <x v="1"/>
    <s v="West Kara"/>
    <x v="0"/>
    <n v="44.69"/>
    <n v="72"/>
    <x v="0"/>
    <x v="0"/>
    <s v="Japan, India, France"/>
    <n v="322"/>
    <s v="High"/>
    <s v="Average"/>
  </r>
  <r>
    <x v="0"/>
    <x v="20"/>
    <x v="686"/>
    <x v="0"/>
    <s v="Port Jenniferburgh"/>
    <x v="1"/>
    <n v="22.14"/>
    <n v="68"/>
    <x v="0"/>
    <x v="0"/>
    <s v="Israel"/>
    <n v="177"/>
    <s v="Medium"/>
    <s v="Average"/>
  </r>
  <r>
    <x v="5"/>
    <x v="5"/>
    <x v="687"/>
    <x v="0"/>
    <s v="South Kimberly"/>
    <x v="4"/>
    <n v="22.91"/>
    <n v="56"/>
    <x v="3"/>
    <x v="0"/>
    <s v="UAE"/>
    <n v="339"/>
    <s v="Medium"/>
    <s v="Average"/>
  </r>
  <r>
    <x v="4"/>
    <x v="2"/>
    <x v="688"/>
    <x v="0"/>
    <s v="South Laura"/>
    <x v="1"/>
    <n v="13.92"/>
    <n v="94"/>
    <x v="0"/>
    <x v="1"/>
    <s v="USA, UAE"/>
    <n v="164"/>
    <s v="Low"/>
    <s v="Excellent"/>
  </r>
  <r>
    <x v="3"/>
    <x v="6"/>
    <x v="689"/>
    <x v="1"/>
    <s v="Lake Barryland"/>
    <x v="4"/>
    <n v="39.630000000000003"/>
    <n v="72"/>
    <x v="2"/>
    <x v="1"/>
    <s v="Russia"/>
    <n v="261"/>
    <s v="High"/>
    <s v="Average"/>
  </r>
  <r>
    <x v="4"/>
    <x v="8"/>
    <x v="690"/>
    <x v="0"/>
    <s v="East Michael"/>
    <x v="0"/>
    <n v="5.0599999999999996"/>
    <n v="76"/>
    <x v="1"/>
    <x v="0"/>
    <s v="France"/>
    <n v="4"/>
    <s v="Low"/>
    <s v="Good"/>
  </r>
  <r>
    <x v="9"/>
    <x v="12"/>
    <x v="691"/>
    <x v="1"/>
    <s v="Port Williamshire"/>
    <x v="0"/>
    <n v="42.62"/>
    <n v="51"/>
    <x v="2"/>
    <x v="0"/>
    <s v="Japan, UAE"/>
    <n v="69"/>
    <s v="High"/>
    <s v="Average"/>
  </r>
  <r>
    <x v="1"/>
    <x v="10"/>
    <x v="692"/>
    <x v="1"/>
    <s v="Davidshire"/>
    <x v="3"/>
    <n v="34.31"/>
    <n v="55"/>
    <x v="4"/>
    <x v="0"/>
    <s v="USA"/>
    <n v="306"/>
    <s v="Medium"/>
    <s v="Average"/>
  </r>
  <r>
    <x v="1"/>
    <x v="7"/>
    <x v="693"/>
    <x v="0"/>
    <s v="Alecfurt"/>
    <x v="3"/>
    <n v="40.1"/>
    <n v="70"/>
    <x v="0"/>
    <x v="2"/>
    <s v="Israel, Japan, USA"/>
    <n v="360"/>
    <s v="High"/>
    <s v="Average"/>
  </r>
  <r>
    <x v="7"/>
    <x v="2"/>
    <x v="694"/>
    <x v="0"/>
    <s v="Harrisport"/>
    <x v="3"/>
    <n v="44.24"/>
    <n v="59"/>
    <x v="1"/>
    <x v="2"/>
    <s v="Germany, India"/>
    <n v="265"/>
    <s v="High"/>
    <s v="Average"/>
  </r>
  <r>
    <x v="6"/>
    <x v="23"/>
    <x v="695"/>
    <x v="1"/>
    <s v="Campbellstad"/>
    <x v="3"/>
    <n v="39.590000000000003"/>
    <n v="81"/>
    <x v="3"/>
    <x v="1"/>
    <s v="France"/>
    <n v="67"/>
    <s v="High"/>
    <s v="Good"/>
  </r>
  <r>
    <x v="1"/>
    <x v="25"/>
    <x v="696"/>
    <x v="0"/>
    <s v="New Lauraburgh"/>
    <x v="0"/>
    <n v="21.71"/>
    <n v="75"/>
    <x v="4"/>
    <x v="0"/>
    <s v="India, Israel"/>
    <n v="180"/>
    <s v="Medium"/>
    <s v="Good"/>
  </r>
  <r>
    <x v="3"/>
    <x v="23"/>
    <x v="697"/>
    <x v="1"/>
    <s v="Lake Christina"/>
    <x v="2"/>
    <n v="35.43"/>
    <n v="85"/>
    <x v="3"/>
    <x v="1"/>
    <s v="USA"/>
    <n v="125"/>
    <s v="High"/>
    <s v="Good"/>
  </r>
  <r>
    <x v="0"/>
    <x v="15"/>
    <x v="698"/>
    <x v="1"/>
    <s v="Mooreville"/>
    <x v="2"/>
    <n v="15.78"/>
    <n v="60"/>
    <x v="0"/>
    <x v="0"/>
    <s v="Germany, India"/>
    <n v="292"/>
    <s v="Medium"/>
    <s v="Average"/>
  </r>
  <r>
    <x v="8"/>
    <x v="23"/>
    <x v="699"/>
    <x v="1"/>
    <s v="Suzanneshire"/>
    <x v="0"/>
    <n v="23.84"/>
    <n v="74"/>
    <x v="1"/>
    <x v="2"/>
    <s v="UAE, USA"/>
    <n v="271"/>
    <s v="Medium"/>
    <s v="Average"/>
  </r>
  <r>
    <x v="8"/>
    <x v="3"/>
    <x v="700"/>
    <x v="1"/>
    <s v="Benjaminburgh"/>
    <x v="1"/>
    <n v="13"/>
    <n v="71"/>
    <x v="4"/>
    <x v="2"/>
    <s v="France, UK, Japan"/>
    <n v="212"/>
    <s v="Low"/>
    <s v="Average"/>
  </r>
  <r>
    <x v="1"/>
    <x v="3"/>
    <x v="701"/>
    <x v="0"/>
    <s v="West Rachelview"/>
    <x v="4"/>
    <n v="25.11"/>
    <n v="68"/>
    <x v="3"/>
    <x v="1"/>
    <s v="China"/>
    <n v="21"/>
    <s v="Medium"/>
    <s v="Average"/>
  </r>
  <r>
    <x v="5"/>
    <x v="17"/>
    <x v="702"/>
    <x v="1"/>
    <s v="Lawrencechester"/>
    <x v="3"/>
    <n v="49.16"/>
    <n v="71"/>
    <x v="0"/>
    <x v="0"/>
    <s v="China, Japan"/>
    <n v="106"/>
    <s v="High"/>
    <s v="Average"/>
  </r>
  <r>
    <x v="5"/>
    <x v="15"/>
    <x v="703"/>
    <x v="1"/>
    <s v="Andradehaven"/>
    <x v="2"/>
    <n v="46.87"/>
    <n v="56"/>
    <x v="0"/>
    <x v="1"/>
    <s v="Japan"/>
    <n v="231"/>
    <s v="High"/>
    <s v="Average"/>
  </r>
  <r>
    <x v="8"/>
    <x v="18"/>
    <x v="704"/>
    <x v="0"/>
    <s v="New Lydia"/>
    <x v="3"/>
    <n v="39.11"/>
    <n v="64"/>
    <x v="2"/>
    <x v="2"/>
    <s v="India, Russia, Germany"/>
    <n v="92"/>
    <s v="High"/>
    <s v="Average"/>
  </r>
  <r>
    <x v="2"/>
    <x v="20"/>
    <x v="705"/>
    <x v="0"/>
    <s v="Port Elizabethhaven"/>
    <x v="1"/>
    <n v="3.82"/>
    <n v="63"/>
    <x v="4"/>
    <x v="0"/>
    <s v="Russia, France"/>
    <n v="162"/>
    <s v="Low"/>
    <s v="Average"/>
  </r>
  <r>
    <x v="2"/>
    <x v="8"/>
    <x v="706"/>
    <x v="0"/>
    <s v="West Julianfort"/>
    <x v="2"/>
    <n v="6.79"/>
    <n v="60"/>
    <x v="3"/>
    <x v="0"/>
    <s v="Germany, India, USA"/>
    <n v="43"/>
    <s v="Low"/>
    <s v="Average"/>
  </r>
  <r>
    <x v="8"/>
    <x v="20"/>
    <x v="707"/>
    <x v="0"/>
    <s v="Susanberg"/>
    <x v="2"/>
    <n v="40.54"/>
    <n v="88"/>
    <x v="1"/>
    <x v="0"/>
    <s v="India"/>
    <n v="128"/>
    <s v="High"/>
    <s v="Good"/>
  </r>
  <r>
    <x v="8"/>
    <x v="14"/>
    <x v="708"/>
    <x v="1"/>
    <s v="New Lisamouth"/>
    <x v="0"/>
    <n v="3.25"/>
    <n v="86"/>
    <x v="4"/>
    <x v="2"/>
    <s v="Germany, Japan"/>
    <n v="216"/>
    <s v="Low"/>
    <s v="Good"/>
  </r>
  <r>
    <x v="3"/>
    <x v="9"/>
    <x v="709"/>
    <x v="1"/>
    <s v="Meganside"/>
    <x v="1"/>
    <n v="9.14"/>
    <n v="84"/>
    <x v="0"/>
    <x v="2"/>
    <s v="Japan"/>
    <n v="173"/>
    <s v="Low"/>
    <s v="Good"/>
  </r>
  <r>
    <x v="8"/>
    <x v="5"/>
    <x v="710"/>
    <x v="0"/>
    <s v="Port Cameron"/>
    <x v="4"/>
    <n v="3.12"/>
    <n v="66"/>
    <x v="0"/>
    <x v="1"/>
    <s v="Germany"/>
    <n v="311"/>
    <s v="Low"/>
    <s v="Average"/>
  </r>
  <r>
    <x v="0"/>
    <x v="13"/>
    <x v="711"/>
    <x v="1"/>
    <s v="South Courtneymouth"/>
    <x v="3"/>
    <n v="35.89"/>
    <n v="86"/>
    <x v="0"/>
    <x v="1"/>
    <s v="USA, UAE, France"/>
    <n v="145"/>
    <s v="High"/>
    <s v="Good"/>
  </r>
  <r>
    <x v="9"/>
    <x v="15"/>
    <x v="712"/>
    <x v="1"/>
    <s v="Brendaville"/>
    <x v="2"/>
    <n v="11.04"/>
    <n v="52"/>
    <x v="0"/>
    <x v="2"/>
    <s v="Israel, USA, Germany"/>
    <n v="276"/>
    <s v="Low"/>
    <s v="Average"/>
  </r>
  <r>
    <x v="3"/>
    <x v="16"/>
    <x v="713"/>
    <x v="0"/>
    <s v="Castroport"/>
    <x v="1"/>
    <n v="6.15"/>
    <n v="96"/>
    <x v="3"/>
    <x v="2"/>
    <s v="Japan, Israel, France"/>
    <n v="70"/>
    <s v="Low"/>
    <s v="Excellent"/>
  </r>
  <r>
    <x v="1"/>
    <x v="22"/>
    <x v="714"/>
    <x v="1"/>
    <s v="West Alexandriabury"/>
    <x v="3"/>
    <n v="38.799999999999997"/>
    <n v="52"/>
    <x v="1"/>
    <x v="2"/>
    <s v="China"/>
    <n v="292"/>
    <s v="High"/>
    <s v="Average"/>
  </r>
  <r>
    <x v="1"/>
    <x v="22"/>
    <x v="715"/>
    <x v="0"/>
    <s v="North Benjaminfort"/>
    <x v="2"/>
    <n v="38.869999999999997"/>
    <n v="82"/>
    <x v="3"/>
    <x v="2"/>
    <s v="China, Germany, Russia"/>
    <n v="40"/>
    <s v="High"/>
    <s v="Good"/>
  </r>
  <r>
    <x v="2"/>
    <x v="6"/>
    <x v="716"/>
    <x v="1"/>
    <s v="Melissastad"/>
    <x v="0"/>
    <n v="39.44"/>
    <n v="91"/>
    <x v="4"/>
    <x v="0"/>
    <s v="Israel, China"/>
    <n v="97"/>
    <s v="High"/>
    <s v="Excellent"/>
  </r>
  <r>
    <x v="5"/>
    <x v="16"/>
    <x v="717"/>
    <x v="1"/>
    <s v="Markborough"/>
    <x v="3"/>
    <n v="1.02"/>
    <n v="67"/>
    <x v="3"/>
    <x v="0"/>
    <s v="India"/>
    <n v="260"/>
    <s v="Low"/>
    <s v="Average"/>
  </r>
  <r>
    <x v="1"/>
    <x v="14"/>
    <x v="718"/>
    <x v="0"/>
    <s v="Candaceberg"/>
    <x v="1"/>
    <n v="26.23"/>
    <n v="66"/>
    <x v="2"/>
    <x v="0"/>
    <s v="USA"/>
    <n v="270"/>
    <s v="Medium"/>
    <s v="Average"/>
  </r>
  <r>
    <x v="0"/>
    <x v="13"/>
    <x v="719"/>
    <x v="0"/>
    <s v="Tinamouth"/>
    <x v="4"/>
    <n v="11.62"/>
    <n v="89"/>
    <x v="1"/>
    <x v="2"/>
    <s v="Russia, France"/>
    <n v="26"/>
    <s v="Low"/>
    <s v="Good"/>
  </r>
  <r>
    <x v="0"/>
    <x v="22"/>
    <x v="720"/>
    <x v="1"/>
    <s v="Gilberthaven"/>
    <x v="4"/>
    <n v="26.49"/>
    <n v="78"/>
    <x v="1"/>
    <x v="2"/>
    <s v="USA"/>
    <n v="179"/>
    <s v="Medium"/>
    <s v="Good"/>
  </r>
  <r>
    <x v="5"/>
    <x v="12"/>
    <x v="721"/>
    <x v="0"/>
    <s v="West Beverlytown"/>
    <x v="2"/>
    <n v="35.229999999999997"/>
    <n v="98"/>
    <x v="2"/>
    <x v="0"/>
    <s v="India"/>
    <n v="324"/>
    <s v="High"/>
    <s v="Excellent"/>
  </r>
  <r>
    <x v="5"/>
    <x v="22"/>
    <x v="722"/>
    <x v="0"/>
    <s v="Thomaston"/>
    <x v="3"/>
    <n v="30.08"/>
    <n v="99"/>
    <x v="2"/>
    <x v="0"/>
    <s v="UAE, France"/>
    <n v="22"/>
    <s v="Medium"/>
    <s v="Excellent"/>
  </r>
  <r>
    <x v="0"/>
    <x v="6"/>
    <x v="723"/>
    <x v="1"/>
    <s v="North Brian"/>
    <x v="4"/>
    <n v="7.7"/>
    <n v="54"/>
    <x v="3"/>
    <x v="0"/>
    <s v="Japan"/>
    <n v="243"/>
    <s v="Low"/>
    <s v="Average"/>
  </r>
  <r>
    <x v="5"/>
    <x v="18"/>
    <x v="724"/>
    <x v="1"/>
    <s v="Newtonhaven"/>
    <x v="4"/>
    <n v="12.61"/>
    <n v="89"/>
    <x v="0"/>
    <x v="2"/>
    <s v="UAE, Israel, UK"/>
    <n v="215"/>
    <s v="Low"/>
    <s v="Good"/>
  </r>
  <r>
    <x v="2"/>
    <x v="11"/>
    <x v="725"/>
    <x v="0"/>
    <s v="New Kyle"/>
    <x v="0"/>
    <n v="27.49"/>
    <n v="51"/>
    <x v="0"/>
    <x v="2"/>
    <s v="Japan, USA, Israel"/>
    <n v="164"/>
    <s v="Medium"/>
    <s v="Average"/>
  </r>
  <r>
    <x v="8"/>
    <x v="8"/>
    <x v="726"/>
    <x v="0"/>
    <s v="West Kimville"/>
    <x v="0"/>
    <n v="30.56"/>
    <n v="53"/>
    <x v="3"/>
    <x v="1"/>
    <s v="Germany, UAE, India"/>
    <n v="314"/>
    <s v="Medium"/>
    <s v="Average"/>
  </r>
  <r>
    <x v="8"/>
    <x v="24"/>
    <x v="727"/>
    <x v="1"/>
    <s v="Grimesstad"/>
    <x v="2"/>
    <n v="39.74"/>
    <n v="51"/>
    <x v="1"/>
    <x v="2"/>
    <s v="USA, Japan, India"/>
    <n v="158"/>
    <s v="High"/>
    <s v="Average"/>
  </r>
  <r>
    <x v="7"/>
    <x v="14"/>
    <x v="728"/>
    <x v="1"/>
    <s v="Dianeborough"/>
    <x v="3"/>
    <n v="19.91"/>
    <n v="60"/>
    <x v="2"/>
    <x v="1"/>
    <s v="Israel"/>
    <n v="138"/>
    <s v="Medium"/>
    <s v="Average"/>
  </r>
  <r>
    <x v="5"/>
    <x v="12"/>
    <x v="729"/>
    <x v="1"/>
    <s v="Timothychester"/>
    <x v="0"/>
    <n v="9.1999999999999993"/>
    <n v="56"/>
    <x v="1"/>
    <x v="2"/>
    <s v="Germany, Russia, France"/>
    <n v="255"/>
    <s v="Low"/>
    <s v="Average"/>
  </r>
  <r>
    <x v="2"/>
    <x v="10"/>
    <x v="730"/>
    <x v="1"/>
    <s v="South Catherineland"/>
    <x v="1"/>
    <n v="32.32"/>
    <n v="94"/>
    <x v="4"/>
    <x v="2"/>
    <s v="Germany, India"/>
    <n v="301"/>
    <s v="Medium"/>
    <s v="Excellent"/>
  </r>
  <r>
    <x v="7"/>
    <x v="17"/>
    <x v="731"/>
    <x v="0"/>
    <s v="Melissatown"/>
    <x v="0"/>
    <n v="22.57"/>
    <n v="78"/>
    <x v="1"/>
    <x v="1"/>
    <s v="Germany, Russia"/>
    <n v="347"/>
    <s v="Medium"/>
    <s v="Good"/>
  </r>
  <r>
    <x v="1"/>
    <x v="17"/>
    <x v="732"/>
    <x v="0"/>
    <s v="New Michael"/>
    <x v="4"/>
    <n v="42.19"/>
    <n v="81"/>
    <x v="4"/>
    <x v="0"/>
    <s v="France"/>
    <n v="330"/>
    <s v="High"/>
    <s v="Good"/>
  </r>
  <r>
    <x v="9"/>
    <x v="9"/>
    <x v="733"/>
    <x v="1"/>
    <s v="Garcialand"/>
    <x v="4"/>
    <n v="26.88"/>
    <n v="94"/>
    <x v="2"/>
    <x v="0"/>
    <s v="Israel"/>
    <n v="158"/>
    <s v="Medium"/>
    <s v="Excellent"/>
  </r>
  <r>
    <x v="2"/>
    <x v="3"/>
    <x v="734"/>
    <x v="1"/>
    <s v="North Richard"/>
    <x v="1"/>
    <n v="28.19"/>
    <n v="53"/>
    <x v="2"/>
    <x v="2"/>
    <s v="UK, Japan, India"/>
    <n v="38"/>
    <s v="Medium"/>
    <s v="Average"/>
  </r>
  <r>
    <x v="2"/>
    <x v="5"/>
    <x v="735"/>
    <x v="1"/>
    <s v="New Jennifer"/>
    <x v="1"/>
    <n v="33.770000000000003"/>
    <n v="55"/>
    <x v="2"/>
    <x v="0"/>
    <s v="France"/>
    <n v="110"/>
    <s v="Medium"/>
    <s v="Average"/>
  </r>
  <r>
    <x v="2"/>
    <x v="8"/>
    <x v="736"/>
    <x v="0"/>
    <s v="Billyfurt"/>
    <x v="2"/>
    <n v="10.51"/>
    <n v="100"/>
    <x v="3"/>
    <x v="2"/>
    <s v="China, Germany"/>
    <n v="194"/>
    <s v="Low"/>
    <s v="Excellent"/>
  </r>
  <r>
    <x v="0"/>
    <x v="0"/>
    <x v="737"/>
    <x v="1"/>
    <s v="South Kathrynberg"/>
    <x v="2"/>
    <n v="48.65"/>
    <n v="88"/>
    <x v="3"/>
    <x v="1"/>
    <s v="China"/>
    <n v="11"/>
    <s v="High"/>
    <s v="Good"/>
  </r>
  <r>
    <x v="2"/>
    <x v="10"/>
    <x v="738"/>
    <x v="0"/>
    <s v="North Melissa"/>
    <x v="4"/>
    <n v="5.38"/>
    <n v="82"/>
    <x v="3"/>
    <x v="2"/>
    <s v="UAE, India"/>
    <n v="39"/>
    <s v="Low"/>
    <s v="Good"/>
  </r>
  <r>
    <x v="2"/>
    <x v="10"/>
    <x v="739"/>
    <x v="1"/>
    <s v="Dustinborough"/>
    <x v="4"/>
    <n v="30.12"/>
    <n v="59"/>
    <x v="0"/>
    <x v="2"/>
    <s v="China, Japan, USA"/>
    <n v="112"/>
    <s v="Medium"/>
    <s v="Average"/>
  </r>
  <r>
    <x v="4"/>
    <x v="4"/>
    <x v="740"/>
    <x v="1"/>
    <s v="Rachelborough"/>
    <x v="4"/>
    <n v="24.58"/>
    <n v="57"/>
    <x v="0"/>
    <x v="1"/>
    <s v="Japan, UAE"/>
    <n v="286"/>
    <s v="Medium"/>
    <s v="Average"/>
  </r>
  <r>
    <x v="7"/>
    <x v="16"/>
    <x v="741"/>
    <x v="1"/>
    <s v="Lopezfort"/>
    <x v="3"/>
    <n v="24.56"/>
    <n v="54"/>
    <x v="0"/>
    <x v="0"/>
    <s v="UK, India, Germany"/>
    <n v="214"/>
    <s v="Medium"/>
    <s v="Average"/>
  </r>
  <r>
    <x v="7"/>
    <x v="13"/>
    <x v="742"/>
    <x v="0"/>
    <s v="Lake Davidtown"/>
    <x v="0"/>
    <n v="15.75"/>
    <n v="59"/>
    <x v="1"/>
    <x v="2"/>
    <s v="India, Russia"/>
    <n v="238"/>
    <s v="Medium"/>
    <s v="Average"/>
  </r>
  <r>
    <x v="4"/>
    <x v="9"/>
    <x v="743"/>
    <x v="0"/>
    <s v="Erinbury"/>
    <x v="4"/>
    <n v="36.49"/>
    <n v="64"/>
    <x v="2"/>
    <x v="0"/>
    <s v="Japan"/>
    <n v="232"/>
    <s v="High"/>
    <s v="Average"/>
  </r>
  <r>
    <x v="2"/>
    <x v="6"/>
    <x v="744"/>
    <x v="1"/>
    <s v="Jameshaven"/>
    <x v="0"/>
    <n v="34.49"/>
    <n v="65"/>
    <x v="3"/>
    <x v="2"/>
    <s v="Israel, India"/>
    <n v="27"/>
    <s v="Medium"/>
    <s v="Average"/>
  </r>
  <r>
    <x v="0"/>
    <x v="21"/>
    <x v="745"/>
    <x v="0"/>
    <s v="Sydneytown"/>
    <x v="2"/>
    <n v="8.61"/>
    <n v="84"/>
    <x v="3"/>
    <x v="0"/>
    <s v="USA"/>
    <n v="333"/>
    <s v="Low"/>
    <s v="Good"/>
  </r>
  <r>
    <x v="2"/>
    <x v="23"/>
    <x v="746"/>
    <x v="0"/>
    <s v="Kennethborough"/>
    <x v="2"/>
    <n v="7.61"/>
    <n v="59"/>
    <x v="0"/>
    <x v="1"/>
    <s v="India, USA, France"/>
    <n v="112"/>
    <s v="Low"/>
    <s v="Average"/>
  </r>
  <r>
    <x v="9"/>
    <x v="14"/>
    <x v="747"/>
    <x v="0"/>
    <s v="Gonzalezfurt"/>
    <x v="3"/>
    <n v="29.88"/>
    <n v="63"/>
    <x v="3"/>
    <x v="1"/>
    <s v="Israel, Japan"/>
    <n v="257"/>
    <s v="Medium"/>
    <s v="Average"/>
  </r>
  <r>
    <x v="4"/>
    <x v="7"/>
    <x v="748"/>
    <x v="1"/>
    <s v="Port Kylefurt"/>
    <x v="1"/>
    <n v="7.01"/>
    <n v="77"/>
    <x v="4"/>
    <x v="0"/>
    <s v="Israel"/>
    <n v="188"/>
    <s v="Low"/>
    <s v="Good"/>
  </r>
  <r>
    <x v="0"/>
    <x v="19"/>
    <x v="749"/>
    <x v="1"/>
    <s v="Michelleland"/>
    <x v="0"/>
    <n v="49.54"/>
    <n v="67"/>
    <x v="2"/>
    <x v="1"/>
    <s v="UK, Germany, Russia"/>
    <n v="312"/>
    <s v="High"/>
    <s v="Average"/>
  </r>
  <r>
    <x v="1"/>
    <x v="11"/>
    <x v="750"/>
    <x v="1"/>
    <s v="West Victoria"/>
    <x v="3"/>
    <n v="43.48"/>
    <n v="57"/>
    <x v="0"/>
    <x v="2"/>
    <s v="China"/>
    <n v="184"/>
    <s v="High"/>
    <s v="Average"/>
  </r>
  <r>
    <x v="0"/>
    <x v="20"/>
    <x v="751"/>
    <x v="0"/>
    <s v="Toniborough"/>
    <x v="2"/>
    <n v="48.76"/>
    <n v="70"/>
    <x v="2"/>
    <x v="1"/>
    <s v="UK, Russia, India"/>
    <n v="301"/>
    <s v="High"/>
    <s v="Average"/>
  </r>
  <r>
    <x v="9"/>
    <x v="20"/>
    <x v="752"/>
    <x v="1"/>
    <s v="West Kaylashire"/>
    <x v="1"/>
    <n v="31.18"/>
    <n v="81"/>
    <x v="0"/>
    <x v="0"/>
    <s v="India, Germany, UAE"/>
    <n v="34"/>
    <s v="Medium"/>
    <s v="Good"/>
  </r>
  <r>
    <x v="0"/>
    <x v="14"/>
    <x v="753"/>
    <x v="1"/>
    <s v="Port Shirleyberg"/>
    <x v="3"/>
    <n v="19.78"/>
    <n v="82"/>
    <x v="0"/>
    <x v="2"/>
    <s v="Russia, India, USA"/>
    <n v="12"/>
    <s v="Medium"/>
    <s v="Good"/>
  </r>
  <r>
    <x v="2"/>
    <x v="22"/>
    <x v="754"/>
    <x v="0"/>
    <s v="South Amy"/>
    <x v="4"/>
    <n v="48.38"/>
    <n v="94"/>
    <x v="2"/>
    <x v="0"/>
    <s v="China, Israel"/>
    <n v="189"/>
    <s v="High"/>
    <s v="Excellent"/>
  </r>
  <r>
    <x v="3"/>
    <x v="12"/>
    <x v="755"/>
    <x v="0"/>
    <s v="Lake Kariberg"/>
    <x v="3"/>
    <n v="15.15"/>
    <n v="55"/>
    <x v="3"/>
    <x v="2"/>
    <s v="Japan, Israel"/>
    <n v="170"/>
    <s v="Medium"/>
    <s v="Average"/>
  </r>
  <r>
    <x v="1"/>
    <x v="15"/>
    <x v="756"/>
    <x v="0"/>
    <s v="South Lisaland"/>
    <x v="2"/>
    <n v="6.82"/>
    <n v="65"/>
    <x v="3"/>
    <x v="0"/>
    <s v="Israel, UK, Germany"/>
    <n v="363"/>
    <s v="Low"/>
    <s v="Average"/>
  </r>
  <r>
    <x v="8"/>
    <x v="8"/>
    <x v="757"/>
    <x v="0"/>
    <s v="Kirbyside"/>
    <x v="3"/>
    <n v="49.48"/>
    <n v="84"/>
    <x v="4"/>
    <x v="2"/>
    <s v="UK, France, USA"/>
    <n v="1"/>
    <s v="High"/>
    <s v="Good"/>
  </r>
  <r>
    <x v="4"/>
    <x v="3"/>
    <x v="758"/>
    <x v="1"/>
    <s v="Port David"/>
    <x v="2"/>
    <n v="5.77"/>
    <n v="50"/>
    <x v="2"/>
    <x v="2"/>
    <s v="Israel"/>
    <n v="145"/>
    <s v="Low"/>
    <s v="Average"/>
  </r>
  <r>
    <x v="5"/>
    <x v="14"/>
    <x v="759"/>
    <x v="1"/>
    <s v="Nealburgh"/>
    <x v="0"/>
    <n v="38.49"/>
    <n v="77"/>
    <x v="2"/>
    <x v="1"/>
    <s v="USA"/>
    <n v="147"/>
    <s v="High"/>
    <s v="Good"/>
  </r>
  <r>
    <x v="1"/>
    <x v="5"/>
    <x v="760"/>
    <x v="0"/>
    <s v="Longborough"/>
    <x v="3"/>
    <n v="27.97"/>
    <n v="74"/>
    <x v="3"/>
    <x v="1"/>
    <s v="Japan, France"/>
    <n v="156"/>
    <s v="Medium"/>
    <s v="Average"/>
  </r>
  <r>
    <x v="7"/>
    <x v="22"/>
    <x v="761"/>
    <x v="1"/>
    <s v="Lisaburgh"/>
    <x v="1"/>
    <n v="2.62"/>
    <n v="90"/>
    <x v="0"/>
    <x v="0"/>
    <s v="India"/>
    <n v="209"/>
    <s v="Low"/>
    <s v="Excellent"/>
  </r>
  <r>
    <x v="0"/>
    <x v="23"/>
    <x v="762"/>
    <x v="1"/>
    <s v="South Ashley"/>
    <x v="2"/>
    <n v="41.56"/>
    <n v="53"/>
    <x v="2"/>
    <x v="0"/>
    <s v="UK, Germany, India"/>
    <n v="157"/>
    <s v="High"/>
    <s v="Average"/>
  </r>
  <r>
    <x v="4"/>
    <x v="20"/>
    <x v="763"/>
    <x v="0"/>
    <s v="Lake Connieville"/>
    <x v="3"/>
    <n v="33.21"/>
    <n v="94"/>
    <x v="3"/>
    <x v="0"/>
    <s v="France"/>
    <n v="282"/>
    <s v="Medium"/>
    <s v="Excellent"/>
  </r>
  <r>
    <x v="3"/>
    <x v="25"/>
    <x v="764"/>
    <x v="0"/>
    <s v="North Garyborough"/>
    <x v="3"/>
    <n v="42.42"/>
    <n v="84"/>
    <x v="0"/>
    <x v="2"/>
    <s v="France"/>
    <n v="215"/>
    <s v="High"/>
    <s v="Good"/>
  </r>
  <r>
    <x v="9"/>
    <x v="14"/>
    <x v="765"/>
    <x v="0"/>
    <s v="East Andre"/>
    <x v="2"/>
    <n v="23.09"/>
    <n v="56"/>
    <x v="3"/>
    <x v="0"/>
    <s v="UK"/>
    <n v="248"/>
    <s v="Medium"/>
    <s v="Average"/>
  </r>
  <r>
    <x v="4"/>
    <x v="14"/>
    <x v="766"/>
    <x v="1"/>
    <s v="Michaeltown"/>
    <x v="1"/>
    <n v="32.229999999999997"/>
    <n v="54"/>
    <x v="4"/>
    <x v="0"/>
    <s v="China, UAE"/>
    <n v="1"/>
    <s v="Medium"/>
    <s v="Average"/>
  </r>
  <r>
    <x v="9"/>
    <x v="4"/>
    <x v="767"/>
    <x v="1"/>
    <s v="North Jasonshire"/>
    <x v="4"/>
    <n v="16.940000000000001"/>
    <n v="68"/>
    <x v="3"/>
    <x v="2"/>
    <s v="USA, UAE"/>
    <n v="131"/>
    <s v="Medium"/>
    <s v="Average"/>
  </r>
  <r>
    <x v="5"/>
    <x v="14"/>
    <x v="768"/>
    <x v="0"/>
    <s v="Lake George"/>
    <x v="3"/>
    <n v="11.69"/>
    <n v="69"/>
    <x v="2"/>
    <x v="1"/>
    <s v="China"/>
    <n v="262"/>
    <s v="Low"/>
    <s v="Average"/>
  </r>
  <r>
    <x v="5"/>
    <x v="12"/>
    <x v="769"/>
    <x v="0"/>
    <s v="Jessicamouth"/>
    <x v="0"/>
    <n v="36.299999999999997"/>
    <n v="73"/>
    <x v="2"/>
    <x v="0"/>
    <s v="China"/>
    <n v="337"/>
    <s v="High"/>
    <s v="Average"/>
  </r>
  <r>
    <x v="0"/>
    <x v="1"/>
    <x v="770"/>
    <x v="1"/>
    <s v="Jadeton"/>
    <x v="4"/>
    <n v="31.64"/>
    <n v="90"/>
    <x v="3"/>
    <x v="2"/>
    <s v="Israel, Japan"/>
    <n v="260"/>
    <s v="Medium"/>
    <s v="Excellent"/>
  </r>
  <r>
    <x v="2"/>
    <x v="11"/>
    <x v="771"/>
    <x v="0"/>
    <s v="New Kathryn"/>
    <x v="3"/>
    <n v="29.51"/>
    <n v="64"/>
    <x v="4"/>
    <x v="1"/>
    <s v="India, Israel"/>
    <n v="302"/>
    <s v="Medium"/>
    <s v="Average"/>
  </r>
  <r>
    <x v="9"/>
    <x v="23"/>
    <x v="772"/>
    <x v="0"/>
    <s v="New Christopher"/>
    <x v="4"/>
    <n v="7.85"/>
    <n v="67"/>
    <x v="1"/>
    <x v="1"/>
    <s v="UAE"/>
    <n v="1"/>
    <s v="Low"/>
    <s v="Average"/>
  </r>
  <r>
    <x v="0"/>
    <x v="15"/>
    <x v="773"/>
    <x v="0"/>
    <s v="South Margaretland"/>
    <x v="1"/>
    <n v="16.850000000000001"/>
    <n v="77"/>
    <x v="1"/>
    <x v="0"/>
    <s v="Germany"/>
    <n v="234"/>
    <s v="Medium"/>
    <s v="Good"/>
  </r>
  <r>
    <x v="0"/>
    <x v="1"/>
    <x v="774"/>
    <x v="1"/>
    <s v="South Kevin"/>
    <x v="4"/>
    <n v="37.81"/>
    <n v="68"/>
    <x v="2"/>
    <x v="2"/>
    <s v="Japan, Israel, Russia"/>
    <n v="293"/>
    <s v="High"/>
    <s v="Average"/>
  </r>
  <r>
    <x v="3"/>
    <x v="16"/>
    <x v="775"/>
    <x v="0"/>
    <s v="Robertland"/>
    <x v="4"/>
    <n v="20.59"/>
    <n v="73"/>
    <x v="0"/>
    <x v="0"/>
    <s v="Russia, UAE"/>
    <n v="180"/>
    <s v="Medium"/>
    <s v="Average"/>
  </r>
  <r>
    <x v="2"/>
    <x v="1"/>
    <x v="776"/>
    <x v="0"/>
    <s v="West Andrew"/>
    <x v="2"/>
    <n v="42.07"/>
    <n v="98"/>
    <x v="4"/>
    <x v="0"/>
    <s v="France, India"/>
    <n v="18"/>
    <s v="High"/>
    <s v="Excellent"/>
  </r>
  <r>
    <x v="5"/>
    <x v="13"/>
    <x v="777"/>
    <x v="0"/>
    <s v="Coxbury"/>
    <x v="3"/>
    <n v="2.0699999999999998"/>
    <n v="81"/>
    <x v="0"/>
    <x v="1"/>
    <s v="Israel, UAE, USA"/>
    <n v="175"/>
    <s v="Low"/>
    <s v="Good"/>
  </r>
  <r>
    <x v="2"/>
    <x v="6"/>
    <x v="778"/>
    <x v="0"/>
    <s v="Rodriguezview"/>
    <x v="0"/>
    <n v="24.71"/>
    <n v="79"/>
    <x v="1"/>
    <x v="1"/>
    <s v="China, USA"/>
    <n v="196"/>
    <s v="Medium"/>
    <s v="Good"/>
  </r>
  <r>
    <x v="7"/>
    <x v="14"/>
    <x v="779"/>
    <x v="0"/>
    <s v="New Stephanieberg"/>
    <x v="1"/>
    <n v="4.2300000000000004"/>
    <n v="74"/>
    <x v="4"/>
    <x v="1"/>
    <s v="Israel, USA"/>
    <n v="54"/>
    <s v="Low"/>
    <s v="Average"/>
  </r>
  <r>
    <x v="5"/>
    <x v="24"/>
    <x v="780"/>
    <x v="1"/>
    <s v="Nathanfurt"/>
    <x v="2"/>
    <n v="15.45"/>
    <n v="87"/>
    <x v="0"/>
    <x v="0"/>
    <s v="UK, UAE, France"/>
    <n v="146"/>
    <s v="Medium"/>
    <s v="Good"/>
  </r>
  <r>
    <x v="3"/>
    <x v="11"/>
    <x v="781"/>
    <x v="0"/>
    <s v="Katherinetown"/>
    <x v="2"/>
    <n v="18.72"/>
    <n v="82"/>
    <x v="3"/>
    <x v="2"/>
    <s v="Japan"/>
    <n v="266"/>
    <s v="Medium"/>
    <s v="Good"/>
  </r>
  <r>
    <x v="8"/>
    <x v="14"/>
    <x v="782"/>
    <x v="1"/>
    <s v="Gwendolynchester"/>
    <x v="0"/>
    <n v="27.17"/>
    <n v="97"/>
    <x v="4"/>
    <x v="0"/>
    <s v="Russia, France"/>
    <n v="137"/>
    <s v="Medium"/>
    <s v="Excellent"/>
  </r>
  <r>
    <x v="8"/>
    <x v="6"/>
    <x v="783"/>
    <x v="1"/>
    <s v="New Steven"/>
    <x v="0"/>
    <n v="27.86"/>
    <n v="65"/>
    <x v="2"/>
    <x v="2"/>
    <s v="Russia, China"/>
    <n v="351"/>
    <s v="Medium"/>
    <s v="Average"/>
  </r>
  <r>
    <x v="0"/>
    <x v="5"/>
    <x v="784"/>
    <x v="0"/>
    <s v="North Charles"/>
    <x v="3"/>
    <n v="43.81"/>
    <n v="64"/>
    <x v="4"/>
    <x v="1"/>
    <s v="China, UAE, Germany"/>
    <n v="155"/>
    <s v="High"/>
    <s v="Average"/>
  </r>
  <r>
    <x v="2"/>
    <x v="16"/>
    <x v="785"/>
    <x v="0"/>
    <s v="Port Kellyview"/>
    <x v="4"/>
    <n v="28.57"/>
    <n v="61"/>
    <x v="3"/>
    <x v="1"/>
    <s v="UAE"/>
    <n v="175"/>
    <s v="Medium"/>
    <s v="Average"/>
  </r>
  <r>
    <x v="8"/>
    <x v="18"/>
    <x v="786"/>
    <x v="0"/>
    <s v="Smithfort"/>
    <x v="0"/>
    <n v="48.65"/>
    <n v="94"/>
    <x v="2"/>
    <x v="1"/>
    <s v="China, UAE"/>
    <n v="178"/>
    <s v="High"/>
    <s v="Excellent"/>
  </r>
  <r>
    <x v="3"/>
    <x v="15"/>
    <x v="787"/>
    <x v="1"/>
    <s v="Smithfort"/>
    <x v="2"/>
    <n v="45.73"/>
    <n v="57"/>
    <x v="3"/>
    <x v="0"/>
    <s v="UAE"/>
    <n v="51"/>
    <s v="High"/>
    <s v="Average"/>
  </r>
  <r>
    <x v="8"/>
    <x v="2"/>
    <x v="788"/>
    <x v="0"/>
    <s v="New Williamstad"/>
    <x v="0"/>
    <n v="13.04"/>
    <n v="85"/>
    <x v="0"/>
    <x v="1"/>
    <s v="Russia, Germany, Israel"/>
    <n v="177"/>
    <s v="Low"/>
    <s v="Good"/>
  </r>
  <r>
    <x v="9"/>
    <x v="24"/>
    <x v="789"/>
    <x v="1"/>
    <s v="Brownchester"/>
    <x v="2"/>
    <n v="40.14"/>
    <n v="90"/>
    <x v="1"/>
    <x v="0"/>
    <s v="Russia, Israel, India"/>
    <n v="119"/>
    <s v="High"/>
    <s v="Excellent"/>
  </r>
  <r>
    <x v="8"/>
    <x v="5"/>
    <x v="790"/>
    <x v="0"/>
    <s v="North Angelica"/>
    <x v="2"/>
    <n v="35.020000000000003"/>
    <n v="76"/>
    <x v="4"/>
    <x v="0"/>
    <s v="Germany, India"/>
    <n v="181"/>
    <s v="High"/>
    <s v="Good"/>
  </r>
  <r>
    <x v="4"/>
    <x v="16"/>
    <x v="791"/>
    <x v="0"/>
    <s v="Wardview"/>
    <x v="0"/>
    <n v="4.4000000000000004"/>
    <n v="59"/>
    <x v="1"/>
    <x v="2"/>
    <s v="UK"/>
    <n v="30"/>
    <s v="Low"/>
    <s v="Average"/>
  </r>
  <r>
    <x v="8"/>
    <x v="5"/>
    <x v="792"/>
    <x v="0"/>
    <s v="Stoneshire"/>
    <x v="0"/>
    <n v="17.510000000000002"/>
    <n v="65"/>
    <x v="2"/>
    <x v="1"/>
    <s v="India"/>
    <n v="328"/>
    <s v="Medium"/>
    <s v="Average"/>
  </r>
  <r>
    <x v="2"/>
    <x v="7"/>
    <x v="793"/>
    <x v="0"/>
    <s v="Fergusonfort"/>
    <x v="4"/>
    <n v="40.42"/>
    <n v="71"/>
    <x v="3"/>
    <x v="2"/>
    <s v="France, Russia, UAE"/>
    <n v="346"/>
    <s v="High"/>
    <s v="Average"/>
  </r>
  <r>
    <x v="6"/>
    <x v="2"/>
    <x v="794"/>
    <x v="0"/>
    <s v="Port Jessica"/>
    <x v="2"/>
    <n v="48.49"/>
    <n v="59"/>
    <x v="3"/>
    <x v="1"/>
    <s v="Israel, UAE"/>
    <n v="192"/>
    <s v="High"/>
    <s v="Average"/>
  </r>
  <r>
    <x v="6"/>
    <x v="20"/>
    <x v="795"/>
    <x v="1"/>
    <s v="Amychester"/>
    <x v="0"/>
    <n v="13.76"/>
    <n v="98"/>
    <x v="3"/>
    <x v="2"/>
    <s v="Israel"/>
    <n v="102"/>
    <s v="Low"/>
    <s v="Excellent"/>
  </r>
  <r>
    <x v="9"/>
    <x v="0"/>
    <x v="796"/>
    <x v="1"/>
    <s v="South Williamborough"/>
    <x v="2"/>
    <n v="7.41"/>
    <n v="56"/>
    <x v="3"/>
    <x v="2"/>
    <s v="Japan"/>
    <n v="199"/>
    <s v="Low"/>
    <s v="Average"/>
  </r>
  <r>
    <x v="1"/>
    <x v="23"/>
    <x v="797"/>
    <x v="0"/>
    <s v="Leeview"/>
    <x v="0"/>
    <n v="25.47"/>
    <n v="86"/>
    <x v="3"/>
    <x v="1"/>
    <s v="UAE, UK"/>
    <n v="194"/>
    <s v="Medium"/>
    <s v="Good"/>
  </r>
  <r>
    <x v="4"/>
    <x v="5"/>
    <x v="798"/>
    <x v="1"/>
    <s v="West Lauren"/>
    <x v="4"/>
    <n v="3.48"/>
    <n v="81"/>
    <x v="3"/>
    <x v="1"/>
    <s v="USA"/>
    <n v="273"/>
    <s v="Low"/>
    <s v="Good"/>
  </r>
  <r>
    <x v="7"/>
    <x v="25"/>
    <x v="799"/>
    <x v="1"/>
    <s v="East Alexis"/>
    <x v="2"/>
    <n v="26.03"/>
    <n v="94"/>
    <x v="1"/>
    <x v="2"/>
    <s v="India, Israel"/>
    <n v="47"/>
    <s v="Medium"/>
    <s v="Excellent"/>
  </r>
  <r>
    <x v="2"/>
    <x v="22"/>
    <x v="800"/>
    <x v="1"/>
    <s v="Sarahfurt"/>
    <x v="1"/>
    <n v="25.31"/>
    <n v="61"/>
    <x v="0"/>
    <x v="2"/>
    <s v="Israel, France"/>
    <n v="251"/>
    <s v="Medium"/>
    <s v="Average"/>
  </r>
  <r>
    <x v="5"/>
    <x v="5"/>
    <x v="801"/>
    <x v="0"/>
    <s v="North Sabrina"/>
    <x v="1"/>
    <n v="14.29"/>
    <n v="68"/>
    <x v="4"/>
    <x v="1"/>
    <s v="India"/>
    <n v="362"/>
    <s v="Low"/>
    <s v="Average"/>
  </r>
  <r>
    <x v="8"/>
    <x v="16"/>
    <x v="802"/>
    <x v="0"/>
    <s v="Hardingchester"/>
    <x v="4"/>
    <n v="21.08"/>
    <n v="74"/>
    <x v="4"/>
    <x v="1"/>
    <s v="Germany"/>
    <n v="88"/>
    <s v="Medium"/>
    <s v="Average"/>
  </r>
  <r>
    <x v="1"/>
    <x v="13"/>
    <x v="803"/>
    <x v="0"/>
    <s v="Adamshaven"/>
    <x v="1"/>
    <n v="9.7200000000000006"/>
    <n v="88"/>
    <x v="3"/>
    <x v="2"/>
    <s v="France, Israel"/>
    <n v="136"/>
    <s v="Low"/>
    <s v="Good"/>
  </r>
  <r>
    <x v="3"/>
    <x v="0"/>
    <x v="804"/>
    <x v="0"/>
    <s v="Williamsborough"/>
    <x v="4"/>
    <n v="3.06"/>
    <n v="74"/>
    <x v="0"/>
    <x v="2"/>
    <s v="Russia"/>
    <n v="127"/>
    <s v="Low"/>
    <s v="Average"/>
  </r>
  <r>
    <x v="8"/>
    <x v="24"/>
    <x v="805"/>
    <x v="1"/>
    <s v="East Kyle"/>
    <x v="0"/>
    <n v="3.75"/>
    <n v="93"/>
    <x v="0"/>
    <x v="0"/>
    <s v="USA, China"/>
    <n v="358"/>
    <s v="Low"/>
    <s v="Excellent"/>
  </r>
  <r>
    <x v="1"/>
    <x v="16"/>
    <x v="806"/>
    <x v="1"/>
    <s v="Millermouth"/>
    <x v="1"/>
    <n v="42.87"/>
    <n v="91"/>
    <x v="1"/>
    <x v="2"/>
    <s v="Russia"/>
    <n v="227"/>
    <s v="High"/>
    <s v="Excellent"/>
  </r>
  <r>
    <x v="4"/>
    <x v="3"/>
    <x v="807"/>
    <x v="0"/>
    <s v="Turnerland"/>
    <x v="4"/>
    <n v="24.58"/>
    <n v="57"/>
    <x v="2"/>
    <x v="2"/>
    <s v="Russia, Japan, USA"/>
    <n v="82"/>
    <s v="Medium"/>
    <s v="Average"/>
  </r>
  <r>
    <x v="9"/>
    <x v="2"/>
    <x v="808"/>
    <x v="0"/>
    <s v="New Rodneyfurt"/>
    <x v="0"/>
    <n v="42.19"/>
    <n v="81"/>
    <x v="3"/>
    <x v="0"/>
    <s v="Russia, Japan"/>
    <n v="167"/>
    <s v="High"/>
    <s v="Good"/>
  </r>
  <r>
    <x v="7"/>
    <x v="11"/>
    <x v="809"/>
    <x v="1"/>
    <s v="South Sheila"/>
    <x v="0"/>
    <n v="2.2200000000000002"/>
    <n v="75"/>
    <x v="0"/>
    <x v="0"/>
    <s v="France, Russia"/>
    <n v="172"/>
    <s v="Low"/>
    <s v="Good"/>
  </r>
  <r>
    <x v="8"/>
    <x v="23"/>
    <x v="810"/>
    <x v="0"/>
    <s v="New Veronica"/>
    <x v="3"/>
    <n v="12.31"/>
    <n v="96"/>
    <x v="1"/>
    <x v="2"/>
    <s v="France"/>
    <n v="51"/>
    <s v="Low"/>
    <s v="Excellent"/>
  </r>
  <r>
    <x v="6"/>
    <x v="5"/>
    <x v="811"/>
    <x v="1"/>
    <s v="South Brian"/>
    <x v="1"/>
    <n v="10.49"/>
    <n v="90"/>
    <x v="2"/>
    <x v="2"/>
    <s v="France, USA"/>
    <n v="215"/>
    <s v="Low"/>
    <s v="Excellent"/>
  </r>
  <r>
    <x v="9"/>
    <x v="7"/>
    <x v="812"/>
    <x v="1"/>
    <s v="Staffordton"/>
    <x v="0"/>
    <n v="25.46"/>
    <n v="92"/>
    <x v="3"/>
    <x v="1"/>
    <s v="Japan"/>
    <n v="64"/>
    <s v="Medium"/>
    <s v="Excellent"/>
  </r>
  <r>
    <x v="3"/>
    <x v="2"/>
    <x v="813"/>
    <x v="1"/>
    <s v="New Michael"/>
    <x v="1"/>
    <n v="6.98"/>
    <n v="87"/>
    <x v="1"/>
    <x v="2"/>
    <s v="Japan"/>
    <n v="356"/>
    <s v="Low"/>
    <s v="Good"/>
  </r>
  <r>
    <x v="2"/>
    <x v="6"/>
    <x v="814"/>
    <x v="1"/>
    <s v="Morenochester"/>
    <x v="2"/>
    <n v="6.43"/>
    <n v="79"/>
    <x v="1"/>
    <x v="2"/>
    <s v="UAE, Germany"/>
    <n v="103"/>
    <s v="Low"/>
    <s v="Good"/>
  </r>
  <r>
    <x v="9"/>
    <x v="10"/>
    <x v="815"/>
    <x v="1"/>
    <s v="Port Mandy"/>
    <x v="2"/>
    <n v="34.840000000000003"/>
    <n v="50"/>
    <x v="3"/>
    <x v="1"/>
    <s v="UAE"/>
    <n v="299"/>
    <s v="Medium"/>
    <s v="Average"/>
  </r>
  <r>
    <x v="2"/>
    <x v="17"/>
    <x v="816"/>
    <x v="0"/>
    <s v="Ramirezhaven"/>
    <x v="3"/>
    <n v="47.95"/>
    <n v="92"/>
    <x v="2"/>
    <x v="2"/>
    <s v="Japan, Israel"/>
    <n v="128"/>
    <s v="High"/>
    <s v="Excellent"/>
  </r>
  <r>
    <x v="1"/>
    <x v="22"/>
    <x v="817"/>
    <x v="0"/>
    <s v="New Alexander"/>
    <x v="1"/>
    <n v="38.57"/>
    <n v="63"/>
    <x v="1"/>
    <x v="1"/>
    <s v="Germany"/>
    <n v="122"/>
    <s v="High"/>
    <s v="Average"/>
  </r>
  <r>
    <x v="3"/>
    <x v="11"/>
    <x v="818"/>
    <x v="1"/>
    <s v="Ramirezside"/>
    <x v="2"/>
    <n v="5.97"/>
    <n v="59"/>
    <x v="1"/>
    <x v="1"/>
    <s v="USA, UAE"/>
    <n v="333"/>
    <s v="Low"/>
    <s v="Average"/>
  </r>
  <r>
    <x v="5"/>
    <x v="5"/>
    <x v="819"/>
    <x v="0"/>
    <s v="Sierramouth"/>
    <x v="4"/>
    <n v="11.47"/>
    <n v="65"/>
    <x v="3"/>
    <x v="2"/>
    <s v="France, Israel"/>
    <n v="166"/>
    <s v="Low"/>
    <s v="Average"/>
  </r>
  <r>
    <x v="2"/>
    <x v="21"/>
    <x v="820"/>
    <x v="0"/>
    <s v="New Jacksonshire"/>
    <x v="4"/>
    <n v="19.329999999999998"/>
    <n v="80"/>
    <x v="2"/>
    <x v="2"/>
    <s v="UK, Germany"/>
    <n v="277"/>
    <s v="Medium"/>
    <s v="Good"/>
  </r>
  <r>
    <x v="7"/>
    <x v="6"/>
    <x v="821"/>
    <x v="0"/>
    <s v="Jillmouth"/>
    <x v="2"/>
    <n v="40.6"/>
    <n v="78"/>
    <x v="3"/>
    <x v="2"/>
    <s v="China, France"/>
    <n v="149"/>
    <s v="High"/>
    <s v="Good"/>
  </r>
  <r>
    <x v="9"/>
    <x v="11"/>
    <x v="822"/>
    <x v="1"/>
    <s v="Simmonsfurt"/>
    <x v="3"/>
    <n v="33.869999999999997"/>
    <n v="77"/>
    <x v="2"/>
    <x v="2"/>
    <s v="USA, Israel"/>
    <n v="40"/>
    <s v="Medium"/>
    <s v="Good"/>
  </r>
  <r>
    <x v="3"/>
    <x v="22"/>
    <x v="823"/>
    <x v="1"/>
    <s v="East Nichole"/>
    <x v="2"/>
    <n v="18.059999999999999"/>
    <n v="97"/>
    <x v="3"/>
    <x v="0"/>
    <s v="India, Russia"/>
    <n v="249"/>
    <s v="Medium"/>
    <s v="Excellent"/>
  </r>
  <r>
    <x v="3"/>
    <x v="5"/>
    <x v="824"/>
    <x v="1"/>
    <s v="Lake Megan"/>
    <x v="0"/>
    <n v="6.72"/>
    <n v="86"/>
    <x v="1"/>
    <x v="0"/>
    <s v="USA, Israel"/>
    <n v="65"/>
    <s v="Low"/>
    <s v="Good"/>
  </r>
  <r>
    <x v="3"/>
    <x v="17"/>
    <x v="825"/>
    <x v="0"/>
    <s v="Laurahaven"/>
    <x v="4"/>
    <n v="43.91"/>
    <n v="89"/>
    <x v="3"/>
    <x v="1"/>
    <s v="USA, India, Israel"/>
    <n v="152"/>
    <s v="High"/>
    <s v="Good"/>
  </r>
  <r>
    <x v="2"/>
    <x v="13"/>
    <x v="826"/>
    <x v="1"/>
    <s v="North Wayne"/>
    <x v="2"/>
    <n v="34.39"/>
    <n v="54"/>
    <x v="0"/>
    <x v="1"/>
    <s v="France, UK, Germany"/>
    <n v="334"/>
    <s v="Medium"/>
    <s v="Average"/>
  </r>
  <r>
    <x v="0"/>
    <x v="20"/>
    <x v="827"/>
    <x v="0"/>
    <s v="New Randy"/>
    <x v="1"/>
    <n v="12.49"/>
    <n v="88"/>
    <x v="1"/>
    <x v="1"/>
    <s v="Japan, UK"/>
    <n v="244"/>
    <s v="Low"/>
    <s v="Good"/>
  </r>
  <r>
    <x v="2"/>
    <x v="7"/>
    <x v="828"/>
    <x v="1"/>
    <s v="West Anthonychester"/>
    <x v="4"/>
    <n v="48.48"/>
    <n v="99"/>
    <x v="2"/>
    <x v="2"/>
    <s v="France, Germany"/>
    <n v="345"/>
    <s v="High"/>
    <s v="Excellent"/>
  </r>
  <r>
    <x v="2"/>
    <x v="3"/>
    <x v="829"/>
    <x v="1"/>
    <s v="North Mitchell"/>
    <x v="3"/>
    <n v="31.12"/>
    <n v="53"/>
    <x v="1"/>
    <x v="2"/>
    <s v="India, UK, USA"/>
    <n v="222"/>
    <s v="Medium"/>
    <s v="Average"/>
  </r>
  <r>
    <x v="4"/>
    <x v="16"/>
    <x v="830"/>
    <x v="0"/>
    <s v="Spencerview"/>
    <x v="0"/>
    <n v="0.82"/>
    <n v="94"/>
    <x v="1"/>
    <x v="0"/>
    <s v="UK, France, India"/>
    <n v="124"/>
    <s v="Low"/>
    <s v="Excellent"/>
  </r>
  <r>
    <x v="1"/>
    <x v="0"/>
    <x v="831"/>
    <x v="1"/>
    <s v="North Shannonburgh"/>
    <x v="0"/>
    <n v="20.89"/>
    <n v="99"/>
    <x v="2"/>
    <x v="1"/>
    <s v="Japan, Germany, China"/>
    <n v="287"/>
    <s v="Medium"/>
    <s v="Excellent"/>
  </r>
  <r>
    <x v="5"/>
    <x v="21"/>
    <x v="832"/>
    <x v="0"/>
    <s v="East Waynemouth"/>
    <x v="0"/>
    <n v="29.44"/>
    <n v="93"/>
    <x v="4"/>
    <x v="1"/>
    <s v="Germany, USA"/>
    <n v="295"/>
    <s v="Medium"/>
    <s v="Excellent"/>
  </r>
  <r>
    <x v="4"/>
    <x v="16"/>
    <x v="833"/>
    <x v="0"/>
    <s v="Sarashire"/>
    <x v="0"/>
    <n v="20.7"/>
    <n v="91"/>
    <x v="1"/>
    <x v="2"/>
    <s v="UAE"/>
    <n v="125"/>
    <s v="Medium"/>
    <s v="Excellent"/>
  </r>
  <r>
    <x v="7"/>
    <x v="3"/>
    <x v="834"/>
    <x v="0"/>
    <s v="Beckerton"/>
    <x v="2"/>
    <n v="17.05"/>
    <n v="76"/>
    <x v="0"/>
    <x v="2"/>
    <s v="USA, China, Israel"/>
    <n v="172"/>
    <s v="Medium"/>
    <s v="Good"/>
  </r>
  <r>
    <x v="4"/>
    <x v="24"/>
    <x v="835"/>
    <x v="1"/>
    <s v="Smithside"/>
    <x v="1"/>
    <n v="8.44"/>
    <n v="85"/>
    <x v="2"/>
    <x v="1"/>
    <s v="France"/>
    <n v="175"/>
    <s v="Low"/>
    <s v="Good"/>
  </r>
  <r>
    <x v="0"/>
    <x v="9"/>
    <x v="836"/>
    <x v="1"/>
    <s v="Debraton"/>
    <x v="1"/>
    <n v="24.79"/>
    <n v="52"/>
    <x v="3"/>
    <x v="2"/>
    <s v="Israel, Japan"/>
    <n v="251"/>
    <s v="Medium"/>
    <s v="Average"/>
  </r>
  <r>
    <x v="8"/>
    <x v="25"/>
    <x v="837"/>
    <x v="1"/>
    <s v="Kennethfort"/>
    <x v="0"/>
    <n v="29.77"/>
    <n v="79"/>
    <x v="3"/>
    <x v="1"/>
    <s v="France"/>
    <n v="339"/>
    <s v="Medium"/>
    <s v="Good"/>
  </r>
  <r>
    <x v="0"/>
    <x v="7"/>
    <x v="838"/>
    <x v="1"/>
    <s v="Wilsonbury"/>
    <x v="2"/>
    <n v="26.97"/>
    <n v="96"/>
    <x v="4"/>
    <x v="1"/>
    <s v="Japan, UAE"/>
    <n v="250"/>
    <s v="Medium"/>
    <s v="Excellent"/>
  </r>
  <r>
    <x v="3"/>
    <x v="3"/>
    <x v="839"/>
    <x v="1"/>
    <s v="Schwartzhaven"/>
    <x v="3"/>
    <n v="30.43"/>
    <n v="60"/>
    <x v="1"/>
    <x v="2"/>
    <s v="France, Germany"/>
    <n v="75"/>
    <s v="Medium"/>
    <s v="Average"/>
  </r>
  <r>
    <x v="1"/>
    <x v="24"/>
    <x v="840"/>
    <x v="0"/>
    <s v="South Anthony"/>
    <x v="2"/>
    <n v="22.1"/>
    <n v="66"/>
    <x v="4"/>
    <x v="2"/>
    <s v="Germany"/>
    <n v="149"/>
    <s v="Medium"/>
    <s v="Average"/>
  </r>
  <r>
    <x v="4"/>
    <x v="23"/>
    <x v="841"/>
    <x v="1"/>
    <s v="Port Heathertown"/>
    <x v="0"/>
    <n v="13.45"/>
    <n v="84"/>
    <x v="1"/>
    <x v="2"/>
    <s v="Japan, USA, France"/>
    <n v="139"/>
    <s v="Low"/>
    <s v="Good"/>
  </r>
  <r>
    <x v="6"/>
    <x v="24"/>
    <x v="842"/>
    <x v="1"/>
    <s v="Brennanhaven"/>
    <x v="4"/>
    <n v="30.5"/>
    <n v="51"/>
    <x v="0"/>
    <x v="0"/>
    <s v="Israel, China"/>
    <n v="356"/>
    <s v="Medium"/>
    <s v="Average"/>
  </r>
  <r>
    <x v="2"/>
    <x v="20"/>
    <x v="843"/>
    <x v="0"/>
    <s v="North Jody"/>
    <x v="4"/>
    <n v="41.64"/>
    <n v="86"/>
    <x v="0"/>
    <x v="1"/>
    <s v="Israel, USA, France"/>
    <n v="78"/>
    <s v="High"/>
    <s v="Good"/>
  </r>
  <r>
    <x v="8"/>
    <x v="2"/>
    <x v="844"/>
    <x v="1"/>
    <s v="Jackburgh"/>
    <x v="3"/>
    <n v="10.31"/>
    <n v="58"/>
    <x v="2"/>
    <x v="1"/>
    <s v="UK, USA"/>
    <n v="356"/>
    <s v="Low"/>
    <s v="Average"/>
  </r>
  <r>
    <x v="2"/>
    <x v="12"/>
    <x v="845"/>
    <x v="0"/>
    <s v="West Amyton"/>
    <x v="0"/>
    <n v="40.729999999999997"/>
    <n v="99"/>
    <x v="2"/>
    <x v="0"/>
    <s v="UAE"/>
    <n v="72"/>
    <s v="High"/>
    <s v="Excellent"/>
  </r>
  <r>
    <x v="0"/>
    <x v="15"/>
    <x v="846"/>
    <x v="0"/>
    <s v="North Kellyfurt"/>
    <x v="4"/>
    <n v="22.79"/>
    <n v="67"/>
    <x v="1"/>
    <x v="2"/>
    <s v="China"/>
    <n v="145"/>
    <s v="Medium"/>
    <s v="Average"/>
  </r>
  <r>
    <x v="2"/>
    <x v="13"/>
    <x v="847"/>
    <x v="0"/>
    <s v="Amyhaven"/>
    <x v="2"/>
    <n v="36.020000000000003"/>
    <n v="99"/>
    <x v="4"/>
    <x v="0"/>
    <s v="China"/>
    <n v="337"/>
    <s v="High"/>
    <s v="Excellent"/>
  </r>
  <r>
    <x v="4"/>
    <x v="3"/>
    <x v="848"/>
    <x v="1"/>
    <s v="Port Robert"/>
    <x v="2"/>
    <n v="34.76"/>
    <n v="81"/>
    <x v="0"/>
    <x v="0"/>
    <s v="France, USA, UAE"/>
    <n v="350"/>
    <s v="Medium"/>
    <s v="Good"/>
  </r>
  <r>
    <x v="8"/>
    <x v="12"/>
    <x v="849"/>
    <x v="0"/>
    <s v="Anthonyfurt"/>
    <x v="4"/>
    <n v="12.54"/>
    <n v="54"/>
    <x v="1"/>
    <x v="1"/>
    <s v="Israel, Japan, UAE"/>
    <n v="307"/>
    <s v="Low"/>
    <s v="Average"/>
  </r>
  <r>
    <x v="3"/>
    <x v="4"/>
    <x v="850"/>
    <x v="1"/>
    <s v="Lake Robert"/>
    <x v="1"/>
    <n v="37.18"/>
    <n v="64"/>
    <x v="3"/>
    <x v="0"/>
    <s v="USA"/>
    <n v="216"/>
    <s v="High"/>
    <s v="Average"/>
  </r>
  <r>
    <x v="7"/>
    <x v="13"/>
    <x v="851"/>
    <x v="0"/>
    <s v="Port Kyleburgh"/>
    <x v="2"/>
    <n v="40.42"/>
    <n v="91"/>
    <x v="0"/>
    <x v="0"/>
    <s v="Japan"/>
    <n v="70"/>
    <s v="High"/>
    <s v="Excellent"/>
  </r>
  <r>
    <x v="6"/>
    <x v="18"/>
    <x v="852"/>
    <x v="1"/>
    <s v="West Lisa"/>
    <x v="1"/>
    <n v="3.79"/>
    <n v="70"/>
    <x v="2"/>
    <x v="0"/>
    <s v="UAE, Russia"/>
    <n v="66"/>
    <s v="Low"/>
    <s v="Average"/>
  </r>
  <r>
    <x v="1"/>
    <x v="9"/>
    <x v="853"/>
    <x v="1"/>
    <s v="Wrighttown"/>
    <x v="1"/>
    <n v="6.06"/>
    <n v="61"/>
    <x v="2"/>
    <x v="2"/>
    <s v="UAE, Germany"/>
    <n v="50"/>
    <s v="Low"/>
    <s v="Average"/>
  </r>
  <r>
    <x v="5"/>
    <x v="2"/>
    <x v="854"/>
    <x v="1"/>
    <s v="Savageland"/>
    <x v="1"/>
    <n v="35.67"/>
    <n v="78"/>
    <x v="1"/>
    <x v="0"/>
    <s v="Russia, France"/>
    <n v="143"/>
    <s v="High"/>
    <s v="Good"/>
  </r>
  <r>
    <x v="4"/>
    <x v="0"/>
    <x v="855"/>
    <x v="0"/>
    <s v="Palmerbury"/>
    <x v="1"/>
    <n v="29.11"/>
    <n v="80"/>
    <x v="2"/>
    <x v="0"/>
    <s v="France, Israel"/>
    <n v="160"/>
    <s v="Medium"/>
    <s v="Good"/>
  </r>
  <r>
    <x v="4"/>
    <x v="21"/>
    <x v="856"/>
    <x v="0"/>
    <s v="Davidfort"/>
    <x v="1"/>
    <n v="44.75"/>
    <n v="62"/>
    <x v="3"/>
    <x v="1"/>
    <s v="Germany, India"/>
    <n v="248"/>
    <s v="High"/>
    <s v="Average"/>
  </r>
  <r>
    <x v="2"/>
    <x v="17"/>
    <x v="857"/>
    <x v="0"/>
    <s v="Hodgesfort"/>
    <x v="1"/>
    <n v="4.37"/>
    <n v="60"/>
    <x v="4"/>
    <x v="1"/>
    <s v="France, Japan, UAE"/>
    <n v="231"/>
    <s v="Low"/>
    <s v="Average"/>
  </r>
  <r>
    <x v="0"/>
    <x v="12"/>
    <x v="858"/>
    <x v="1"/>
    <s v="Pennyside"/>
    <x v="3"/>
    <n v="6.48"/>
    <n v="50"/>
    <x v="3"/>
    <x v="1"/>
    <s v="Japan, USA, Russia"/>
    <n v="263"/>
    <s v="Low"/>
    <s v="Average"/>
  </r>
  <r>
    <x v="9"/>
    <x v="16"/>
    <x v="859"/>
    <x v="0"/>
    <s v="Lake Ronaldside"/>
    <x v="3"/>
    <n v="12.24"/>
    <n v="98"/>
    <x v="3"/>
    <x v="2"/>
    <s v="UAE, India"/>
    <n v="77"/>
    <s v="Low"/>
    <s v="Excellent"/>
  </r>
  <r>
    <x v="1"/>
    <x v="17"/>
    <x v="860"/>
    <x v="0"/>
    <s v="Nicholsshire"/>
    <x v="3"/>
    <n v="34.619999999999997"/>
    <n v="52"/>
    <x v="0"/>
    <x v="0"/>
    <s v="UK, China, Israel"/>
    <n v="58"/>
    <s v="Medium"/>
    <s v="Average"/>
  </r>
  <r>
    <x v="2"/>
    <x v="0"/>
    <x v="861"/>
    <x v="1"/>
    <s v="Port Samuelville"/>
    <x v="0"/>
    <n v="24.79"/>
    <n v="71"/>
    <x v="4"/>
    <x v="2"/>
    <s v="Israel"/>
    <n v="41"/>
    <s v="Medium"/>
    <s v="Average"/>
  </r>
  <r>
    <x v="0"/>
    <x v="18"/>
    <x v="862"/>
    <x v="0"/>
    <s v="Lawrenceshire"/>
    <x v="3"/>
    <n v="23.85"/>
    <n v="57"/>
    <x v="2"/>
    <x v="0"/>
    <s v="India, Russia, USA"/>
    <n v="146"/>
    <s v="Medium"/>
    <s v="Average"/>
  </r>
  <r>
    <x v="3"/>
    <x v="20"/>
    <x v="863"/>
    <x v="0"/>
    <s v="Lake Stacytown"/>
    <x v="4"/>
    <n v="12.84"/>
    <n v="76"/>
    <x v="1"/>
    <x v="0"/>
    <s v="India, Japan, France"/>
    <n v="282"/>
    <s v="Low"/>
    <s v="Good"/>
  </r>
  <r>
    <x v="9"/>
    <x v="13"/>
    <x v="864"/>
    <x v="1"/>
    <s v="South Tamara"/>
    <x v="0"/>
    <n v="36.380000000000003"/>
    <n v="84"/>
    <x v="4"/>
    <x v="0"/>
    <s v="UK, Russia"/>
    <n v="111"/>
    <s v="High"/>
    <s v="Good"/>
  </r>
  <r>
    <x v="1"/>
    <x v="17"/>
    <x v="865"/>
    <x v="1"/>
    <s v="East Christinetown"/>
    <x v="4"/>
    <n v="41.28"/>
    <n v="51"/>
    <x v="3"/>
    <x v="0"/>
    <s v="India"/>
    <n v="17"/>
    <s v="High"/>
    <s v="Average"/>
  </r>
  <r>
    <x v="4"/>
    <x v="16"/>
    <x v="866"/>
    <x v="1"/>
    <s v="South Andreamouth"/>
    <x v="4"/>
    <n v="23.52"/>
    <n v="70"/>
    <x v="1"/>
    <x v="1"/>
    <s v="Russia, Israel"/>
    <n v="255"/>
    <s v="Medium"/>
    <s v="Average"/>
  </r>
  <r>
    <x v="9"/>
    <x v="20"/>
    <x v="867"/>
    <x v="0"/>
    <s v="Lake Stephen"/>
    <x v="3"/>
    <n v="33.18"/>
    <n v="99"/>
    <x v="0"/>
    <x v="1"/>
    <s v="China"/>
    <n v="135"/>
    <s v="Medium"/>
    <s v="Excellent"/>
  </r>
  <r>
    <x v="9"/>
    <x v="24"/>
    <x v="868"/>
    <x v="0"/>
    <s v="Port Kathleen"/>
    <x v="3"/>
    <n v="2.62"/>
    <n v="97"/>
    <x v="2"/>
    <x v="0"/>
    <s v="UK, France"/>
    <n v="57"/>
    <s v="Low"/>
    <s v="Excellent"/>
  </r>
  <r>
    <x v="0"/>
    <x v="21"/>
    <x v="869"/>
    <x v="1"/>
    <s v="Clarkchester"/>
    <x v="1"/>
    <n v="39.68"/>
    <n v="84"/>
    <x v="4"/>
    <x v="2"/>
    <s v="France, UK, Germany"/>
    <n v="258"/>
    <s v="High"/>
    <s v="Good"/>
  </r>
  <r>
    <x v="8"/>
    <x v="14"/>
    <x v="870"/>
    <x v="1"/>
    <s v="New Alishamouth"/>
    <x v="0"/>
    <n v="11.37"/>
    <n v="92"/>
    <x v="3"/>
    <x v="0"/>
    <s v="Germany, Israel"/>
    <n v="203"/>
    <s v="Low"/>
    <s v="Excellent"/>
  </r>
  <r>
    <x v="7"/>
    <x v="20"/>
    <x v="871"/>
    <x v="1"/>
    <s v="Jenniferberg"/>
    <x v="3"/>
    <n v="48.67"/>
    <n v="88"/>
    <x v="3"/>
    <x v="0"/>
    <s v="Germany, UK, India"/>
    <n v="347"/>
    <s v="High"/>
    <s v="Good"/>
  </r>
  <r>
    <x v="0"/>
    <x v="11"/>
    <x v="872"/>
    <x v="1"/>
    <s v="Davidport"/>
    <x v="1"/>
    <n v="17.54"/>
    <n v="82"/>
    <x v="4"/>
    <x v="2"/>
    <s v="Germany"/>
    <n v="42"/>
    <s v="Medium"/>
    <s v="Good"/>
  </r>
  <r>
    <x v="1"/>
    <x v="6"/>
    <x v="873"/>
    <x v="1"/>
    <s v="East Daltonshire"/>
    <x v="0"/>
    <n v="24.96"/>
    <n v="67"/>
    <x v="2"/>
    <x v="0"/>
    <s v="India"/>
    <n v="88"/>
    <s v="Medium"/>
    <s v="Average"/>
  </r>
  <r>
    <x v="2"/>
    <x v="23"/>
    <x v="874"/>
    <x v="1"/>
    <s v="Johnhaven"/>
    <x v="2"/>
    <n v="0.8"/>
    <n v="81"/>
    <x v="4"/>
    <x v="2"/>
    <s v="India, UK"/>
    <n v="76"/>
    <s v="Low"/>
    <s v="Good"/>
  </r>
  <r>
    <x v="6"/>
    <x v="3"/>
    <x v="875"/>
    <x v="1"/>
    <s v="Williamsonchester"/>
    <x v="4"/>
    <n v="28.21"/>
    <n v="70"/>
    <x v="2"/>
    <x v="1"/>
    <s v="UAE"/>
    <n v="328"/>
    <s v="Medium"/>
    <s v="Average"/>
  </r>
  <r>
    <x v="4"/>
    <x v="6"/>
    <x v="876"/>
    <x v="0"/>
    <s v="New Ambermouth"/>
    <x v="1"/>
    <n v="8.34"/>
    <n v="100"/>
    <x v="4"/>
    <x v="1"/>
    <s v="Japan, China, France"/>
    <n v="265"/>
    <s v="Low"/>
    <s v="Excellent"/>
  </r>
  <r>
    <x v="0"/>
    <x v="2"/>
    <x v="877"/>
    <x v="0"/>
    <s v="Jacobchester"/>
    <x v="3"/>
    <n v="33.83"/>
    <n v="83"/>
    <x v="2"/>
    <x v="1"/>
    <s v="China, Germany, UK"/>
    <n v="53"/>
    <s v="Medium"/>
    <s v="Good"/>
  </r>
  <r>
    <x v="1"/>
    <x v="16"/>
    <x v="878"/>
    <x v="0"/>
    <s v="East Joshua"/>
    <x v="3"/>
    <n v="40.44"/>
    <n v="99"/>
    <x v="4"/>
    <x v="0"/>
    <s v="UK, France, Germany"/>
    <n v="203"/>
    <s v="High"/>
    <s v="Excellent"/>
  </r>
  <r>
    <x v="6"/>
    <x v="2"/>
    <x v="879"/>
    <x v="1"/>
    <s v="Grahamfurt"/>
    <x v="0"/>
    <n v="14.64"/>
    <n v="65"/>
    <x v="2"/>
    <x v="0"/>
    <s v="Japan, USA, India"/>
    <n v="93"/>
    <s v="Low"/>
    <s v="Average"/>
  </r>
  <r>
    <x v="1"/>
    <x v="2"/>
    <x v="880"/>
    <x v="0"/>
    <s v="Lake Waynechester"/>
    <x v="1"/>
    <n v="14.82"/>
    <n v="96"/>
    <x v="3"/>
    <x v="1"/>
    <s v="UAE"/>
    <n v="195"/>
    <s v="Low"/>
    <s v="Excellent"/>
  </r>
  <r>
    <x v="3"/>
    <x v="14"/>
    <x v="881"/>
    <x v="0"/>
    <s v="New Jamesfurt"/>
    <x v="3"/>
    <n v="20.84"/>
    <n v="76"/>
    <x v="2"/>
    <x v="1"/>
    <s v="USA"/>
    <n v="144"/>
    <s v="Medium"/>
    <s v="Good"/>
  </r>
  <r>
    <x v="9"/>
    <x v="22"/>
    <x v="882"/>
    <x v="0"/>
    <s v="South Laura"/>
    <x v="3"/>
    <n v="21.25"/>
    <n v="61"/>
    <x v="0"/>
    <x v="0"/>
    <s v="Russia, China, Germany"/>
    <n v="268"/>
    <s v="Medium"/>
    <s v="Average"/>
  </r>
  <r>
    <x v="7"/>
    <x v="3"/>
    <x v="883"/>
    <x v="0"/>
    <s v="Morganmouth"/>
    <x v="1"/>
    <n v="20.98"/>
    <n v="54"/>
    <x v="2"/>
    <x v="0"/>
    <s v="UK"/>
    <n v="83"/>
    <s v="Medium"/>
    <s v="Average"/>
  </r>
  <r>
    <x v="7"/>
    <x v="10"/>
    <x v="884"/>
    <x v="0"/>
    <s v="New Christopher"/>
    <x v="3"/>
    <n v="41.27"/>
    <n v="69"/>
    <x v="3"/>
    <x v="1"/>
    <s v="USA, Russia"/>
    <n v="317"/>
    <s v="High"/>
    <s v="Average"/>
  </r>
  <r>
    <x v="9"/>
    <x v="0"/>
    <x v="885"/>
    <x v="0"/>
    <s v="Lake Rachael"/>
    <x v="3"/>
    <n v="42.85"/>
    <n v="94"/>
    <x v="3"/>
    <x v="2"/>
    <s v="France, Russia"/>
    <n v="91"/>
    <s v="High"/>
    <s v="Excellent"/>
  </r>
  <r>
    <x v="4"/>
    <x v="4"/>
    <x v="886"/>
    <x v="0"/>
    <s v="Matthewmouth"/>
    <x v="3"/>
    <n v="10.8"/>
    <n v="67"/>
    <x v="1"/>
    <x v="2"/>
    <s v="UAE"/>
    <n v="232"/>
    <s v="Low"/>
    <s v="Average"/>
  </r>
  <r>
    <x v="5"/>
    <x v="3"/>
    <x v="887"/>
    <x v="0"/>
    <s v="Port Angelaview"/>
    <x v="1"/>
    <n v="12.55"/>
    <n v="60"/>
    <x v="4"/>
    <x v="2"/>
    <s v="Israel, China, France"/>
    <n v="147"/>
    <s v="Low"/>
    <s v="Average"/>
  </r>
  <r>
    <x v="3"/>
    <x v="7"/>
    <x v="888"/>
    <x v="1"/>
    <s v="New Steven"/>
    <x v="2"/>
    <n v="23.98"/>
    <n v="59"/>
    <x v="2"/>
    <x v="2"/>
    <s v="Japan, UK, UAE"/>
    <n v="129"/>
    <s v="Medium"/>
    <s v="Average"/>
  </r>
  <r>
    <x v="0"/>
    <x v="4"/>
    <x v="889"/>
    <x v="1"/>
    <s v="New Madisonbury"/>
    <x v="4"/>
    <n v="28.13"/>
    <n v="52"/>
    <x v="2"/>
    <x v="2"/>
    <s v="Russia"/>
    <n v="307"/>
    <s v="Medium"/>
    <s v="Average"/>
  </r>
  <r>
    <x v="3"/>
    <x v="8"/>
    <x v="890"/>
    <x v="1"/>
    <s v="Riveratown"/>
    <x v="1"/>
    <n v="43.49"/>
    <n v="63"/>
    <x v="3"/>
    <x v="2"/>
    <s v="India, UK"/>
    <n v="215"/>
    <s v="High"/>
    <s v="Average"/>
  </r>
  <r>
    <x v="9"/>
    <x v="10"/>
    <x v="891"/>
    <x v="1"/>
    <s v="Port Hannah"/>
    <x v="3"/>
    <n v="33"/>
    <n v="86"/>
    <x v="4"/>
    <x v="1"/>
    <s v="Germany, UK"/>
    <n v="315"/>
    <s v="Medium"/>
    <s v="Good"/>
  </r>
  <r>
    <x v="9"/>
    <x v="5"/>
    <x v="892"/>
    <x v="0"/>
    <s v="North Jesse"/>
    <x v="3"/>
    <n v="38.130000000000003"/>
    <n v="100"/>
    <x v="1"/>
    <x v="0"/>
    <s v="Russia, UK, UAE"/>
    <n v="245"/>
    <s v="High"/>
    <s v="Excellent"/>
  </r>
  <r>
    <x v="5"/>
    <x v="20"/>
    <x v="893"/>
    <x v="0"/>
    <s v="Lopeztown"/>
    <x v="0"/>
    <n v="34.659999999999997"/>
    <n v="82"/>
    <x v="1"/>
    <x v="0"/>
    <s v="Germany, UK, USA"/>
    <n v="235"/>
    <s v="Medium"/>
    <s v="Good"/>
  </r>
  <r>
    <x v="8"/>
    <x v="1"/>
    <x v="894"/>
    <x v="1"/>
    <s v="North Julianport"/>
    <x v="1"/>
    <n v="29.46"/>
    <n v="50"/>
    <x v="2"/>
    <x v="0"/>
    <s v="India"/>
    <n v="265"/>
    <s v="Medium"/>
    <s v="Average"/>
  </r>
  <r>
    <x v="7"/>
    <x v="14"/>
    <x v="895"/>
    <x v="1"/>
    <s v="West Tina"/>
    <x v="2"/>
    <n v="24.32"/>
    <n v="89"/>
    <x v="1"/>
    <x v="2"/>
    <s v="Israel"/>
    <n v="332"/>
    <s v="Medium"/>
    <s v="Good"/>
  </r>
  <r>
    <x v="0"/>
    <x v="4"/>
    <x v="896"/>
    <x v="1"/>
    <s v="West John"/>
    <x v="4"/>
    <n v="27.28"/>
    <n v="69"/>
    <x v="2"/>
    <x v="1"/>
    <s v="UK, China"/>
    <n v="7"/>
    <s v="Medium"/>
    <s v="Average"/>
  </r>
  <r>
    <x v="8"/>
    <x v="11"/>
    <x v="897"/>
    <x v="0"/>
    <s v="Williamsborough"/>
    <x v="3"/>
    <n v="25.41"/>
    <n v="100"/>
    <x v="0"/>
    <x v="1"/>
    <s v="China, Germany, India"/>
    <n v="271"/>
    <s v="Medium"/>
    <s v="Excellent"/>
  </r>
  <r>
    <x v="5"/>
    <x v="6"/>
    <x v="898"/>
    <x v="0"/>
    <s v="West Mariah"/>
    <x v="4"/>
    <n v="36.51"/>
    <n v="83"/>
    <x v="0"/>
    <x v="2"/>
    <s v="Russia"/>
    <n v="352"/>
    <s v="High"/>
    <s v="Good"/>
  </r>
  <r>
    <x v="3"/>
    <x v="25"/>
    <x v="899"/>
    <x v="1"/>
    <s v="South Oscar"/>
    <x v="3"/>
    <n v="6.01"/>
    <n v="52"/>
    <x v="4"/>
    <x v="0"/>
    <s v="Germany"/>
    <n v="76"/>
    <s v="Low"/>
    <s v="Average"/>
  </r>
  <r>
    <x v="9"/>
    <x v="1"/>
    <x v="900"/>
    <x v="1"/>
    <s v="Lindatown"/>
    <x v="2"/>
    <n v="48.7"/>
    <n v="94"/>
    <x v="4"/>
    <x v="0"/>
    <s v="Russia, Germany, Japan"/>
    <n v="91"/>
    <s v="High"/>
    <s v="Excellent"/>
  </r>
  <r>
    <x v="0"/>
    <x v="18"/>
    <x v="901"/>
    <x v="0"/>
    <s v="North Yeseniastad"/>
    <x v="0"/>
    <n v="30.99"/>
    <n v="58"/>
    <x v="3"/>
    <x v="2"/>
    <s v="USA, Japan"/>
    <n v="108"/>
    <s v="Medium"/>
    <s v="Average"/>
  </r>
  <r>
    <x v="1"/>
    <x v="23"/>
    <x v="902"/>
    <x v="0"/>
    <s v="Josephport"/>
    <x v="0"/>
    <n v="20.47"/>
    <n v="98"/>
    <x v="2"/>
    <x v="1"/>
    <s v="Germany, UK"/>
    <n v="262"/>
    <s v="Medium"/>
    <s v="Excellent"/>
  </r>
  <r>
    <x v="9"/>
    <x v="17"/>
    <x v="903"/>
    <x v="0"/>
    <s v="Lake Lori"/>
    <x v="0"/>
    <n v="13.26"/>
    <n v="61"/>
    <x v="2"/>
    <x v="0"/>
    <s v="UK, UAE, Israel"/>
    <n v="33"/>
    <s v="Low"/>
    <s v="Average"/>
  </r>
  <r>
    <x v="6"/>
    <x v="7"/>
    <x v="904"/>
    <x v="0"/>
    <s v="South Sandraland"/>
    <x v="0"/>
    <n v="37.06"/>
    <n v="73"/>
    <x v="4"/>
    <x v="1"/>
    <s v="Israel"/>
    <n v="254"/>
    <s v="High"/>
    <s v="Average"/>
  </r>
  <r>
    <x v="2"/>
    <x v="21"/>
    <x v="905"/>
    <x v="0"/>
    <s v="East Spencer"/>
    <x v="0"/>
    <n v="21.39"/>
    <n v="91"/>
    <x v="4"/>
    <x v="2"/>
    <s v="Japan, Germany, UK"/>
    <n v="358"/>
    <s v="Medium"/>
    <s v="Excellent"/>
  </r>
  <r>
    <x v="6"/>
    <x v="4"/>
    <x v="906"/>
    <x v="1"/>
    <s v="East Sarahmouth"/>
    <x v="1"/>
    <n v="30.08"/>
    <n v="53"/>
    <x v="3"/>
    <x v="0"/>
    <s v="France"/>
    <n v="326"/>
    <s v="Medium"/>
    <s v="Average"/>
  </r>
  <r>
    <x v="9"/>
    <x v="21"/>
    <x v="907"/>
    <x v="0"/>
    <s v="Salasmouth"/>
    <x v="3"/>
    <n v="40.119999999999997"/>
    <n v="87"/>
    <x v="3"/>
    <x v="0"/>
    <s v="Japan, USA, China"/>
    <n v="48"/>
    <s v="High"/>
    <s v="Good"/>
  </r>
  <r>
    <x v="5"/>
    <x v="18"/>
    <x v="908"/>
    <x v="0"/>
    <s v="East Emily"/>
    <x v="3"/>
    <n v="42.75"/>
    <n v="78"/>
    <x v="0"/>
    <x v="0"/>
    <s v="USA, India"/>
    <n v="77"/>
    <s v="High"/>
    <s v="Good"/>
  </r>
  <r>
    <x v="0"/>
    <x v="6"/>
    <x v="909"/>
    <x v="1"/>
    <s v="Port Allenmouth"/>
    <x v="1"/>
    <n v="30.02"/>
    <n v="80"/>
    <x v="1"/>
    <x v="2"/>
    <s v="Israel"/>
    <n v="151"/>
    <s v="Medium"/>
    <s v="Good"/>
  </r>
  <r>
    <x v="7"/>
    <x v="10"/>
    <x v="910"/>
    <x v="1"/>
    <s v="New Sarahbury"/>
    <x v="4"/>
    <n v="43.75"/>
    <n v="66"/>
    <x v="0"/>
    <x v="1"/>
    <s v="Germany, UAE, India"/>
    <n v="277"/>
    <s v="High"/>
    <s v="Average"/>
  </r>
  <r>
    <x v="1"/>
    <x v="3"/>
    <x v="911"/>
    <x v="1"/>
    <s v="Mariomouth"/>
    <x v="1"/>
    <n v="48.61"/>
    <n v="100"/>
    <x v="1"/>
    <x v="0"/>
    <s v="Russia, UAE"/>
    <n v="11"/>
    <s v="High"/>
    <s v="Excellent"/>
  </r>
  <r>
    <x v="4"/>
    <x v="25"/>
    <x v="912"/>
    <x v="0"/>
    <s v="Wallerport"/>
    <x v="1"/>
    <n v="37.299999999999997"/>
    <n v="50"/>
    <x v="4"/>
    <x v="1"/>
    <s v="UAE"/>
    <n v="234"/>
    <s v="High"/>
    <s v="Average"/>
  </r>
  <r>
    <x v="4"/>
    <x v="12"/>
    <x v="913"/>
    <x v="1"/>
    <s v="Shelleyton"/>
    <x v="0"/>
    <n v="16.09"/>
    <n v="60"/>
    <x v="4"/>
    <x v="0"/>
    <s v="France"/>
    <n v="73"/>
    <s v="Medium"/>
    <s v="Average"/>
  </r>
  <r>
    <x v="8"/>
    <x v="25"/>
    <x v="914"/>
    <x v="0"/>
    <s v="Lake Craigfurt"/>
    <x v="0"/>
    <n v="14.22"/>
    <n v="90"/>
    <x v="0"/>
    <x v="0"/>
    <s v="UAE, UK, India"/>
    <n v="95"/>
    <s v="Low"/>
    <s v="Excellent"/>
  </r>
  <r>
    <x v="6"/>
    <x v="4"/>
    <x v="915"/>
    <x v="0"/>
    <s v="Edwardborough"/>
    <x v="0"/>
    <n v="16.73"/>
    <n v="67"/>
    <x v="1"/>
    <x v="1"/>
    <s v="Japan"/>
    <n v="315"/>
    <s v="Medium"/>
    <s v="Average"/>
  </r>
  <r>
    <x v="8"/>
    <x v="23"/>
    <x v="916"/>
    <x v="0"/>
    <s v="Feliciatown"/>
    <x v="1"/>
    <n v="1.42"/>
    <n v="59"/>
    <x v="3"/>
    <x v="1"/>
    <s v="France"/>
    <n v="49"/>
    <s v="Low"/>
    <s v="Average"/>
  </r>
  <r>
    <x v="4"/>
    <x v="25"/>
    <x v="917"/>
    <x v="1"/>
    <s v="Castrobury"/>
    <x v="3"/>
    <n v="46.89"/>
    <n v="51"/>
    <x v="2"/>
    <x v="0"/>
    <s v="France, UK, Russia"/>
    <n v="37"/>
    <s v="High"/>
    <s v="Average"/>
  </r>
  <r>
    <x v="8"/>
    <x v="16"/>
    <x v="918"/>
    <x v="1"/>
    <s v="Port Dawn"/>
    <x v="1"/>
    <n v="33.93"/>
    <n v="91"/>
    <x v="3"/>
    <x v="0"/>
    <s v="UK, USA, UAE"/>
    <n v="169"/>
    <s v="Medium"/>
    <s v="Excellent"/>
  </r>
  <r>
    <x v="3"/>
    <x v="25"/>
    <x v="919"/>
    <x v="1"/>
    <s v="North Ryanport"/>
    <x v="2"/>
    <n v="21.65"/>
    <n v="93"/>
    <x v="4"/>
    <x v="0"/>
    <s v="Russia, Israel"/>
    <n v="223"/>
    <s v="Medium"/>
    <s v="Excellent"/>
  </r>
  <r>
    <x v="9"/>
    <x v="5"/>
    <x v="920"/>
    <x v="0"/>
    <s v="New Kelseychester"/>
    <x v="4"/>
    <n v="4.16"/>
    <n v="56"/>
    <x v="0"/>
    <x v="0"/>
    <s v="France, Russia"/>
    <n v="237"/>
    <s v="Low"/>
    <s v="Average"/>
  </r>
  <r>
    <x v="9"/>
    <x v="4"/>
    <x v="921"/>
    <x v="1"/>
    <s v="Lake Reginald"/>
    <x v="3"/>
    <n v="5.9"/>
    <n v="94"/>
    <x v="1"/>
    <x v="0"/>
    <s v="Israel"/>
    <n v="342"/>
    <s v="Low"/>
    <s v="Excellent"/>
  </r>
  <r>
    <x v="5"/>
    <x v="7"/>
    <x v="922"/>
    <x v="1"/>
    <s v="Fowlertown"/>
    <x v="3"/>
    <n v="41.14"/>
    <n v="96"/>
    <x v="4"/>
    <x v="2"/>
    <s v="France, Germany, Israel"/>
    <n v="113"/>
    <s v="High"/>
    <s v="Excellent"/>
  </r>
  <r>
    <x v="4"/>
    <x v="25"/>
    <x v="923"/>
    <x v="1"/>
    <s v="Port Robin"/>
    <x v="1"/>
    <n v="15.88"/>
    <n v="66"/>
    <x v="2"/>
    <x v="2"/>
    <s v="USA, France"/>
    <n v="148"/>
    <s v="Medium"/>
    <s v="Average"/>
  </r>
  <r>
    <x v="8"/>
    <x v="7"/>
    <x v="924"/>
    <x v="1"/>
    <s v="Wileyview"/>
    <x v="4"/>
    <n v="36.049999999999997"/>
    <n v="61"/>
    <x v="2"/>
    <x v="0"/>
    <s v="India, China"/>
    <n v="224"/>
    <s v="High"/>
    <s v="Average"/>
  </r>
  <r>
    <x v="5"/>
    <x v="9"/>
    <x v="925"/>
    <x v="0"/>
    <s v="Blakemouth"/>
    <x v="4"/>
    <n v="13.06"/>
    <n v="100"/>
    <x v="1"/>
    <x v="1"/>
    <s v="USA, China, UAE"/>
    <n v="162"/>
    <s v="Low"/>
    <s v="Excellent"/>
  </r>
  <r>
    <x v="6"/>
    <x v="8"/>
    <x v="926"/>
    <x v="1"/>
    <s v="Strongmouth"/>
    <x v="2"/>
    <n v="24.52"/>
    <n v="59"/>
    <x v="3"/>
    <x v="0"/>
    <s v="USA, Israel"/>
    <n v="240"/>
    <s v="Medium"/>
    <s v="Average"/>
  </r>
  <r>
    <x v="4"/>
    <x v="13"/>
    <x v="927"/>
    <x v="0"/>
    <s v="South Chaseland"/>
    <x v="1"/>
    <n v="20.6"/>
    <n v="93"/>
    <x v="4"/>
    <x v="0"/>
    <s v="France, India"/>
    <n v="16"/>
    <s v="Medium"/>
    <s v="Excellent"/>
  </r>
  <r>
    <x v="5"/>
    <x v="13"/>
    <x v="928"/>
    <x v="0"/>
    <s v="Port Mark"/>
    <x v="1"/>
    <n v="49.09"/>
    <n v="77"/>
    <x v="2"/>
    <x v="2"/>
    <s v="Germany, UK, Japan"/>
    <n v="159"/>
    <s v="High"/>
    <s v="Good"/>
  </r>
  <r>
    <x v="6"/>
    <x v="10"/>
    <x v="929"/>
    <x v="1"/>
    <s v="Amystad"/>
    <x v="4"/>
    <n v="43.91"/>
    <n v="99"/>
    <x v="3"/>
    <x v="0"/>
    <s v="UK"/>
    <n v="3"/>
    <s v="High"/>
    <s v="Excellent"/>
  </r>
  <r>
    <x v="4"/>
    <x v="3"/>
    <x v="930"/>
    <x v="1"/>
    <s v="Riversfurt"/>
    <x v="2"/>
    <n v="11.57"/>
    <n v="50"/>
    <x v="0"/>
    <x v="1"/>
    <s v="USA"/>
    <n v="182"/>
    <s v="Low"/>
    <s v="Average"/>
  </r>
  <r>
    <x v="2"/>
    <x v="23"/>
    <x v="931"/>
    <x v="1"/>
    <s v="Harrisville"/>
    <x v="4"/>
    <n v="17.579999999999998"/>
    <n v="88"/>
    <x v="3"/>
    <x v="2"/>
    <s v="India"/>
    <n v="158"/>
    <s v="Medium"/>
    <s v="Good"/>
  </r>
  <r>
    <x v="4"/>
    <x v="15"/>
    <x v="932"/>
    <x v="0"/>
    <s v="South Robertview"/>
    <x v="4"/>
    <n v="26.14"/>
    <n v="87"/>
    <x v="1"/>
    <x v="0"/>
    <s v="France, USA, UAE"/>
    <n v="220"/>
    <s v="Medium"/>
    <s v="Good"/>
  </r>
  <r>
    <x v="0"/>
    <x v="3"/>
    <x v="933"/>
    <x v="0"/>
    <s v="New Michael"/>
    <x v="4"/>
    <n v="19.39"/>
    <n v="72"/>
    <x v="4"/>
    <x v="0"/>
    <s v="Japan, Germany, USA"/>
    <n v="135"/>
    <s v="Medium"/>
    <s v="Average"/>
  </r>
  <r>
    <x v="5"/>
    <x v="10"/>
    <x v="934"/>
    <x v="0"/>
    <s v="Josephmouth"/>
    <x v="3"/>
    <n v="23.43"/>
    <n v="76"/>
    <x v="1"/>
    <x v="2"/>
    <s v="USA, India"/>
    <n v="21"/>
    <s v="Medium"/>
    <s v="Good"/>
  </r>
  <r>
    <x v="6"/>
    <x v="5"/>
    <x v="935"/>
    <x v="1"/>
    <s v="Millerbury"/>
    <x v="2"/>
    <n v="11.74"/>
    <n v="91"/>
    <x v="3"/>
    <x v="0"/>
    <s v="Israel, Japan, USA"/>
    <n v="335"/>
    <s v="Low"/>
    <s v="Excellent"/>
  </r>
  <r>
    <x v="8"/>
    <x v="13"/>
    <x v="936"/>
    <x v="1"/>
    <s v="New Timothyshire"/>
    <x v="3"/>
    <n v="28.87"/>
    <n v="88"/>
    <x v="1"/>
    <x v="2"/>
    <s v="Germany, Japan"/>
    <n v="117"/>
    <s v="Medium"/>
    <s v="Good"/>
  </r>
  <r>
    <x v="8"/>
    <x v="8"/>
    <x v="937"/>
    <x v="1"/>
    <s v="West James"/>
    <x v="1"/>
    <n v="18.62"/>
    <n v="67"/>
    <x v="2"/>
    <x v="1"/>
    <s v="Israel, Japan, France"/>
    <n v="156"/>
    <s v="Medium"/>
    <s v="Average"/>
  </r>
  <r>
    <x v="9"/>
    <x v="6"/>
    <x v="938"/>
    <x v="1"/>
    <s v="Garciafurt"/>
    <x v="1"/>
    <n v="45.5"/>
    <n v="85"/>
    <x v="4"/>
    <x v="1"/>
    <s v="Israel, Russia"/>
    <n v="340"/>
    <s v="High"/>
    <s v="Good"/>
  </r>
  <r>
    <x v="0"/>
    <x v="17"/>
    <x v="939"/>
    <x v="0"/>
    <s v="Melissaton"/>
    <x v="0"/>
    <n v="14.93"/>
    <n v="90"/>
    <x v="4"/>
    <x v="1"/>
    <s v="USA, Germany, Israel"/>
    <n v="181"/>
    <s v="Low"/>
    <s v="Excellent"/>
  </r>
  <r>
    <x v="9"/>
    <x v="12"/>
    <x v="940"/>
    <x v="0"/>
    <s v="Douglasland"/>
    <x v="4"/>
    <n v="19.88"/>
    <n v="92"/>
    <x v="0"/>
    <x v="1"/>
    <s v="Russia"/>
    <n v="91"/>
    <s v="Medium"/>
    <s v="Excellent"/>
  </r>
  <r>
    <x v="6"/>
    <x v="4"/>
    <x v="941"/>
    <x v="0"/>
    <s v="Josephton"/>
    <x v="4"/>
    <n v="26.81"/>
    <n v="84"/>
    <x v="4"/>
    <x v="1"/>
    <s v="France"/>
    <n v="327"/>
    <s v="Medium"/>
    <s v="Good"/>
  </r>
  <r>
    <x v="1"/>
    <x v="24"/>
    <x v="942"/>
    <x v="1"/>
    <s v="Port Ethanstad"/>
    <x v="2"/>
    <n v="14.29"/>
    <n v="87"/>
    <x v="2"/>
    <x v="2"/>
    <s v="India, China, UAE"/>
    <n v="106"/>
    <s v="Low"/>
    <s v="Good"/>
  </r>
  <r>
    <x v="1"/>
    <x v="9"/>
    <x v="943"/>
    <x v="1"/>
    <s v="Marymouth"/>
    <x v="0"/>
    <n v="2.8"/>
    <n v="62"/>
    <x v="0"/>
    <x v="2"/>
    <s v="Japan, Israel, India"/>
    <n v="300"/>
    <s v="Low"/>
    <s v="Average"/>
  </r>
  <r>
    <x v="4"/>
    <x v="3"/>
    <x v="944"/>
    <x v="1"/>
    <s v="South David"/>
    <x v="0"/>
    <n v="29.12"/>
    <n v="72"/>
    <x v="1"/>
    <x v="2"/>
    <s v="Israel, Germany"/>
    <n v="365"/>
    <s v="Medium"/>
    <s v="Average"/>
  </r>
  <r>
    <x v="0"/>
    <x v="3"/>
    <x v="945"/>
    <x v="0"/>
    <s v="Mirandashire"/>
    <x v="4"/>
    <n v="1.68"/>
    <n v="54"/>
    <x v="4"/>
    <x v="1"/>
    <s v="Germany, Russia"/>
    <n v="180"/>
    <s v="Low"/>
    <s v="Average"/>
  </r>
  <r>
    <x v="9"/>
    <x v="1"/>
    <x v="946"/>
    <x v="1"/>
    <s v="Williamfurt"/>
    <x v="3"/>
    <n v="6.44"/>
    <n v="84"/>
    <x v="4"/>
    <x v="2"/>
    <s v="Germany, UK, UAE"/>
    <n v="262"/>
    <s v="Low"/>
    <s v="Good"/>
  </r>
  <r>
    <x v="2"/>
    <x v="12"/>
    <x v="947"/>
    <x v="0"/>
    <s v="Lake Danielleland"/>
    <x v="1"/>
    <n v="27.09"/>
    <n v="63"/>
    <x v="3"/>
    <x v="2"/>
    <s v="UK"/>
    <n v="128"/>
    <s v="Medium"/>
    <s v="Average"/>
  </r>
  <r>
    <x v="4"/>
    <x v="3"/>
    <x v="948"/>
    <x v="1"/>
    <s v="Joshuahaven"/>
    <x v="0"/>
    <n v="49.81"/>
    <n v="98"/>
    <x v="0"/>
    <x v="2"/>
    <s v="UK, Germany"/>
    <n v="325"/>
    <s v="High"/>
    <s v="Excellent"/>
  </r>
  <r>
    <x v="2"/>
    <x v="16"/>
    <x v="949"/>
    <x v="0"/>
    <s v="Millerchester"/>
    <x v="0"/>
    <n v="28.65"/>
    <n v="75"/>
    <x v="2"/>
    <x v="1"/>
    <s v="China"/>
    <n v="50"/>
    <s v="Medium"/>
    <s v="Good"/>
  </r>
  <r>
    <x v="4"/>
    <x v="12"/>
    <x v="950"/>
    <x v="1"/>
    <s v="Chadview"/>
    <x v="0"/>
    <n v="9.42"/>
    <n v="86"/>
    <x v="2"/>
    <x v="0"/>
    <s v="UAE"/>
    <n v="176"/>
    <s v="Low"/>
    <s v="Good"/>
  </r>
  <r>
    <x v="3"/>
    <x v="19"/>
    <x v="951"/>
    <x v="0"/>
    <s v="Lake Calvinborough"/>
    <x v="2"/>
    <n v="20.13"/>
    <n v="92"/>
    <x v="1"/>
    <x v="2"/>
    <s v="France"/>
    <n v="149"/>
    <s v="Medium"/>
    <s v="Excellent"/>
  </r>
  <r>
    <x v="7"/>
    <x v="24"/>
    <x v="952"/>
    <x v="0"/>
    <s v="Andersonland"/>
    <x v="0"/>
    <n v="28.65"/>
    <n v="57"/>
    <x v="2"/>
    <x v="2"/>
    <s v="Japan"/>
    <n v="142"/>
    <s v="Medium"/>
    <s v="Average"/>
  </r>
  <r>
    <x v="0"/>
    <x v="21"/>
    <x v="953"/>
    <x v="0"/>
    <s v="Murphyview"/>
    <x v="2"/>
    <n v="6.32"/>
    <n v="91"/>
    <x v="2"/>
    <x v="2"/>
    <s v="USA"/>
    <n v="355"/>
    <s v="Low"/>
    <s v="Excellent"/>
  </r>
  <r>
    <x v="1"/>
    <x v="12"/>
    <x v="954"/>
    <x v="1"/>
    <s v="New Stephanie"/>
    <x v="1"/>
    <n v="44.98"/>
    <n v="91"/>
    <x v="4"/>
    <x v="2"/>
    <s v="UK, Japan"/>
    <n v="202"/>
    <s v="High"/>
    <s v="Excellent"/>
  </r>
  <r>
    <x v="0"/>
    <x v="24"/>
    <x v="955"/>
    <x v="0"/>
    <s v="Joelhaven"/>
    <x v="1"/>
    <n v="4.17"/>
    <n v="75"/>
    <x v="1"/>
    <x v="1"/>
    <s v="Russia, UK, UAE"/>
    <n v="17"/>
    <s v="Low"/>
    <s v="Good"/>
  </r>
  <r>
    <x v="6"/>
    <x v="5"/>
    <x v="956"/>
    <x v="0"/>
    <s v="East Aprilville"/>
    <x v="4"/>
    <n v="45.8"/>
    <n v="61"/>
    <x v="2"/>
    <x v="2"/>
    <s v="France, UK, Germany"/>
    <n v="354"/>
    <s v="High"/>
    <s v="Average"/>
  </r>
  <r>
    <x v="5"/>
    <x v="8"/>
    <x v="957"/>
    <x v="1"/>
    <s v="Taylorberg"/>
    <x v="2"/>
    <n v="11.02"/>
    <n v="84"/>
    <x v="0"/>
    <x v="0"/>
    <s v="Germany, USA, UK"/>
    <n v="76"/>
    <s v="Low"/>
    <s v="Good"/>
  </r>
  <r>
    <x v="8"/>
    <x v="3"/>
    <x v="958"/>
    <x v="0"/>
    <s v="Port Lawrenceburgh"/>
    <x v="1"/>
    <n v="11.43"/>
    <n v="64"/>
    <x v="0"/>
    <x v="1"/>
    <s v="China"/>
    <n v="350"/>
    <s v="Low"/>
    <s v="Average"/>
  </r>
  <r>
    <x v="8"/>
    <x v="7"/>
    <x v="959"/>
    <x v="1"/>
    <s v="North Paula"/>
    <x v="0"/>
    <n v="31.07"/>
    <n v="76"/>
    <x v="0"/>
    <x v="0"/>
    <s v="Germany"/>
    <n v="174"/>
    <s v="Medium"/>
    <s v="Good"/>
  </r>
  <r>
    <x v="7"/>
    <x v="0"/>
    <x v="960"/>
    <x v="0"/>
    <s v="East Michaelachester"/>
    <x v="1"/>
    <n v="18.329999999999998"/>
    <n v="88"/>
    <x v="3"/>
    <x v="2"/>
    <s v="Israel"/>
    <n v="260"/>
    <s v="Medium"/>
    <s v="Good"/>
  </r>
  <r>
    <x v="2"/>
    <x v="6"/>
    <x v="961"/>
    <x v="0"/>
    <s v="Foxbury"/>
    <x v="1"/>
    <n v="26.09"/>
    <n v="65"/>
    <x v="1"/>
    <x v="1"/>
    <s v="Japan, Russia, USA"/>
    <n v="104"/>
    <s v="Medium"/>
    <s v="Average"/>
  </r>
  <r>
    <x v="7"/>
    <x v="16"/>
    <x v="962"/>
    <x v="0"/>
    <s v="Hooperstad"/>
    <x v="3"/>
    <n v="49.6"/>
    <n v="70"/>
    <x v="3"/>
    <x v="0"/>
    <s v="UK, UAE"/>
    <n v="146"/>
    <s v="High"/>
    <s v="Average"/>
  </r>
  <r>
    <x v="3"/>
    <x v="14"/>
    <x v="963"/>
    <x v="1"/>
    <s v="Lake Matthewtown"/>
    <x v="1"/>
    <n v="7.97"/>
    <n v="83"/>
    <x v="3"/>
    <x v="0"/>
    <s v="France"/>
    <n v="89"/>
    <s v="Low"/>
    <s v="Good"/>
  </r>
  <r>
    <x v="1"/>
    <x v="22"/>
    <x v="964"/>
    <x v="1"/>
    <s v="South Derrick"/>
    <x v="4"/>
    <n v="4.32"/>
    <n v="69"/>
    <x v="4"/>
    <x v="2"/>
    <s v="UK, UAE"/>
    <n v="197"/>
    <s v="Low"/>
    <s v="Average"/>
  </r>
  <r>
    <x v="1"/>
    <x v="14"/>
    <x v="965"/>
    <x v="0"/>
    <s v="Cobbhaven"/>
    <x v="0"/>
    <n v="46.3"/>
    <n v="62"/>
    <x v="1"/>
    <x v="1"/>
    <s v="UK, Russia, Germany"/>
    <n v="140"/>
    <s v="High"/>
    <s v="Average"/>
  </r>
  <r>
    <x v="7"/>
    <x v="10"/>
    <x v="966"/>
    <x v="1"/>
    <s v="Thompsonfurt"/>
    <x v="4"/>
    <n v="48.26"/>
    <n v="90"/>
    <x v="4"/>
    <x v="0"/>
    <s v="France, USA, UK"/>
    <n v="348"/>
    <s v="High"/>
    <s v="Excellent"/>
  </r>
  <r>
    <x v="5"/>
    <x v="5"/>
    <x v="967"/>
    <x v="1"/>
    <s v="New Gregory"/>
    <x v="3"/>
    <n v="11.21"/>
    <n v="75"/>
    <x v="0"/>
    <x v="0"/>
    <s v="Israel, France, China"/>
    <n v="190"/>
    <s v="Low"/>
    <s v="Good"/>
  </r>
  <r>
    <x v="1"/>
    <x v="5"/>
    <x v="968"/>
    <x v="1"/>
    <s v="Richardland"/>
    <x v="3"/>
    <n v="43.06"/>
    <n v="92"/>
    <x v="2"/>
    <x v="2"/>
    <s v="Russia, Germany, UK"/>
    <n v="34"/>
    <s v="High"/>
    <s v="Excellent"/>
  </r>
  <r>
    <x v="8"/>
    <x v="7"/>
    <x v="969"/>
    <x v="1"/>
    <s v="Valeriemouth"/>
    <x v="1"/>
    <n v="31.83"/>
    <n v="72"/>
    <x v="1"/>
    <x v="2"/>
    <s v="Israel, UAE, Russia"/>
    <n v="87"/>
    <s v="Medium"/>
    <s v="Average"/>
  </r>
  <r>
    <x v="2"/>
    <x v="10"/>
    <x v="970"/>
    <x v="0"/>
    <s v="Port Loriborough"/>
    <x v="2"/>
    <n v="43.64"/>
    <n v="96"/>
    <x v="4"/>
    <x v="2"/>
    <s v="USA"/>
    <n v="322"/>
    <s v="High"/>
    <s v="Excellent"/>
  </r>
  <r>
    <x v="3"/>
    <x v="9"/>
    <x v="971"/>
    <x v="0"/>
    <s v="Edwardton"/>
    <x v="3"/>
    <n v="14.7"/>
    <n v="87"/>
    <x v="0"/>
    <x v="2"/>
    <s v="UK, Japan"/>
    <n v="297"/>
    <s v="Low"/>
    <s v="Good"/>
  </r>
  <r>
    <x v="7"/>
    <x v="8"/>
    <x v="972"/>
    <x v="0"/>
    <s v="New Loriberg"/>
    <x v="3"/>
    <n v="30.88"/>
    <n v="67"/>
    <x v="1"/>
    <x v="0"/>
    <s v="France, USA, Israel"/>
    <n v="355"/>
    <s v="Medium"/>
    <s v="Average"/>
  </r>
  <r>
    <x v="8"/>
    <x v="24"/>
    <x v="973"/>
    <x v="1"/>
    <s v="Benjaminchester"/>
    <x v="2"/>
    <n v="14.49"/>
    <n v="76"/>
    <x v="4"/>
    <x v="1"/>
    <s v="Germany, UAE, Japan"/>
    <n v="195"/>
    <s v="Low"/>
    <s v="Good"/>
  </r>
  <r>
    <x v="2"/>
    <x v="13"/>
    <x v="974"/>
    <x v="1"/>
    <s v="Vickiville"/>
    <x v="2"/>
    <n v="6.14"/>
    <n v="82"/>
    <x v="2"/>
    <x v="1"/>
    <s v="Japan, France, China"/>
    <n v="72"/>
    <s v="Low"/>
    <s v="Good"/>
  </r>
  <r>
    <x v="0"/>
    <x v="1"/>
    <x v="975"/>
    <x v="1"/>
    <s v="Port Jamesberg"/>
    <x v="1"/>
    <n v="48.72"/>
    <n v="61"/>
    <x v="0"/>
    <x v="0"/>
    <s v="UK, Germany"/>
    <n v="158"/>
    <s v="High"/>
    <s v="Average"/>
  </r>
  <r>
    <x v="4"/>
    <x v="0"/>
    <x v="976"/>
    <x v="0"/>
    <s v="Connorland"/>
    <x v="2"/>
    <n v="7.76"/>
    <n v="51"/>
    <x v="0"/>
    <x v="0"/>
    <s v="Israel, Japan, Russia"/>
    <n v="54"/>
    <s v="Low"/>
    <s v="Average"/>
  </r>
  <r>
    <x v="5"/>
    <x v="3"/>
    <x v="977"/>
    <x v="1"/>
    <s v="Randyshire"/>
    <x v="2"/>
    <n v="44.97"/>
    <n v="93"/>
    <x v="3"/>
    <x v="2"/>
    <s v="Israel, USA"/>
    <n v="331"/>
    <s v="High"/>
    <s v="Excellent"/>
  </r>
  <r>
    <x v="6"/>
    <x v="13"/>
    <x v="978"/>
    <x v="0"/>
    <s v="New Michaelafurt"/>
    <x v="3"/>
    <n v="25.63"/>
    <n v="52"/>
    <x v="3"/>
    <x v="1"/>
    <s v="Russia, Germany, India"/>
    <n v="83"/>
    <s v="Medium"/>
    <s v="Average"/>
  </r>
  <r>
    <x v="7"/>
    <x v="1"/>
    <x v="979"/>
    <x v="0"/>
    <s v="Maciasborough"/>
    <x v="4"/>
    <n v="22.08"/>
    <n v="89"/>
    <x v="4"/>
    <x v="0"/>
    <s v="Germany"/>
    <n v="139"/>
    <s v="Medium"/>
    <s v="Good"/>
  </r>
  <r>
    <x v="7"/>
    <x v="12"/>
    <x v="980"/>
    <x v="1"/>
    <s v="North Amyville"/>
    <x v="0"/>
    <n v="33.130000000000003"/>
    <n v="55"/>
    <x v="1"/>
    <x v="0"/>
    <s v="China, France, USA"/>
    <n v="85"/>
    <s v="Medium"/>
    <s v="Average"/>
  </r>
  <r>
    <x v="2"/>
    <x v="16"/>
    <x v="981"/>
    <x v="0"/>
    <s v="West Sharon"/>
    <x v="4"/>
    <n v="15.58"/>
    <n v="85"/>
    <x v="0"/>
    <x v="1"/>
    <s v="USA"/>
    <n v="204"/>
    <s v="Medium"/>
    <s v="Good"/>
  </r>
  <r>
    <x v="7"/>
    <x v="3"/>
    <x v="982"/>
    <x v="1"/>
    <s v="Heathershire"/>
    <x v="4"/>
    <n v="29.92"/>
    <n v="87"/>
    <x v="1"/>
    <x v="2"/>
    <s v="India, Israel, France"/>
    <n v="91"/>
    <s v="Medium"/>
    <s v="Good"/>
  </r>
  <r>
    <x v="1"/>
    <x v="16"/>
    <x v="983"/>
    <x v="1"/>
    <s v="Briannaside"/>
    <x v="2"/>
    <n v="25.68"/>
    <n v="85"/>
    <x v="1"/>
    <x v="0"/>
    <s v="Russia"/>
    <n v="73"/>
    <s v="Medium"/>
    <s v="Good"/>
  </r>
  <r>
    <x v="1"/>
    <x v="21"/>
    <x v="984"/>
    <x v="1"/>
    <s v="Deborahmouth"/>
    <x v="3"/>
    <n v="32.729999999999997"/>
    <n v="96"/>
    <x v="0"/>
    <x v="0"/>
    <s v="Russia"/>
    <n v="14"/>
    <s v="Medium"/>
    <s v="Excellent"/>
  </r>
  <r>
    <x v="4"/>
    <x v="19"/>
    <x v="985"/>
    <x v="0"/>
    <s v="North Nicole"/>
    <x v="4"/>
    <n v="7.19"/>
    <n v="97"/>
    <x v="2"/>
    <x v="2"/>
    <s v="China, Germany, Japan"/>
    <n v="192"/>
    <s v="Low"/>
    <s v="Excellent"/>
  </r>
  <r>
    <x v="3"/>
    <x v="16"/>
    <x v="986"/>
    <x v="1"/>
    <s v="Charlesberg"/>
    <x v="2"/>
    <n v="32.22"/>
    <n v="66"/>
    <x v="0"/>
    <x v="2"/>
    <s v="USA, China, Japan"/>
    <n v="127"/>
    <s v="Medium"/>
    <s v="Average"/>
  </r>
  <r>
    <x v="0"/>
    <x v="2"/>
    <x v="987"/>
    <x v="1"/>
    <s v="East Annette"/>
    <x v="3"/>
    <n v="24.62"/>
    <n v="92"/>
    <x v="3"/>
    <x v="1"/>
    <s v="Israel"/>
    <n v="254"/>
    <s v="Medium"/>
    <s v="Excellent"/>
  </r>
  <r>
    <x v="9"/>
    <x v="18"/>
    <x v="988"/>
    <x v="0"/>
    <s v="Larabury"/>
    <x v="4"/>
    <n v="49.87"/>
    <n v="76"/>
    <x v="2"/>
    <x v="1"/>
    <s v="China"/>
    <n v="356"/>
    <s v="High"/>
    <s v="Good"/>
  </r>
  <r>
    <x v="1"/>
    <x v="18"/>
    <x v="989"/>
    <x v="0"/>
    <s v="Moniquestad"/>
    <x v="1"/>
    <n v="2.61"/>
    <n v="73"/>
    <x v="0"/>
    <x v="0"/>
    <s v="China"/>
    <n v="137"/>
    <s v="Low"/>
    <s v="Average"/>
  </r>
  <r>
    <x v="2"/>
    <x v="21"/>
    <x v="990"/>
    <x v="1"/>
    <s v="North Samuelstad"/>
    <x v="4"/>
    <n v="9.7799999999999994"/>
    <n v="88"/>
    <x v="2"/>
    <x v="0"/>
    <s v="China"/>
    <n v="290"/>
    <s v="Low"/>
    <s v="Good"/>
  </r>
  <r>
    <x v="4"/>
    <x v="2"/>
    <x v="991"/>
    <x v="0"/>
    <s v="East Matthew"/>
    <x v="4"/>
    <n v="44.73"/>
    <n v="94"/>
    <x v="0"/>
    <x v="2"/>
    <s v="India, UK, Russia"/>
    <n v="360"/>
    <s v="High"/>
    <s v="Excellent"/>
  </r>
  <r>
    <x v="2"/>
    <x v="24"/>
    <x v="992"/>
    <x v="1"/>
    <s v="Brownborough"/>
    <x v="3"/>
    <n v="20.440000000000001"/>
    <n v="61"/>
    <x v="1"/>
    <x v="0"/>
    <s v="India"/>
    <n v="299"/>
    <s v="Medium"/>
    <s v="Average"/>
  </r>
  <r>
    <x v="2"/>
    <x v="3"/>
    <x v="993"/>
    <x v="1"/>
    <s v="Jacobbury"/>
    <x v="0"/>
    <n v="22.24"/>
    <n v="93"/>
    <x v="3"/>
    <x v="1"/>
    <s v="USA, Japan"/>
    <n v="207"/>
    <s v="Medium"/>
    <s v="Excellent"/>
  </r>
  <r>
    <x v="8"/>
    <x v="24"/>
    <x v="994"/>
    <x v="1"/>
    <s v="Victorialand"/>
    <x v="4"/>
    <n v="23.48"/>
    <n v="100"/>
    <x v="4"/>
    <x v="0"/>
    <s v="Israel"/>
    <n v="49"/>
    <s v="Medium"/>
    <s v="Excellent"/>
  </r>
  <r>
    <x v="0"/>
    <x v="12"/>
    <x v="995"/>
    <x v="1"/>
    <s v="Smithville"/>
    <x v="2"/>
    <n v="25.34"/>
    <n v="67"/>
    <x v="2"/>
    <x v="1"/>
    <s v="China, Russia"/>
    <n v="125"/>
    <s v="Medium"/>
    <s v="Average"/>
  </r>
  <r>
    <x v="1"/>
    <x v="20"/>
    <x v="996"/>
    <x v="0"/>
    <s v="Jeffreyfort"/>
    <x v="2"/>
    <n v="1.57"/>
    <n v="88"/>
    <x v="3"/>
    <x v="0"/>
    <s v="USA, India, Israel"/>
    <n v="115"/>
    <s v="Low"/>
    <s v="Good"/>
  </r>
  <r>
    <x v="7"/>
    <x v="10"/>
    <x v="997"/>
    <x v="1"/>
    <s v="Smithberg"/>
    <x v="4"/>
    <n v="12.75"/>
    <n v="82"/>
    <x v="1"/>
    <x v="0"/>
    <s v="Germany"/>
    <n v="339"/>
    <s v="Low"/>
    <s v="Good"/>
  </r>
  <r>
    <x v="8"/>
    <x v="11"/>
    <x v="998"/>
    <x v="0"/>
    <s v="Pierceborough"/>
    <x v="3"/>
    <n v="19.38"/>
    <n v="97"/>
    <x v="1"/>
    <x v="1"/>
    <s v="Israel, Japan, Germany"/>
    <n v="230"/>
    <s v="Medium"/>
    <s v="Excellent"/>
  </r>
  <r>
    <x v="1"/>
    <x v="5"/>
    <x v="999"/>
    <x v="0"/>
    <s v="West Robert"/>
    <x v="1"/>
    <n v="6.67"/>
    <n v="83"/>
    <x v="1"/>
    <x v="0"/>
    <s v="France, China, UAE"/>
    <n v="197"/>
    <s v="Low"/>
    <s v="Good"/>
  </r>
  <r>
    <x v="4"/>
    <x v="0"/>
    <x v="1000"/>
    <x v="0"/>
    <s v="Patrickview"/>
    <x v="3"/>
    <n v="46.47"/>
    <n v="62"/>
    <x v="4"/>
    <x v="1"/>
    <s v="Germany"/>
    <n v="281"/>
    <s v="High"/>
    <s v="Average"/>
  </r>
  <r>
    <x v="6"/>
    <x v="8"/>
    <x v="1001"/>
    <x v="1"/>
    <s v="Fisherview"/>
    <x v="1"/>
    <n v="13.91"/>
    <n v="97"/>
    <x v="3"/>
    <x v="1"/>
    <s v="Germany, UAE, USA"/>
    <n v="128"/>
    <s v="Low"/>
    <s v="Excellent"/>
  </r>
  <r>
    <x v="3"/>
    <x v="9"/>
    <x v="1002"/>
    <x v="0"/>
    <s v="Blankenshipbury"/>
    <x v="4"/>
    <n v="23.12"/>
    <n v="91"/>
    <x v="0"/>
    <x v="0"/>
    <s v="Russia, USA, UK"/>
    <n v="91"/>
    <s v="Medium"/>
    <s v="Excellent"/>
  </r>
  <r>
    <x v="0"/>
    <x v="1"/>
    <x v="1003"/>
    <x v="0"/>
    <s v="Lake Brian"/>
    <x v="0"/>
    <n v="34.4"/>
    <n v="97"/>
    <x v="4"/>
    <x v="2"/>
    <s v="UK, Germany"/>
    <n v="6"/>
    <s v="Medium"/>
    <s v="Excellent"/>
  </r>
  <r>
    <x v="2"/>
    <x v="16"/>
    <x v="1004"/>
    <x v="1"/>
    <s v="Carrieberg"/>
    <x v="3"/>
    <n v="7.63"/>
    <n v="100"/>
    <x v="3"/>
    <x v="2"/>
    <s v="Russia, Germany, UAE"/>
    <n v="44"/>
    <s v="Low"/>
    <s v="Excellent"/>
  </r>
  <r>
    <x v="0"/>
    <x v="1"/>
    <x v="1005"/>
    <x v="0"/>
    <s v="Port Mandyberg"/>
    <x v="3"/>
    <n v="37.31"/>
    <n v="76"/>
    <x v="4"/>
    <x v="2"/>
    <s v="India"/>
    <n v="259"/>
    <s v="High"/>
    <s v="Good"/>
  </r>
  <r>
    <x v="3"/>
    <x v="21"/>
    <x v="1006"/>
    <x v="1"/>
    <s v="East Megan"/>
    <x v="1"/>
    <n v="11.11"/>
    <n v="63"/>
    <x v="4"/>
    <x v="0"/>
    <s v="UAE"/>
    <n v="61"/>
    <s v="Low"/>
    <s v="Average"/>
  </r>
  <r>
    <x v="9"/>
    <x v="3"/>
    <x v="1007"/>
    <x v="1"/>
    <s v="Josephhaven"/>
    <x v="4"/>
    <n v="30.77"/>
    <n v="99"/>
    <x v="4"/>
    <x v="0"/>
    <s v="Russia"/>
    <n v="148"/>
    <s v="Medium"/>
    <s v="Excellent"/>
  </r>
  <r>
    <x v="9"/>
    <x v="25"/>
    <x v="1008"/>
    <x v="1"/>
    <s v="Carolton"/>
    <x v="3"/>
    <n v="37.46"/>
    <n v="89"/>
    <x v="4"/>
    <x v="2"/>
    <s v="China, UK"/>
    <n v="45"/>
    <s v="High"/>
    <s v="Good"/>
  </r>
  <r>
    <x v="1"/>
    <x v="4"/>
    <x v="1009"/>
    <x v="1"/>
    <s v="Markport"/>
    <x v="2"/>
    <n v="9.19"/>
    <n v="53"/>
    <x v="3"/>
    <x v="1"/>
    <s v="Japan, Israel, UK"/>
    <n v="251"/>
    <s v="Low"/>
    <s v="Average"/>
  </r>
  <r>
    <x v="7"/>
    <x v="14"/>
    <x v="1010"/>
    <x v="0"/>
    <s v="Michelleside"/>
    <x v="0"/>
    <n v="19.48"/>
    <n v="98"/>
    <x v="0"/>
    <x v="2"/>
    <s v="China, UAE, Germany"/>
    <n v="316"/>
    <s v="Medium"/>
    <s v="Excellent"/>
  </r>
  <r>
    <x v="1"/>
    <x v="8"/>
    <x v="1011"/>
    <x v="1"/>
    <s v="Brianahaven"/>
    <x v="2"/>
    <n v="19.61"/>
    <n v="88"/>
    <x v="0"/>
    <x v="0"/>
    <s v="UAE"/>
    <n v="33"/>
    <s v="Medium"/>
    <s v="Good"/>
  </r>
  <r>
    <x v="2"/>
    <x v="10"/>
    <x v="1012"/>
    <x v="0"/>
    <s v="Michaelbury"/>
    <x v="4"/>
    <n v="36.58"/>
    <n v="72"/>
    <x v="2"/>
    <x v="1"/>
    <s v="USA, UAE, Japan"/>
    <n v="234"/>
    <s v="High"/>
    <s v="Average"/>
  </r>
  <r>
    <x v="4"/>
    <x v="23"/>
    <x v="1013"/>
    <x v="1"/>
    <s v="Randolphshire"/>
    <x v="4"/>
    <n v="28.33"/>
    <n v="62"/>
    <x v="2"/>
    <x v="0"/>
    <s v="France, China, UAE"/>
    <n v="156"/>
    <s v="Medium"/>
    <s v="Average"/>
  </r>
  <r>
    <x v="1"/>
    <x v="21"/>
    <x v="1014"/>
    <x v="1"/>
    <s v="South Donaldborough"/>
    <x v="1"/>
    <n v="13.2"/>
    <n v="94"/>
    <x v="1"/>
    <x v="0"/>
    <s v="UK, Japan, UAE"/>
    <n v="221"/>
    <s v="Low"/>
    <s v="Excellent"/>
  </r>
  <r>
    <x v="0"/>
    <x v="10"/>
    <x v="1015"/>
    <x v="1"/>
    <s v="South Sarah"/>
    <x v="4"/>
    <n v="14.75"/>
    <n v="69"/>
    <x v="2"/>
    <x v="1"/>
    <s v="Israel"/>
    <n v="304"/>
    <s v="Low"/>
    <s v="Average"/>
  </r>
  <r>
    <x v="5"/>
    <x v="8"/>
    <x v="1016"/>
    <x v="1"/>
    <s v="Wendyside"/>
    <x v="3"/>
    <n v="46.97"/>
    <n v="68"/>
    <x v="1"/>
    <x v="2"/>
    <s v="India, UAE"/>
    <n v="198"/>
    <s v="High"/>
    <s v="Average"/>
  </r>
  <r>
    <x v="0"/>
    <x v="20"/>
    <x v="1017"/>
    <x v="1"/>
    <s v="East Bridget"/>
    <x v="4"/>
    <n v="13.57"/>
    <n v="82"/>
    <x v="2"/>
    <x v="2"/>
    <s v="India, Germany"/>
    <n v="293"/>
    <s v="Low"/>
    <s v="Good"/>
  </r>
  <r>
    <x v="2"/>
    <x v="21"/>
    <x v="1018"/>
    <x v="0"/>
    <s v="Reidland"/>
    <x v="4"/>
    <n v="42.56"/>
    <n v="100"/>
    <x v="2"/>
    <x v="1"/>
    <s v="China"/>
    <n v="331"/>
    <s v="High"/>
    <s v="Excellent"/>
  </r>
  <r>
    <x v="8"/>
    <x v="10"/>
    <x v="1019"/>
    <x v="1"/>
    <s v="South Donald"/>
    <x v="2"/>
    <n v="8.0500000000000007"/>
    <n v="91"/>
    <x v="1"/>
    <x v="2"/>
    <s v="India"/>
    <n v="45"/>
    <s v="Low"/>
    <s v="Excellent"/>
  </r>
  <r>
    <x v="0"/>
    <x v="0"/>
    <x v="1020"/>
    <x v="0"/>
    <s v="Ericchester"/>
    <x v="4"/>
    <n v="24.31"/>
    <n v="54"/>
    <x v="3"/>
    <x v="2"/>
    <s v="India, UAE"/>
    <n v="301"/>
    <s v="Medium"/>
    <s v="Average"/>
  </r>
  <r>
    <x v="2"/>
    <x v="19"/>
    <x v="1021"/>
    <x v="0"/>
    <s v="Lake Jackside"/>
    <x v="2"/>
    <n v="41.36"/>
    <n v="84"/>
    <x v="1"/>
    <x v="0"/>
    <s v="Russia"/>
    <n v="17"/>
    <s v="High"/>
    <s v="Good"/>
  </r>
  <r>
    <x v="5"/>
    <x v="8"/>
    <x v="1022"/>
    <x v="1"/>
    <s v="Port David"/>
    <x v="3"/>
    <n v="45.13"/>
    <n v="76"/>
    <x v="0"/>
    <x v="1"/>
    <s v="Israel, Germany"/>
    <n v="328"/>
    <s v="High"/>
    <s v="Good"/>
  </r>
  <r>
    <x v="9"/>
    <x v="11"/>
    <x v="1023"/>
    <x v="0"/>
    <s v="Clementsfurt"/>
    <x v="1"/>
    <n v="36.15"/>
    <n v="78"/>
    <x v="0"/>
    <x v="1"/>
    <s v="France, Israel, UAE"/>
    <n v="55"/>
    <s v="High"/>
    <s v="Good"/>
  </r>
  <r>
    <x v="9"/>
    <x v="24"/>
    <x v="1024"/>
    <x v="0"/>
    <s v="South Karen"/>
    <x v="2"/>
    <n v="20.62"/>
    <n v="67"/>
    <x v="2"/>
    <x v="1"/>
    <s v="USA, France"/>
    <n v="158"/>
    <s v="Medium"/>
    <s v="Average"/>
  </r>
  <r>
    <x v="4"/>
    <x v="5"/>
    <x v="1025"/>
    <x v="1"/>
    <s v="South Jimmy"/>
    <x v="2"/>
    <n v="17.989999999999998"/>
    <n v="92"/>
    <x v="0"/>
    <x v="2"/>
    <s v="France, UK, Germany"/>
    <n v="287"/>
    <s v="Medium"/>
    <s v="Excellent"/>
  </r>
  <r>
    <x v="1"/>
    <x v="13"/>
    <x v="1026"/>
    <x v="1"/>
    <s v="East Arthurside"/>
    <x v="2"/>
    <n v="4.05"/>
    <n v="55"/>
    <x v="0"/>
    <x v="2"/>
    <s v="China"/>
    <n v="240"/>
    <s v="Low"/>
    <s v="Average"/>
  </r>
  <r>
    <x v="6"/>
    <x v="11"/>
    <x v="1027"/>
    <x v="0"/>
    <s v="West Douglas"/>
    <x v="1"/>
    <n v="27.68"/>
    <n v="98"/>
    <x v="3"/>
    <x v="1"/>
    <s v="France, India, Russia"/>
    <n v="265"/>
    <s v="Medium"/>
    <s v="Excellent"/>
  </r>
  <r>
    <x v="4"/>
    <x v="0"/>
    <x v="1028"/>
    <x v="0"/>
    <s v="Carterberg"/>
    <x v="1"/>
    <n v="24.7"/>
    <n v="86"/>
    <x v="2"/>
    <x v="0"/>
    <s v="USA, Russia, China"/>
    <n v="300"/>
    <s v="Medium"/>
    <s v="Good"/>
  </r>
  <r>
    <x v="8"/>
    <x v="21"/>
    <x v="1029"/>
    <x v="1"/>
    <s v="Anthonymouth"/>
    <x v="2"/>
    <n v="19.43"/>
    <n v="81"/>
    <x v="0"/>
    <x v="0"/>
    <s v="USA, Israel, India"/>
    <n v="153"/>
    <s v="Medium"/>
    <s v="Good"/>
  </r>
  <r>
    <x v="7"/>
    <x v="15"/>
    <x v="1030"/>
    <x v="1"/>
    <s v="East Jill"/>
    <x v="2"/>
    <n v="32.67"/>
    <n v="92"/>
    <x v="3"/>
    <x v="2"/>
    <s v="India, Germany, Israel"/>
    <n v="215"/>
    <s v="Medium"/>
    <s v="Excellent"/>
  </r>
  <r>
    <x v="4"/>
    <x v="23"/>
    <x v="1031"/>
    <x v="0"/>
    <s v="South Susanmouth"/>
    <x v="1"/>
    <n v="31.61"/>
    <n v="55"/>
    <x v="0"/>
    <x v="0"/>
    <s v="Israel"/>
    <n v="23"/>
    <s v="Medium"/>
    <s v="Average"/>
  </r>
  <r>
    <x v="8"/>
    <x v="9"/>
    <x v="1032"/>
    <x v="1"/>
    <s v="West Scott"/>
    <x v="2"/>
    <n v="28.92"/>
    <n v="80"/>
    <x v="1"/>
    <x v="2"/>
    <s v="India"/>
    <n v="67"/>
    <s v="Medium"/>
    <s v="Good"/>
  </r>
  <r>
    <x v="4"/>
    <x v="22"/>
    <x v="1033"/>
    <x v="0"/>
    <s v="South Brian"/>
    <x v="1"/>
    <n v="36.549999999999997"/>
    <n v="95"/>
    <x v="1"/>
    <x v="2"/>
    <s v="Japan"/>
    <n v="70"/>
    <s v="High"/>
    <s v="Excellent"/>
  </r>
  <r>
    <x v="6"/>
    <x v="17"/>
    <x v="1034"/>
    <x v="0"/>
    <s v="Carsonside"/>
    <x v="0"/>
    <n v="11.42"/>
    <n v="72"/>
    <x v="3"/>
    <x v="1"/>
    <s v="USA, UK"/>
    <n v="349"/>
    <s v="Low"/>
    <s v="Average"/>
  </r>
  <r>
    <x v="9"/>
    <x v="16"/>
    <x v="1035"/>
    <x v="0"/>
    <s v="New Danielton"/>
    <x v="3"/>
    <n v="10.89"/>
    <n v="87"/>
    <x v="0"/>
    <x v="0"/>
    <s v="Germany, India"/>
    <n v="197"/>
    <s v="Low"/>
    <s v="Good"/>
  </r>
  <r>
    <x v="6"/>
    <x v="22"/>
    <x v="1036"/>
    <x v="0"/>
    <s v="West Ryanborough"/>
    <x v="4"/>
    <n v="25.59"/>
    <n v="73"/>
    <x v="4"/>
    <x v="2"/>
    <s v="France, India"/>
    <n v="94"/>
    <s v="Medium"/>
    <s v="Average"/>
  </r>
  <r>
    <x v="1"/>
    <x v="21"/>
    <x v="1037"/>
    <x v="1"/>
    <s v="Michaelhaven"/>
    <x v="4"/>
    <n v="28.33"/>
    <n v="76"/>
    <x v="3"/>
    <x v="1"/>
    <s v="India, France"/>
    <n v="311"/>
    <s v="Medium"/>
    <s v="Good"/>
  </r>
  <r>
    <x v="6"/>
    <x v="17"/>
    <x v="1038"/>
    <x v="0"/>
    <s v="Daystad"/>
    <x v="2"/>
    <n v="18.66"/>
    <n v="62"/>
    <x v="2"/>
    <x v="0"/>
    <s v="Japan, India"/>
    <n v="198"/>
    <s v="Medium"/>
    <s v="Average"/>
  </r>
  <r>
    <x v="1"/>
    <x v="4"/>
    <x v="1039"/>
    <x v="1"/>
    <s v="West Richard"/>
    <x v="1"/>
    <n v="43.54"/>
    <n v="56"/>
    <x v="1"/>
    <x v="1"/>
    <s v="China"/>
    <n v="168"/>
    <s v="High"/>
    <s v="Average"/>
  </r>
  <r>
    <x v="2"/>
    <x v="6"/>
    <x v="1040"/>
    <x v="1"/>
    <s v="Keithfort"/>
    <x v="0"/>
    <n v="38.520000000000003"/>
    <n v="59"/>
    <x v="2"/>
    <x v="0"/>
    <s v="India, UK, USA"/>
    <n v="343"/>
    <s v="High"/>
    <s v="Average"/>
  </r>
  <r>
    <x v="5"/>
    <x v="7"/>
    <x v="1041"/>
    <x v="0"/>
    <s v="Frostborough"/>
    <x v="1"/>
    <n v="2.2000000000000002"/>
    <n v="62"/>
    <x v="2"/>
    <x v="1"/>
    <s v="USA, France, China"/>
    <n v="126"/>
    <s v="Low"/>
    <s v="Average"/>
  </r>
  <r>
    <x v="8"/>
    <x v="21"/>
    <x v="1042"/>
    <x v="0"/>
    <s v="West Jake"/>
    <x v="0"/>
    <n v="41.76"/>
    <n v="54"/>
    <x v="3"/>
    <x v="2"/>
    <s v="Israel, Germany"/>
    <n v="34"/>
    <s v="High"/>
    <s v="Average"/>
  </r>
  <r>
    <x v="1"/>
    <x v="5"/>
    <x v="1043"/>
    <x v="0"/>
    <s v="Josephland"/>
    <x v="0"/>
    <n v="2.77"/>
    <n v="82"/>
    <x v="0"/>
    <x v="2"/>
    <s v="UAE, France"/>
    <n v="61"/>
    <s v="Low"/>
    <s v="Good"/>
  </r>
  <r>
    <x v="0"/>
    <x v="11"/>
    <x v="1044"/>
    <x v="0"/>
    <s v="Edwardsmouth"/>
    <x v="4"/>
    <n v="21.87"/>
    <n v="74"/>
    <x v="0"/>
    <x v="2"/>
    <s v="Israel, France, UK"/>
    <n v="13"/>
    <s v="Medium"/>
    <s v="Average"/>
  </r>
  <r>
    <x v="2"/>
    <x v="11"/>
    <x v="1045"/>
    <x v="1"/>
    <s v="Breannamouth"/>
    <x v="2"/>
    <n v="36.33"/>
    <n v="83"/>
    <x v="2"/>
    <x v="0"/>
    <s v="China"/>
    <n v="286"/>
    <s v="High"/>
    <s v="Good"/>
  </r>
  <r>
    <x v="5"/>
    <x v="24"/>
    <x v="1046"/>
    <x v="1"/>
    <s v="South Kathrynhaven"/>
    <x v="4"/>
    <n v="41.31"/>
    <n v="51"/>
    <x v="4"/>
    <x v="0"/>
    <s v="UAE, France, China"/>
    <n v="99"/>
    <s v="High"/>
    <s v="Average"/>
  </r>
  <r>
    <x v="6"/>
    <x v="13"/>
    <x v="1047"/>
    <x v="1"/>
    <s v="Edwardtown"/>
    <x v="2"/>
    <n v="25.75"/>
    <n v="87"/>
    <x v="3"/>
    <x v="1"/>
    <s v="UAE, China, India"/>
    <n v="186"/>
    <s v="Medium"/>
    <s v="Good"/>
  </r>
  <r>
    <x v="3"/>
    <x v="0"/>
    <x v="1048"/>
    <x v="0"/>
    <s v="South Kristina"/>
    <x v="2"/>
    <n v="36.69"/>
    <n v="74"/>
    <x v="4"/>
    <x v="0"/>
    <s v="Japan, China, USA"/>
    <n v="309"/>
    <s v="High"/>
    <s v="Average"/>
  </r>
  <r>
    <x v="1"/>
    <x v="19"/>
    <x v="1049"/>
    <x v="1"/>
    <s v="North Mariabury"/>
    <x v="4"/>
    <n v="36.85"/>
    <n v="66"/>
    <x v="4"/>
    <x v="1"/>
    <s v="France"/>
    <n v="34"/>
    <s v="High"/>
    <s v="Average"/>
  </r>
  <r>
    <x v="4"/>
    <x v="16"/>
    <x v="1050"/>
    <x v="0"/>
    <s v="Shaffershire"/>
    <x v="0"/>
    <n v="33.01"/>
    <n v="60"/>
    <x v="4"/>
    <x v="2"/>
    <s v="USA, Japan"/>
    <n v="320"/>
    <s v="Medium"/>
    <s v="Average"/>
  </r>
  <r>
    <x v="5"/>
    <x v="15"/>
    <x v="1051"/>
    <x v="0"/>
    <s v="Hardingburgh"/>
    <x v="3"/>
    <n v="2.17"/>
    <n v="81"/>
    <x v="3"/>
    <x v="2"/>
    <s v="Israel"/>
    <n v="114"/>
    <s v="Low"/>
    <s v="Good"/>
  </r>
  <r>
    <x v="5"/>
    <x v="7"/>
    <x v="1052"/>
    <x v="1"/>
    <s v="Williamton"/>
    <x v="1"/>
    <n v="38.94"/>
    <n v="63"/>
    <x v="2"/>
    <x v="2"/>
    <s v="Russia, France, UK"/>
    <n v="270"/>
    <s v="High"/>
    <s v="Average"/>
  </r>
  <r>
    <x v="4"/>
    <x v="13"/>
    <x v="1053"/>
    <x v="0"/>
    <s v="Jennaport"/>
    <x v="1"/>
    <n v="42.38"/>
    <n v="99"/>
    <x v="2"/>
    <x v="0"/>
    <s v="Israel, UK"/>
    <n v="169"/>
    <s v="High"/>
    <s v="Excellent"/>
  </r>
  <r>
    <x v="7"/>
    <x v="22"/>
    <x v="1054"/>
    <x v="0"/>
    <s v="Leahmouth"/>
    <x v="2"/>
    <n v="8.15"/>
    <n v="64"/>
    <x v="4"/>
    <x v="0"/>
    <s v="USA, UAE, UK"/>
    <n v="331"/>
    <s v="Low"/>
    <s v="Average"/>
  </r>
  <r>
    <x v="8"/>
    <x v="11"/>
    <x v="1055"/>
    <x v="1"/>
    <s v="Montesfort"/>
    <x v="1"/>
    <n v="3.65"/>
    <n v="57"/>
    <x v="4"/>
    <x v="0"/>
    <s v="Germany"/>
    <n v="295"/>
    <s v="Low"/>
    <s v="Average"/>
  </r>
  <r>
    <x v="1"/>
    <x v="13"/>
    <x v="1056"/>
    <x v="0"/>
    <s v="Port Phillipport"/>
    <x v="3"/>
    <n v="46.67"/>
    <n v="62"/>
    <x v="0"/>
    <x v="2"/>
    <s v="China"/>
    <n v="117"/>
    <s v="High"/>
    <s v="Average"/>
  </r>
  <r>
    <x v="9"/>
    <x v="9"/>
    <x v="1057"/>
    <x v="0"/>
    <s v="Keithborough"/>
    <x v="3"/>
    <n v="29.92"/>
    <n v="74"/>
    <x v="0"/>
    <x v="1"/>
    <s v="Russia"/>
    <n v="285"/>
    <s v="Medium"/>
    <s v="Average"/>
  </r>
  <r>
    <x v="1"/>
    <x v="24"/>
    <x v="1058"/>
    <x v="0"/>
    <s v="East Juliefurt"/>
    <x v="1"/>
    <n v="6.2"/>
    <n v="74"/>
    <x v="3"/>
    <x v="1"/>
    <s v="UK, USA"/>
    <n v="158"/>
    <s v="Low"/>
    <s v="Average"/>
  </r>
  <r>
    <x v="7"/>
    <x v="15"/>
    <x v="1059"/>
    <x v="0"/>
    <s v="Calebville"/>
    <x v="2"/>
    <n v="2.2200000000000002"/>
    <n v="94"/>
    <x v="4"/>
    <x v="1"/>
    <s v="Japan, UK"/>
    <n v="198"/>
    <s v="Low"/>
    <s v="Excellent"/>
  </r>
  <r>
    <x v="5"/>
    <x v="4"/>
    <x v="1060"/>
    <x v="1"/>
    <s v="East Keith"/>
    <x v="2"/>
    <n v="37.840000000000003"/>
    <n v="100"/>
    <x v="0"/>
    <x v="1"/>
    <s v="Russia, UAE, China"/>
    <n v="94"/>
    <s v="High"/>
    <s v="Excellent"/>
  </r>
  <r>
    <x v="7"/>
    <x v="3"/>
    <x v="1061"/>
    <x v="1"/>
    <s v="Briannabury"/>
    <x v="2"/>
    <n v="33.9"/>
    <n v="73"/>
    <x v="1"/>
    <x v="2"/>
    <s v="India, USA"/>
    <n v="151"/>
    <s v="Medium"/>
    <s v="Average"/>
  </r>
  <r>
    <x v="1"/>
    <x v="11"/>
    <x v="1062"/>
    <x v="1"/>
    <s v="Timview"/>
    <x v="3"/>
    <n v="37.06"/>
    <n v="65"/>
    <x v="0"/>
    <x v="1"/>
    <s v="Russia"/>
    <n v="252"/>
    <s v="High"/>
    <s v="Average"/>
  </r>
  <r>
    <x v="4"/>
    <x v="25"/>
    <x v="1063"/>
    <x v="1"/>
    <s v="East Omarview"/>
    <x v="4"/>
    <n v="26.14"/>
    <n v="100"/>
    <x v="2"/>
    <x v="1"/>
    <s v="Russia, Israel, Germany"/>
    <n v="84"/>
    <s v="Medium"/>
    <s v="Excellent"/>
  </r>
  <r>
    <x v="8"/>
    <x v="0"/>
    <x v="1064"/>
    <x v="0"/>
    <s v="New Glennhaven"/>
    <x v="3"/>
    <n v="25.41"/>
    <n v="96"/>
    <x v="3"/>
    <x v="0"/>
    <s v="France, Russia"/>
    <n v="59"/>
    <s v="Medium"/>
    <s v="Excellent"/>
  </r>
  <r>
    <x v="4"/>
    <x v="21"/>
    <x v="1065"/>
    <x v="0"/>
    <s v="Josephfurt"/>
    <x v="1"/>
    <n v="7.42"/>
    <n v="51"/>
    <x v="4"/>
    <x v="1"/>
    <s v="UK"/>
    <n v="82"/>
    <s v="Low"/>
    <s v="Average"/>
  </r>
  <r>
    <x v="0"/>
    <x v="18"/>
    <x v="1066"/>
    <x v="0"/>
    <s v="Lewisland"/>
    <x v="4"/>
    <n v="3.98"/>
    <n v="92"/>
    <x v="1"/>
    <x v="2"/>
    <s v="UAE"/>
    <n v="289"/>
    <s v="Low"/>
    <s v="Excellent"/>
  </r>
  <r>
    <x v="4"/>
    <x v="20"/>
    <x v="1067"/>
    <x v="1"/>
    <s v="Stuarthaven"/>
    <x v="4"/>
    <n v="23.12"/>
    <n v="75"/>
    <x v="0"/>
    <x v="2"/>
    <s v="UK"/>
    <n v="92"/>
    <s v="Medium"/>
    <s v="Good"/>
  </r>
  <r>
    <x v="9"/>
    <x v="20"/>
    <x v="1068"/>
    <x v="1"/>
    <s v="Grantside"/>
    <x v="3"/>
    <n v="30.07"/>
    <n v="92"/>
    <x v="4"/>
    <x v="1"/>
    <s v="France"/>
    <n v="254"/>
    <s v="Medium"/>
    <s v="Excellent"/>
  </r>
  <r>
    <x v="4"/>
    <x v="18"/>
    <x v="1069"/>
    <x v="0"/>
    <s v="Jessicafurt"/>
    <x v="2"/>
    <n v="13.75"/>
    <n v="58"/>
    <x v="3"/>
    <x v="2"/>
    <s v="Russia, Germany, Japan"/>
    <n v="227"/>
    <s v="Low"/>
    <s v="Average"/>
  </r>
  <r>
    <x v="7"/>
    <x v="8"/>
    <x v="1070"/>
    <x v="1"/>
    <s v="Port Michael"/>
    <x v="4"/>
    <n v="19.440000000000001"/>
    <n v="86"/>
    <x v="3"/>
    <x v="1"/>
    <s v="Russia, India"/>
    <n v="305"/>
    <s v="Medium"/>
    <s v="Good"/>
  </r>
  <r>
    <x v="3"/>
    <x v="18"/>
    <x v="1071"/>
    <x v="0"/>
    <s v="Port Greg"/>
    <x v="4"/>
    <n v="46.23"/>
    <n v="58"/>
    <x v="1"/>
    <x v="2"/>
    <s v="Russia"/>
    <n v="7"/>
    <s v="High"/>
    <s v="Average"/>
  </r>
  <r>
    <x v="4"/>
    <x v="24"/>
    <x v="1072"/>
    <x v="0"/>
    <s v="Lake Ricardo"/>
    <x v="2"/>
    <n v="30.67"/>
    <n v="57"/>
    <x v="2"/>
    <x v="1"/>
    <s v="UK, Israel, China"/>
    <n v="312"/>
    <s v="Medium"/>
    <s v="Average"/>
  </r>
  <r>
    <x v="3"/>
    <x v="1"/>
    <x v="1073"/>
    <x v="0"/>
    <s v="Grayfort"/>
    <x v="0"/>
    <n v="25.86"/>
    <n v="92"/>
    <x v="4"/>
    <x v="1"/>
    <s v="India, UAE, Israel"/>
    <n v="100"/>
    <s v="Medium"/>
    <s v="Excellent"/>
  </r>
  <r>
    <x v="4"/>
    <x v="7"/>
    <x v="1074"/>
    <x v="0"/>
    <s v="Penningtonborough"/>
    <x v="4"/>
    <n v="40.9"/>
    <n v="53"/>
    <x v="3"/>
    <x v="2"/>
    <s v="Japan"/>
    <n v="135"/>
    <s v="High"/>
    <s v="Average"/>
  </r>
  <r>
    <x v="7"/>
    <x v="8"/>
    <x v="1075"/>
    <x v="1"/>
    <s v="Castrohaven"/>
    <x v="1"/>
    <n v="33.880000000000003"/>
    <n v="72"/>
    <x v="1"/>
    <x v="0"/>
    <s v="China, Russia, France"/>
    <n v="242"/>
    <s v="Medium"/>
    <s v="Average"/>
  </r>
  <r>
    <x v="8"/>
    <x v="11"/>
    <x v="1076"/>
    <x v="1"/>
    <s v="South Jamesside"/>
    <x v="4"/>
    <n v="15.79"/>
    <n v="71"/>
    <x v="1"/>
    <x v="2"/>
    <s v="China, Israel"/>
    <n v="288"/>
    <s v="Medium"/>
    <s v="Average"/>
  </r>
  <r>
    <x v="7"/>
    <x v="6"/>
    <x v="1077"/>
    <x v="0"/>
    <s v="Marcusview"/>
    <x v="2"/>
    <n v="36.32"/>
    <n v="59"/>
    <x v="4"/>
    <x v="0"/>
    <s v="Japan, Germany"/>
    <n v="36"/>
    <s v="High"/>
    <s v="Average"/>
  </r>
  <r>
    <x v="1"/>
    <x v="3"/>
    <x v="1078"/>
    <x v="0"/>
    <s v="Stevenbury"/>
    <x v="4"/>
    <n v="49.93"/>
    <n v="50"/>
    <x v="1"/>
    <x v="1"/>
    <s v="Germany, China"/>
    <n v="203"/>
    <s v="High"/>
    <s v="Average"/>
  </r>
  <r>
    <x v="6"/>
    <x v="23"/>
    <x v="1079"/>
    <x v="0"/>
    <s v="North Eric"/>
    <x v="1"/>
    <n v="45.21"/>
    <n v="74"/>
    <x v="0"/>
    <x v="0"/>
    <s v="UAE, USA, Israel"/>
    <n v="339"/>
    <s v="High"/>
    <s v="Average"/>
  </r>
  <r>
    <x v="8"/>
    <x v="0"/>
    <x v="1080"/>
    <x v="1"/>
    <s v="Meganstad"/>
    <x v="3"/>
    <n v="26.76"/>
    <n v="57"/>
    <x v="3"/>
    <x v="2"/>
    <s v="Germany"/>
    <n v="207"/>
    <s v="Medium"/>
    <s v="Average"/>
  </r>
  <r>
    <x v="0"/>
    <x v="15"/>
    <x v="1081"/>
    <x v="0"/>
    <s v="Rodriguezside"/>
    <x v="2"/>
    <n v="8.9"/>
    <n v="68"/>
    <x v="3"/>
    <x v="2"/>
    <s v="UAE, Israel"/>
    <n v="41"/>
    <s v="Low"/>
    <s v="Average"/>
  </r>
  <r>
    <x v="0"/>
    <x v="5"/>
    <x v="1082"/>
    <x v="1"/>
    <s v="Garretttown"/>
    <x v="2"/>
    <n v="17.309999999999999"/>
    <n v="92"/>
    <x v="0"/>
    <x v="2"/>
    <s v="Germany, Japan"/>
    <n v="261"/>
    <s v="Medium"/>
    <s v="Excellent"/>
  </r>
  <r>
    <x v="2"/>
    <x v="11"/>
    <x v="1083"/>
    <x v="1"/>
    <s v="Ryanfurt"/>
    <x v="1"/>
    <n v="14.73"/>
    <n v="97"/>
    <x v="1"/>
    <x v="2"/>
    <s v="Germany"/>
    <n v="238"/>
    <s v="Low"/>
    <s v="Excellent"/>
  </r>
  <r>
    <x v="3"/>
    <x v="18"/>
    <x v="1084"/>
    <x v="0"/>
    <s v="East Willieside"/>
    <x v="0"/>
    <n v="43.55"/>
    <n v="67"/>
    <x v="0"/>
    <x v="2"/>
    <s v="UAE, USA"/>
    <n v="179"/>
    <s v="High"/>
    <s v="Average"/>
  </r>
  <r>
    <x v="1"/>
    <x v="8"/>
    <x v="1085"/>
    <x v="0"/>
    <s v="North Candice"/>
    <x v="1"/>
    <n v="31.66"/>
    <n v="89"/>
    <x v="1"/>
    <x v="1"/>
    <s v="India, France"/>
    <n v="68"/>
    <s v="Medium"/>
    <s v="Good"/>
  </r>
  <r>
    <x v="2"/>
    <x v="11"/>
    <x v="1086"/>
    <x v="0"/>
    <s v="Abbottton"/>
    <x v="3"/>
    <n v="38.450000000000003"/>
    <n v="81"/>
    <x v="2"/>
    <x v="0"/>
    <s v="France, China, Israel"/>
    <n v="342"/>
    <s v="High"/>
    <s v="Good"/>
  </r>
  <r>
    <x v="1"/>
    <x v="23"/>
    <x v="1087"/>
    <x v="0"/>
    <s v="Jesuston"/>
    <x v="1"/>
    <n v="46.01"/>
    <n v="58"/>
    <x v="4"/>
    <x v="0"/>
    <s v="Japan"/>
    <n v="149"/>
    <s v="High"/>
    <s v="Average"/>
  </r>
  <r>
    <x v="9"/>
    <x v="24"/>
    <x v="1088"/>
    <x v="0"/>
    <s v="Erichaven"/>
    <x v="2"/>
    <n v="14.08"/>
    <n v="67"/>
    <x v="2"/>
    <x v="2"/>
    <s v="France, China"/>
    <n v="103"/>
    <s v="Low"/>
    <s v="Average"/>
  </r>
  <r>
    <x v="2"/>
    <x v="20"/>
    <x v="1089"/>
    <x v="0"/>
    <s v="South Alexis"/>
    <x v="2"/>
    <n v="9.9499999999999993"/>
    <n v="54"/>
    <x v="1"/>
    <x v="1"/>
    <s v="UK, USA"/>
    <n v="275"/>
    <s v="Low"/>
    <s v="Average"/>
  </r>
  <r>
    <x v="1"/>
    <x v="13"/>
    <x v="1090"/>
    <x v="1"/>
    <s v="Port Soniaport"/>
    <x v="3"/>
    <n v="3.54"/>
    <n v="93"/>
    <x v="4"/>
    <x v="0"/>
    <s v="Russia, USA"/>
    <n v="318"/>
    <s v="Low"/>
    <s v="Excellent"/>
  </r>
  <r>
    <x v="5"/>
    <x v="3"/>
    <x v="1091"/>
    <x v="0"/>
    <s v="Port Karen"/>
    <x v="1"/>
    <n v="8.5399999999999991"/>
    <n v="69"/>
    <x v="2"/>
    <x v="0"/>
    <s v="Japan"/>
    <n v="29"/>
    <s v="Low"/>
    <s v="Average"/>
  </r>
  <r>
    <x v="1"/>
    <x v="8"/>
    <x v="1092"/>
    <x v="1"/>
    <s v="Samuelfort"/>
    <x v="0"/>
    <n v="41.14"/>
    <n v="84"/>
    <x v="2"/>
    <x v="2"/>
    <s v="Russia, Japan, France"/>
    <n v="198"/>
    <s v="High"/>
    <s v="Good"/>
  </r>
  <r>
    <x v="3"/>
    <x v="19"/>
    <x v="1093"/>
    <x v="0"/>
    <s v="Hamiltonstad"/>
    <x v="1"/>
    <n v="6"/>
    <n v="60"/>
    <x v="4"/>
    <x v="0"/>
    <s v="UK"/>
    <n v="168"/>
    <s v="Low"/>
    <s v="Average"/>
  </r>
  <r>
    <x v="4"/>
    <x v="22"/>
    <x v="1094"/>
    <x v="0"/>
    <s v="New Daniel"/>
    <x v="2"/>
    <n v="20.12"/>
    <n v="67"/>
    <x v="4"/>
    <x v="2"/>
    <s v="France"/>
    <n v="243"/>
    <s v="Medium"/>
    <s v="Average"/>
  </r>
  <r>
    <x v="2"/>
    <x v="17"/>
    <x v="1095"/>
    <x v="0"/>
    <s v="Davidburgh"/>
    <x v="3"/>
    <n v="7.36"/>
    <n v="75"/>
    <x v="4"/>
    <x v="1"/>
    <s v="Germany"/>
    <n v="229"/>
    <s v="Low"/>
    <s v="Good"/>
  </r>
  <r>
    <x v="1"/>
    <x v="2"/>
    <x v="1096"/>
    <x v="0"/>
    <s v="South Chrisview"/>
    <x v="1"/>
    <n v="10.210000000000001"/>
    <n v="76"/>
    <x v="4"/>
    <x v="1"/>
    <s v="Germany"/>
    <n v="328"/>
    <s v="Low"/>
    <s v="Good"/>
  </r>
  <r>
    <x v="8"/>
    <x v="10"/>
    <x v="1097"/>
    <x v="0"/>
    <s v="North Amanda"/>
    <x v="2"/>
    <n v="42.96"/>
    <n v="55"/>
    <x v="0"/>
    <x v="2"/>
    <s v="UAE"/>
    <n v="314"/>
    <s v="High"/>
    <s v="Average"/>
  </r>
  <r>
    <x v="5"/>
    <x v="8"/>
    <x v="1098"/>
    <x v="0"/>
    <s v="West Timothy"/>
    <x v="2"/>
    <n v="18.5"/>
    <n v="67"/>
    <x v="1"/>
    <x v="2"/>
    <s v="UAE, Germany, France"/>
    <n v="329"/>
    <s v="Medium"/>
    <s v="Average"/>
  </r>
  <r>
    <x v="0"/>
    <x v="15"/>
    <x v="1099"/>
    <x v="1"/>
    <s v="Gomezbury"/>
    <x v="4"/>
    <n v="7.97"/>
    <n v="92"/>
    <x v="3"/>
    <x v="0"/>
    <s v="Russia, India, Japan"/>
    <n v="300"/>
    <s v="Low"/>
    <s v="Excellent"/>
  </r>
  <r>
    <x v="3"/>
    <x v="8"/>
    <x v="1100"/>
    <x v="0"/>
    <s v="South Alyssastad"/>
    <x v="0"/>
    <n v="7.02"/>
    <n v="50"/>
    <x v="1"/>
    <x v="0"/>
    <s v="UAE"/>
    <n v="201"/>
    <s v="Low"/>
    <s v="Average"/>
  </r>
  <r>
    <x v="4"/>
    <x v="15"/>
    <x v="1101"/>
    <x v="1"/>
    <s v="Gregoryhaven"/>
    <x v="0"/>
    <n v="3.71"/>
    <n v="100"/>
    <x v="0"/>
    <x v="1"/>
    <s v="UK, Russia, France"/>
    <n v="312"/>
    <s v="Low"/>
    <s v="Excellent"/>
  </r>
  <r>
    <x v="1"/>
    <x v="8"/>
    <x v="1102"/>
    <x v="1"/>
    <s v="West Lisa"/>
    <x v="3"/>
    <n v="32.81"/>
    <n v="60"/>
    <x v="4"/>
    <x v="2"/>
    <s v="USA, UK, Japan"/>
    <n v="294"/>
    <s v="Medium"/>
    <s v="Average"/>
  </r>
  <r>
    <x v="1"/>
    <x v="15"/>
    <x v="1103"/>
    <x v="1"/>
    <s v="Andersonstad"/>
    <x v="3"/>
    <n v="12.93"/>
    <n v="84"/>
    <x v="3"/>
    <x v="1"/>
    <s v="USA"/>
    <n v="2"/>
    <s v="Low"/>
    <s v="Good"/>
  </r>
  <r>
    <x v="5"/>
    <x v="0"/>
    <x v="1104"/>
    <x v="0"/>
    <s v="Lake David"/>
    <x v="2"/>
    <n v="14.75"/>
    <n v="74"/>
    <x v="2"/>
    <x v="1"/>
    <s v="China"/>
    <n v="137"/>
    <s v="Low"/>
    <s v="Average"/>
  </r>
  <r>
    <x v="6"/>
    <x v="21"/>
    <x v="1105"/>
    <x v="0"/>
    <s v="Lake Stephanie"/>
    <x v="2"/>
    <n v="7.41"/>
    <n v="86"/>
    <x v="0"/>
    <x v="0"/>
    <s v="Japan, China"/>
    <n v="191"/>
    <s v="Low"/>
    <s v="Good"/>
  </r>
  <r>
    <x v="7"/>
    <x v="0"/>
    <x v="1106"/>
    <x v="0"/>
    <s v="Tracyville"/>
    <x v="3"/>
    <n v="22.17"/>
    <n v="93"/>
    <x v="1"/>
    <x v="0"/>
    <s v="UAE, Israel, UK"/>
    <n v="186"/>
    <s v="Medium"/>
    <s v="Excellent"/>
  </r>
  <r>
    <x v="8"/>
    <x v="1"/>
    <x v="1107"/>
    <x v="1"/>
    <s v="East Reneetown"/>
    <x v="0"/>
    <n v="33.85"/>
    <n v="95"/>
    <x v="4"/>
    <x v="0"/>
    <s v="USA, Japan"/>
    <n v="333"/>
    <s v="Medium"/>
    <s v="Excellent"/>
  </r>
  <r>
    <x v="4"/>
    <x v="8"/>
    <x v="1108"/>
    <x v="1"/>
    <s v="South Laura"/>
    <x v="4"/>
    <n v="20.38"/>
    <n v="71"/>
    <x v="1"/>
    <x v="1"/>
    <s v="Israel, India, Russia"/>
    <n v="108"/>
    <s v="Medium"/>
    <s v="Average"/>
  </r>
  <r>
    <x v="2"/>
    <x v="5"/>
    <x v="1109"/>
    <x v="1"/>
    <s v="Ericksonchester"/>
    <x v="2"/>
    <n v="12.98"/>
    <n v="64"/>
    <x v="0"/>
    <x v="2"/>
    <s v="Russia, France"/>
    <n v="87"/>
    <s v="Low"/>
    <s v="Average"/>
  </r>
  <r>
    <x v="3"/>
    <x v="12"/>
    <x v="1110"/>
    <x v="0"/>
    <s v="Davidbury"/>
    <x v="3"/>
    <n v="44.67"/>
    <n v="81"/>
    <x v="4"/>
    <x v="0"/>
    <s v="China, UK"/>
    <n v="38"/>
    <s v="High"/>
    <s v="Good"/>
  </r>
  <r>
    <x v="2"/>
    <x v="6"/>
    <x v="1111"/>
    <x v="1"/>
    <s v="Underwoodborough"/>
    <x v="0"/>
    <n v="3.43"/>
    <n v="68"/>
    <x v="2"/>
    <x v="0"/>
    <s v="France, Japan, Germany"/>
    <n v="61"/>
    <s v="Low"/>
    <s v="Average"/>
  </r>
  <r>
    <x v="2"/>
    <x v="1"/>
    <x v="1112"/>
    <x v="0"/>
    <s v="Yvonnefurt"/>
    <x v="0"/>
    <n v="28.73"/>
    <n v="68"/>
    <x v="1"/>
    <x v="1"/>
    <s v="France, Israel, UAE"/>
    <n v="181"/>
    <s v="Medium"/>
    <s v="Average"/>
  </r>
  <r>
    <x v="3"/>
    <x v="25"/>
    <x v="1113"/>
    <x v="0"/>
    <s v="Port Vickiechester"/>
    <x v="3"/>
    <n v="22.58"/>
    <n v="71"/>
    <x v="3"/>
    <x v="1"/>
    <s v="Israel"/>
    <n v="254"/>
    <s v="Medium"/>
    <s v="Average"/>
  </r>
  <r>
    <x v="1"/>
    <x v="17"/>
    <x v="1114"/>
    <x v="1"/>
    <s v="New Michaela"/>
    <x v="4"/>
    <n v="17.02"/>
    <n v="87"/>
    <x v="2"/>
    <x v="2"/>
    <s v="Israel"/>
    <n v="134"/>
    <s v="Medium"/>
    <s v="Good"/>
  </r>
  <r>
    <x v="9"/>
    <x v="10"/>
    <x v="1115"/>
    <x v="1"/>
    <s v="Port Ashleyberg"/>
    <x v="4"/>
    <n v="47.22"/>
    <n v="92"/>
    <x v="2"/>
    <x v="0"/>
    <s v="Russia, UAE"/>
    <n v="294"/>
    <s v="High"/>
    <s v="Excellent"/>
  </r>
  <r>
    <x v="5"/>
    <x v="11"/>
    <x v="1116"/>
    <x v="0"/>
    <s v="East Jennifer"/>
    <x v="0"/>
    <n v="24.62"/>
    <n v="69"/>
    <x v="0"/>
    <x v="2"/>
    <s v="India, Russia"/>
    <n v="7"/>
    <s v="Medium"/>
    <s v="Average"/>
  </r>
  <r>
    <x v="2"/>
    <x v="17"/>
    <x v="1117"/>
    <x v="0"/>
    <s v="North Zachary"/>
    <x v="0"/>
    <n v="13.34"/>
    <n v="82"/>
    <x v="2"/>
    <x v="2"/>
    <s v="Russia, Germany, Israel"/>
    <n v="360"/>
    <s v="Low"/>
    <s v="Good"/>
  </r>
  <r>
    <x v="4"/>
    <x v="15"/>
    <x v="1118"/>
    <x v="1"/>
    <s v="West Elizabeth"/>
    <x v="2"/>
    <n v="39.01"/>
    <n v="82"/>
    <x v="0"/>
    <x v="1"/>
    <s v="China, UAE"/>
    <n v="230"/>
    <s v="High"/>
    <s v="Good"/>
  </r>
  <r>
    <x v="0"/>
    <x v="22"/>
    <x v="1119"/>
    <x v="1"/>
    <s v="East Christy"/>
    <x v="3"/>
    <n v="46.43"/>
    <n v="86"/>
    <x v="2"/>
    <x v="1"/>
    <s v="USA"/>
    <n v="118"/>
    <s v="High"/>
    <s v="Good"/>
  </r>
  <r>
    <x v="3"/>
    <x v="6"/>
    <x v="1120"/>
    <x v="1"/>
    <s v="Kellytown"/>
    <x v="1"/>
    <n v="11.94"/>
    <n v="100"/>
    <x v="3"/>
    <x v="2"/>
    <s v="China, France, India"/>
    <n v="334"/>
    <s v="Low"/>
    <s v="Excellent"/>
  </r>
  <r>
    <x v="5"/>
    <x v="10"/>
    <x v="1121"/>
    <x v="0"/>
    <s v="Jameshaven"/>
    <x v="4"/>
    <n v="36.33"/>
    <n v="94"/>
    <x v="3"/>
    <x v="1"/>
    <s v="India"/>
    <n v="317"/>
    <s v="High"/>
    <s v="Excellent"/>
  </r>
  <r>
    <x v="7"/>
    <x v="0"/>
    <x v="1122"/>
    <x v="1"/>
    <s v="Martinezton"/>
    <x v="0"/>
    <n v="34.619999999999997"/>
    <n v="97"/>
    <x v="1"/>
    <x v="2"/>
    <s v="Germany, UAE, UK"/>
    <n v="167"/>
    <s v="Medium"/>
    <s v="Excellent"/>
  </r>
  <r>
    <x v="1"/>
    <x v="7"/>
    <x v="1123"/>
    <x v="1"/>
    <s v="West Staceyside"/>
    <x v="4"/>
    <n v="35.880000000000003"/>
    <n v="93"/>
    <x v="1"/>
    <x v="0"/>
    <s v="France, UAE"/>
    <n v="76"/>
    <s v="High"/>
    <s v="Excellent"/>
  </r>
  <r>
    <x v="8"/>
    <x v="25"/>
    <x v="1124"/>
    <x v="1"/>
    <s v="North Robertport"/>
    <x v="0"/>
    <n v="20"/>
    <n v="100"/>
    <x v="2"/>
    <x v="1"/>
    <s v="UAE, France"/>
    <n v="252"/>
    <s v="Medium"/>
    <s v="Excellent"/>
  </r>
  <r>
    <x v="2"/>
    <x v="5"/>
    <x v="1125"/>
    <x v="1"/>
    <s v="East Kevinmouth"/>
    <x v="0"/>
    <n v="1.34"/>
    <n v="85"/>
    <x v="4"/>
    <x v="2"/>
    <s v="USA, Japan, UK"/>
    <n v="255"/>
    <s v="Low"/>
    <s v="Good"/>
  </r>
  <r>
    <x v="2"/>
    <x v="17"/>
    <x v="1126"/>
    <x v="1"/>
    <s v="East James"/>
    <x v="4"/>
    <n v="8.81"/>
    <n v="78"/>
    <x v="1"/>
    <x v="1"/>
    <s v="France, China"/>
    <n v="20"/>
    <s v="Low"/>
    <s v="Good"/>
  </r>
  <r>
    <x v="6"/>
    <x v="1"/>
    <x v="1127"/>
    <x v="1"/>
    <s v="West Theresa"/>
    <x v="2"/>
    <n v="20.61"/>
    <n v="80"/>
    <x v="1"/>
    <x v="1"/>
    <s v="China, UK"/>
    <n v="343"/>
    <s v="Medium"/>
    <s v="Good"/>
  </r>
  <r>
    <x v="3"/>
    <x v="9"/>
    <x v="1128"/>
    <x v="0"/>
    <s v="Timothystad"/>
    <x v="0"/>
    <n v="40.75"/>
    <n v="87"/>
    <x v="1"/>
    <x v="0"/>
    <s v="UK"/>
    <n v="315"/>
    <s v="High"/>
    <s v="Good"/>
  </r>
  <r>
    <x v="7"/>
    <x v="0"/>
    <x v="1129"/>
    <x v="0"/>
    <s v="Eriktown"/>
    <x v="3"/>
    <n v="2.9"/>
    <n v="75"/>
    <x v="0"/>
    <x v="2"/>
    <s v="Germany, Israel, China"/>
    <n v="181"/>
    <s v="Low"/>
    <s v="Good"/>
  </r>
  <r>
    <x v="5"/>
    <x v="13"/>
    <x v="1130"/>
    <x v="0"/>
    <s v="East Johnport"/>
    <x v="4"/>
    <n v="12.45"/>
    <n v="91"/>
    <x v="4"/>
    <x v="2"/>
    <s v="India, UAE, UK"/>
    <n v="150"/>
    <s v="Low"/>
    <s v="Excellent"/>
  </r>
  <r>
    <x v="0"/>
    <x v="25"/>
    <x v="1131"/>
    <x v="1"/>
    <s v="New Laurastad"/>
    <x v="0"/>
    <n v="44.78"/>
    <n v="78"/>
    <x v="4"/>
    <x v="2"/>
    <s v="Germany, Japan, USA"/>
    <n v="188"/>
    <s v="High"/>
    <s v="Good"/>
  </r>
  <r>
    <x v="9"/>
    <x v="9"/>
    <x v="1132"/>
    <x v="0"/>
    <s v="Matthewshire"/>
    <x v="0"/>
    <n v="31.73"/>
    <n v="56"/>
    <x v="1"/>
    <x v="0"/>
    <s v="Japan, UK, India"/>
    <n v="307"/>
    <s v="Medium"/>
    <s v="Average"/>
  </r>
  <r>
    <x v="5"/>
    <x v="0"/>
    <x v="1133"/>
    <x v="0"/>
    <s v="Jonesland"/>
    <x v="0"/>
    <n v="26.5"/>
    <n v="94"/>
    <x v="1"/>
    <x v="1"/>
    <s v="China"/>
    <n v="73"/>
    <s v="Medium"/>
    <s v="Excellent"/>
  </r>
  <r>
    <x v="1"/>
    <x v="23"/>
    <x v="1134"/>
    <x v="0"/>
    <s v="Jessicaburgh"/>
    <x v="3"/>
    <n v="14.25"/>
    <n v="78"/>
    <x v="1"/>
    <x v="0"/>
    <s v="Russia, India, Israel"/>
    <n v="346"/>
    <s v="Low"/>
    <s v="Good"/>
  </r>
  <r>
    <x v="3"/>
    <x v="24"/>
    <x v="1135"/>
    <x v="0"/>
    <s v="New Johnborough"/>
    <x v="1"/>
    <n v="8.1199999999999992"/>
    <n v="58"/>
    <x v="0"/>
    <x v="0"/>
    <s v="UAE, China"/>
    <n v="293"/>
    <s v="Low"/>
    <s v="Average"/>
  </r>
  <r>
    <x v="3"/>
    <x v="3"/>
    <x v="1136"/>
    <x v="1"/>
    <s v="New Richard"/>
    <x v="4"/>
    <n v="22.39"/>
    <n v="91"/>
    <x v="4"/>
    <x v="0"/>
    <s v="Israel"/>
    <n v="196"/>
    <s v="Medium"/>
    <s v="Excellent"/>
  </r>
  <r>
    <x v="5"/>
    <x v="2"/>
    <x v="1137"/>
    <x v="0"/>
    <s v="Kathleenburgh"/>
    <x v="1"/>
    <n v="40.82"/>
    <n v="75"/>
    <x v="3"/>
    <x v="0"/>
    <s v="USA"/>
    <n v="181"/>
    <s v="High"/>
    <s v="Good"/>
  </r>
  <r>
    <x v="6"/>
    <x v="3"/>
    <x v="1138"/>
    <x v="1"/>
    <s v="Katherinemouth"/>
    <x v="2"/>
    <n v="48.04"/>
    <n v="66"/>
    <x v="3"/>
    <x v="2"/>
    <s v="China, Japan"/>
    <n v="19"/>
    <s v="High"/>
    <s v="Average"/>
  </r>
  <r>
    <x v="1"/>
    <x v="10"/>
    <x v="1139"/>
    <x v="0"/>
    <s v="East Stevenborough"/>
    <x v="3"/>
    <n v="12.75"/>
    <n v="69"/>
    <x v="3"/>
    <x v="2"/>
    <s v="Japan, UAE"/>
    <n v="61"/>
    <s v="Low"/>
    <s v="Average"/>
  </r>
  <r>
    <x v="3"/>
    <x v="1"/>
    <x v="1140"/>
    <x v="1"/>
    <s v="Port Courtneyshire"/>
    <x v="4"/>
    <n v="5.59"/>
    <n v="61"/>
    <x v="3"/>
    <x v="0"/>
    <s v="Germany, France, UK"/>
    <n v="211"/>
    <s v="Low"/>
    <s v="Average"/>
  </r>
  <r>
    <x v="3"/>
    <x v="22"/>
    <x v="1141"/>
    <x v="1"/>
    <s v="Lake Christopherborough"/>
    <x v="2"/>
    <n v="47.78"/>
    <n v="72"/>
    <x v="2"/>
    <x v="1"/>
    <s v="USA, UK, Germany"/>
    <n v="343"/>
    <s v="High"/>
    <s v="Average"/>
  </r>
  <r>
    <x v="8"/>
    <x v="3"/>
    <x v="1142"/>
    <x v="0"/>
    <s v="Reidmouth"/>
    <x v="1"/>
    <n v="10.56"/>
    <n v="78"/>
    <x v="2"/>
    <x v="0"/>
    <s v="USA"/>
    <n v="117"/>
    <s v="Low"/>
    <s v="Good"/>
  </r>
  <r>
    <x v="8"/>
    <x v="11"/>
    <x v="1143"/>
    <x v="0"/>
    <s v="Lake Scottshire"/>
    <x v="3"/>
    <n v="13.47"/>
    <n v="54"/>
    <x v="4"/>
    <x v="0"/>
    <s v="Israel"/>
    <n v="358"/>
    <s v="Low"/>
    <s v="Average"/>
  </r>
  <r>
    <x v="3"/>
    <x v="4"/>
    <x v="1144"/>
    <x v="0"/>
    <s v="East Rachaelbury"/>
    <x v="3"/>
    <n v="28.26"/>
    <n v="87"/>
    <x v="1"/>
    <x v="0"/>
    <s v="France"/>
    <n v="74"/>
    <s v="Medium"/>
    <s v="Good"/>
  </r>
  <r>
    <x v="0"/>
    <x v="7"/>
    <x v="1145"/>
    <x v="1"/>
    <s v="Graychester"/>
    <x v="2"/>
    <n v="4.3099999999999996"/>
    <n v="96"/>
    <x v="2"/>
    <x v="2"/>
    <s v="France, Russia"/>
    <n v="213"/>
    <s v="Low"/>
    <s v="Excellent"/>
  </r>
  <r>
    <x v="8"/>
    <x v="19"/>
    <x v="1146"/>
    <x v="0"/>
    <s v="Wallsmouth"/>
    <x v="0"/>
    <n v="45.33"/>
    <n v="54"/>
    <x v="2"/>
    <x v="0"/>
    <s v="France"/>
    <n v="272"/>
    <s v="High"/>
    <s v="Average"/>
  </r>
  <r>
    <x v="5"/>
    <x v="10"/>
    <x v="1147"/>
    <x v="0"/>
    <s v="East Jessica"/>
    <x v="4"/>
    <n v="46.87"/>
    <n v="57"/>
    <x v="0"/>
    <x v="1"/>
    <s v="Japan, Israel, Germany"/>
    <n v="307"/>
    <s v="High"/>
    <s v="Average"/>
  </r>
  <r>
    <x v="6"/>
    <x v="17"/>
    <x v="1148"/>
    <x v="1"/>
    <s v="North Joseph"/>
    <x v="3"/>
    <n v="41.63"/>
    <n v="57"/>
    <x v="3"/>
    <x v="2"/>
    <s v="India"/>
    <n v="225"/>
    <s v="High"/>
    <s v="Average"/>
  </r>
  <r>
    <x v="0"/>
    <x v="1"/>
    <x v="1149"/>
    <x v="0"/>
    <s v="Lake Taramouth"/>
    <x v="2"/>
    <n v="24.84"/>
    <n v="70"/>
    <x v="3"/>
    <x v="1"/>
    <s v="Japan"/>
    <n v="203"/>
    <s v="Medium"/>
    <s v="Average"/>
  </r>
  <r>
    <x v="8"/>
    <x v="23"/>
    <x v="1150"/>
    <x v="1"/>
    <s v="Freemanfort"/>
    <x v="0"/>
    <n v="20.11"/>
    <n v="66"/>
    <x v="3"/>
    <x v="1"/>
    <s v="Germany"/>
    <n v="99"/>
    <s v="Medium"/>
    <s v="Average"/>
  </r>
  <r>
    <x v="9"/>
    <x v="1"/>
    <x v="1151"/>
    <x v="0"/>
    <s v="Lake Cassandrabury"/>
    <x v="0"/>
    <n v="31.76"/>
    <n v="61"/>
    <x v="0"/>
    <x v="2"/>
    <s v="India, China"/>
    <n v="162"/>
    <s v="Medium"/>
    <s v="Average"/>
  </r>
  <r>
    <x v="6"/>
    <x v="14"/>
    <x v="1152"/>
    <x v="1"/>
    <s v="North Eugeneborough"/>
    <x v="3"/>
    <n v="39.19"/>
    <n v="74"/>
    <x v="3"/>
    <x v="0"/>
    <s v="Japan"/>
    <n v="37"/>
    <s v="High"/>
    <s v="Average"/>
  </r>
  <r>
    <x v="4"/>
    <x v="25"/>
    <x v="1153"/>
    <x v="1"/>
    <s v="Kellerville"/>
    <x v="4"/>
    <n v="8.92"/>
    <n v="84"/>
    <x v="1"/>
    <x v="2"/>
    <s v="Germany, UAE, UK"/>
    <n v="126"/>
    <s v="Low"/>
    <s v="Good"/>
  </r>
  <r>
    <x v="7"/>
    <x v="13"/>
    <x v="1154"/>
    <x v="0"/>
    <s v="New Justin"/>
    <x v="0"/>
    <n v="29.35"/>
    <n v="76"/>
    <x v="4"/>
    <x v="2"/>
    <s v="China"/>
    <n v="97"/>
    <s v="Medium"/>
    <s v="Good"/>
  </r>
  <r>
    <x v="0"/>
    <x v="8"/>
    <x v="1155"/>
    <x v="1"/>
    <s v="East Lisaberg"/>
    <x v="2"/>
    <n v="22"/>
    <n v="79"/>
    <x v="1"/>
    <x v="2"/>
    <s v="USA"/>
    <n v="180"/>
    <s v="Medium"/>
    <s v="Good"/>
  </r>
  <r>
    <x v="1"/>
    <x v="24"/>
    <x v="1156"/>
    <x v="0"/>
    <s v="Lowerybury"/>
    <x v="2"/>
    <n v="8.26"/>
    <n v="54"/>
    <x v="1"/>
    <x v="2"/>
    <s v="Russia"/>
    <n v="234"/>
    <s v="Low"/>
    <s v="Average"/>
  </r>
  <r>
    <x v="2"/>
    <x v="16"/>
    <x v="1157"/>
    <x v="0"/>
    <s v="Cruzburgh"/>
    <x v="2"/>
    <n v="0.82"/>
    <n v="76"/>
    <x v="1"/>
    <x v="1"/>
    <s v="UAE, China, France"/>
    <n v="308"/>
    <s v="Low"/>
    <s v="Good"/>
  </r>
  <r>
    <x v="6"/>
    <x v="11"/>
    <x v="1158"/>
    <x v="0"/>
    <s v="North James"/>
    <x v="2"/>
    <n v="31.84"/>
    <n v="90"/>
    <x v="0"/>
    <x v="1"/>
    <s v="Germany, UK, France"/>
    <n v="185"/>
    <s v="Medium"/>
    <s v="Excellent"/>
  </r>
  <r>
    <x v="9"/>
    <x v="3"/>
    <x v="1159"/>
    <x v="0"/>
    <s v="South Douglastown"/>
    <x v="1"/>
    <n v="30.09"/>
    <n v="70"/>
    <x v="1"/>
    <x v="0"/>
    <s v="UAE, France, Japan"/>
    <n v="272"/>
    <s v="Medium"/>
    <s v="Average"/>
  </r>
  <r>
    <x v="3"/>
    <x v="21"/>
    <x v="1160"/>
    <x v="1"/>
    <s v="Mooreberg"/>
    <x v="2"/>
    <n v="36.21"/>
    <n v="93"/>
    <x v="2"/>
    <x v="0"/>
    <s v="Israel, USA"/>
    <n v="5"/>
    <s v="High"/>
    <s v="Excellent"/>
  </r>
  <r>
    <x v="4"/>
    <x v="1"/>
    <x v="1161"/>
    <x v="1"/>
    <s v="Lake Nicholasmouth"/>
    <x v="3"/>
    <n v="44.05"/>
    <n v="56"/>
    <x v="1"/>
    <x v="1"/>
    <s v="Israel"/>
    <n v="345"/>
    <s v="High"/>
    <s v="Average"/>
  </r>
  <r>
    <x v="7"/>
    <x v="3"/>
    <x v="1162"/>
    <x v="1"/>
    <s v="East Carrie"/>
    <x v="1"/>
    <n v="29.49"/>
    <n v="97"/>
    <x v="2"/>
    <x v="2"/>
    <s v="Germany, China"/>
    <n v="118"/>
    <s v="Medium"/>
    <s v="Excellent"/>
  </r>
  <r>
    <x v="7"/>
    <x v="6"/>
    <x v="1163"/>
    <x v="0"/>
    <s v="Jamesmouth"/>
    <x v="3"/>
    <n v="30.26"/>
    <n v="96"/>
    <x v="4"/>
    <x v="2"/>
    <s v="Germany, UK"/>
    <n v="10"/>
    <s v="Medium"/>
    <s v="Excellent"/>
  </r>
  <r>
    <x v="6"/>
    <x v="5"/>
    <x v="1164"/>
    <x v="0"/>
    <s v="Montgomeryview"/>
    <x v="4"/>
    <n v="15.23"/>
    <n v="70"/>
    <x v="3"/>
    <x v="2"/>
    <s v="Israel, Germany, UK"/>
    <n v="248"/>
    <s v="Medium"/>
    <s v="Average"/>
  </r>
  <r>
    <x v="0"/>
    <x v="19"/>
    <x v="1165"/>
    <x v="1"/>
    <s v="Martinport"/>
    <x v="3"/>
    <n v="18.39"/>
    <n v="89"/>
    <x v="3"/>
    <x v="0"/>
    <s v="USA, UAE, China"/>
    <n v="116"/>
    <s v="Medium"/>
    <s v="Good"/>
  </r>
  <r>
    <x v="0"/>
    <x v="0"/>
    <x v="1166"/>
    <x v="1"/>
    <s v="West Karen"/>
    <x v="0"/>
    <n v="29.35"/>
    <n v="77"/>
    <x v="4"/>
    <x v="1"/>
    <s v="UK, Japan, UAE"/>
    <n v="29"/>
    <s v="Medium"/>
    <s v="Good"/>
  </r>
  <r>
    <x v="8"/>
    <x v="1"/>
    <x v="1167"/>
    <x v="0"/>
    <s v="Robertoland"/>
    <x v="2"/>
    <n v="41.18"/>
    <n v="98"/>
    <x v="4"/>
    <x v="2"/>
    <s v="China"/>
    <n v="69"/>
    <s v="High"/>
    <s v="Excellent"/>
  </r>
  <r>
    <x v="1"/>
    <x v="16"/>
    <x v="1168"/>
    <x v="0"/>
    <s v="Kylebury"/>
    <x v="3"/>
    <n v="31.88"/>
    <n v="77"/>
    <x v="0"/>
    <x v="1"/>
    <s v="Japan"/>
    <n v="286"/>
    <s v="Medium"/>
    <s v="Good"/>
  </r>
  <r>
    <x v="7"/>
    <x v="17"/>
    <x v="1169"/>
    <x v="0"/>
    <s v="Lake Jefferyview"/>
    <x v="0"/>
    <n v="28.06"/>
    <n v="52"/>
    <x v="0"/>
    <x v="0"/>
    <s v="Israel, Japan"/>
    <n v="64"/>
    <s v="Medium"/>
    <s v="Average"/>
  </r>
  <r>
    <x v="0"/>
    <x v="23"/>
    <x v="1170"/>
    <x v="0"/>
    <s v="Craigmouth"/>
    <x v="4"/>
    <n v="11.64"/>
    <n v="74"/>
    <x v="2"/>
    <x v="2"/>
    <s v="India, Japan, China"/>
    <n v="351"/>
    <s v="Low"/>
    <s v="Average"/>
  </r>
  <r>
    <x v="9"/>
    <x v="3"/>
    <x v="1171"/>
    <x v="1"/>
    <s v="Michaelport"/>
    <x v="4"/>
    <n v="21.23"/>
    <n v="61"/>
    <x v="3"/>
    <x v="0"/>
    <s v="UAE"/>
    <n v="339"/>
    <s v="Medium"/>
    <s v="Average"/>
  </r>
  <r>
    <x v="7"/>
    <x v="2"/>
    <x v="1172"/>
    <x v="1"/>
    <s v="New Darrenville"/>
    <x v="1"/>
    <n v="35.369999999999997"/>
    <n v="93"/>
    <x v="4"/>
    <x v="2"/>
    <s v="France, Germany"/>
    <n v="365"/>
    <s v="High"/>
    <s v="Excellent"/>
  </r>
  <r>
    <x v="1"/>
    <x v="14"/>
    <x v="1173"/>
    <x v="1"/>
    <s v="Richardmouth"/>
    <x v="4"/>
    <n v="30.97"/>
    <n v="61"/>
    <x v="3"/>
    <x v="1"/>
    <s v="USA, UAE"/>
    <n v="209"/>
    <s v="Medium"/>
    <s v="Average"/>
  </r>
  <r>
    <x v="6"/>
    <x v="4"/>
    <x v="1174"/>
    <x v="0"/>
    <s v="East Brian"/>
    <x v="4"/>
    <n v="46.78"/>
    <n v="75"/>
    <x v="1"/>
    <x v="2"/>
    <s v="China, USA, France"/>
    <n v="51"/>
    <s v="High"/>
    <s v="Good"/>
  </r>
  <r>
    <x v="4"/>
    <x v="3"/>
    <x v="1175"/>
    <x v="0"/>
    <s v="East Cindyfort"/>
    <x v="4"/>
    <n v="8.01"/>
    <n v="86"/>
    <x v="0"/>
    <x v="1"/>
    <s v="USA, Russia"/>
    <n v="139"/>
    <s v="Low"/>
    <s v="Good"/>
  </r>
  <r>
    <x v="3"/>
    <x v="3"/>
    <x v="1176"/>
    <x v="0"/>
    <s v="Erictown"/>
    <x v="1"/>
    <n v="16.14"/>
    <n v="100"/>
    <x v="1"/>
    <x v="0"/>
    <s v="Japan, UAE, France"/>
    <n v="210"/>
    <s v="Medium"/>
    <s v="Excellent"/>
  </r>
  <r>
    <x v="9"/>
    <x v="21"/>
    <x v="1177"/>
    <x v="0"/>
    <s v="Johnbury"/>
    <x v="1"/>
    <n v="35.46"/>
    <n v="62"/>
    <x v="0"/>
    <x v="2"/>
    <s v="UAE"/>
    <n v="10"/>
    <s v="High"/>
    <s v="Average"/>
  </r>
  <r>
    <x v="0"/>
    <x v="11"/>
    <x v="1178"/>
    <x v="0"/>
    <s v="Mariabury"/>
    <x v="4"/>
    <n v="12.19"/>
    <n v="56"/>
    <x v="3"/>
    <x v="0"/>
    <s v="China"/>
    <n v="265"/>
    <s v="Low"/>
    <s v="Average"/>
  </r>
  <r>
    <x v="3"/>
    <x v="3"/>
    <x v="1179"/>
    <x v="0"/>
    <s v="Rojasfort"/>
    <x v="3"/>
    <n v="5.73"/>
    <n v="70"/>
    <x v="3"/>
    <x v="1"/>
    <s v="France, Japan"/>
    <n v="8"/>
    <s v="Low"/>
    <s v="Average"/>
  </r>
  <r>
    <x v="1"/>
    <x v="21"/>
    <x v="1180"/>
    <x v="1"/>
    <s v="East Jackside"/>
    <x v="3"/>
    <n v="28.75"/>
    <n v="92"/>
    <x v="1"/>
    <x v="2"/>
    <s v="Israel"/>
    <n v="252"/>
    <s v="Medium"/>
    <s v="Excellent"/>
  </r>
  <r>
    <x v="1"/>
    <x v="8"/>
    <x v="1181"/>
    <x v="0"/>
    <s v="Lindsaystad"/>
    <x v="2"/>
    <n v="49.71"/>
    <n v="95"/>
    <x v="4"/>
    <x v="0"/>
    <s v="UK, Germany, France"/>
    <n v="161"/>
    <s v="High"/>
    <s v="Excellent"/>
  </r>
  <r>
    <x v="7"/>
    <x v="18"/>
    <x v="1182"/>
    <x v="0"/>
    <s v="North Michelle"/>
    <x v="4"/>
    <n v="30.49"/>
    <n v="76"/>
    <x v="4"/>
    <x v="2"/>
    <s v="Japan"/>
    <n v="297"/>
    <s v="Medium"/>
    <s v="Good"/>
  </r>
  <r>
    <x v="5"/>
    <x v="5"/>
    <x v="1183"/>
    <x v="0"/>
    <s v="Port Timothy"/>
    <x v="3"/>
    <n v="1.08"/>
    <n v="50"/>
    <x v="1"/>
    <x v="2"/>
    <s v="Israel, Russia"/>
    <n v="173"/>
    <s v="Low"/>
    <s v="Average"/>
  </r>
  <r>
    <x v="3"/>
    <x v="24"/>
    <x v="1184"/>
    <x v="1"/>
    <s v="Port Bridget"/>
    <x v="4"/>
    <n v="41.11"/>
    <n v="88"/>
    <x v="3"/>
    <x v="0"/>
    <s v="Israel, USA"/>
    <n v="256"/>
    <s v="High"/>
    <s v="Good"/>
  </r>
  <r>
    <x v="9"/>
    <x v="0"/>
    <x v="1185"/>
    <x v="0"/>
    <s v="Nelsonberg"/>
    <x v="4"/>
    <n v="37.25"/>
    <n v="54"/>
    <x v="1"/>
    <x v="1"/>
    <s v="UK, Russia"/>
    <n v="280"/>
    <s v="High"/>
    <s v="Average"/>
  </r>
  <r>
    <x v="6"/>
    <x v="3"/>
    <x v="1186"/>
    <x v="0"/>
    <s v="South Whitney"/>
    <x v="4"/>
    <n v="39.96"/>
    <n v="77"/>
    <x v="1"/>
    <x v="2"/>
    <s v="Japan, USA, India"/>
    <n v="258"/>
    <s v="High"/>
    <s v="Good"/>
  </r>
  <r>
    <x v="0"/>
    <x v="19"/>
    <x v="1187"/>
    <x v="1"/>
    <s v="New Adriennefort"/>
    <x v="0"/>
    <n v="12.25"/>
    <n v="92"/>
    <x v="2"/>
    <x v="1"/>
    <s v="Israel"/>
    <n v="76"/>
    <s v="Low"/>
    <s v="Excellent"/>
  </r>
  <r>
    <x v="3"/>
    <x v="16"/>
    <x v="1188"/>
    <x v="0"/>
    <s v="New Amy"/>
    <x v="1"/>
    <n v="10.65"/>
    <n v="61"/>
    <x v="0"/>
    <x v="1"/>
    <s v="Russia"/>
    <n v="186"/>
    <s v="Low"/>
    <s v="Average"/>
  </r>
  <r>
    <x v="9"/>
    <x v="3"/>
    <x v="1189"/>
    <x v="1"/>
    <s v="Mosleyview"/>
    <x v="4"/>
    <n v="9.17"/>
    <n v="50"/>
    <x v="3"/>
    <x v="0"/>
    <s v="France"/>
    <n v="236"/>
    <s v="Low"/>
    <s v="Average"/>
  </r>
  <r>
    <x v="0"/>
    <x v="8"/>
    <x v="1190"/>
    <x v="1"/>
    <s v="Norrishaven"/>
    <x v="3"/>
    <n v="8.68"/>
    <n v="64"/>
    <x v="1"/>
    <x v="1"/>
    <s v="Russia, Israel, Germany"/>
    <n v="154"/>
    <s v="Low"/>
    <s v="Average"/>
  </r>
  <r>
    <x v="2"/>
    <x v="7"/>
    <x v="1191"/>
    <x v="0"/>
    <s v="Jacobmouth"/>
    <x v="0"/>
    <n v="20.72"/>
    <n v="98"/>
    <x v="0"/>
    <x v="1"/>
    <s v="France, UK"/>
    <n v="142"/>
    <s v="Medium"/>
    <s v="Excellent"/>
  </r>
  <r>
    <x v="9"/>
    <x v="22"/>
    <x v="1192"/>
    <x v="1"/>
    <s v="West Cody"/>
    <x v="4"/>
    <n v="0.86"/>
    <n v="74"/>
    <x v="2"/>
    <x v="0"/>
    <s v="Germany"/>
    <n v="104"/>
    <s v="Low"/>
    <s v="Average"/>
  </r>
  <r>
    <x v="4"/>
    <x v="20"/>
    <x v="1193"/>
    <x v="1"/>
    <s v="Crosbyberg"/>
    <x v="3"/>
    <n v="5.44"/>
    <n v="60"/>
    <x v="0"/>
    <x v="0"/>
    <s v="Germany, France, Japan"/>
    <n v="175"/>
    <s v="Low"/>
    <s v="Average"/>
  </r>
  <r>
    <x v="4"/>
    <x v="0"/>
    <x v="1194"/>
    <x v="1"/>
    <s v="North Michaelbury"/>
    <x v="1"/>
    <n v="46.33"/>
    <n v="100"/>
    <x v="4"/>
    <x v="2"/>
    <s v="Germany"/>
    <n v="157"/>
    <s v="High"/>
    <s v="Excellent"/>
  </r>
  <r>
    <x v="6"/>
    <x v="23"/>
    <x v="1195"/>
    <x v="1"/>
    <s v="Christophershire"/>
    <x v="1"/>
    <n v="45.54"/>
    <n v="61"/>
    <x v="0"/>
    <x v="0"/>
    <s v="India, UK, China"/>
    <n v="116"/>
    <s v="High"/>
    <s v="Average"/>
  </r>
  <r>
    <x v="1"/>
    <x v="24"/>
    <x v="1196"/>
    <x v="0"/>
    <s v="North Stephen"/>
    <x v="0"/>
    <n v="35.5"/>
    <n v="73"/>
    <x v="2"/>
    <x v="0"/>
    <s v="Germany, France, India"/>
    <n v="38"/>
    <s v="High"/>
    <s v="Average"/>
  </r>
  <r>
    <x v="6"/>
    <x v="6"/>
    <x v="1197"/>
    <x v="1"/>
    <s v="Colleenstad"/>
    <x v="3"/>
    <n v="1.2"/>
    <n v="76"/>
    <x v="0"/>
    <x v="1"/>
    <s v="UK"/>
    <n v="315"/>
    <s v="Low"/>
    <s v="Good"/>
  </r>
  <r>
    <x v="3"/>
    <x v="5"/>
    <x v="1198"/>
    <x v="0"/>
    <s v="South Amber"/>
    <x v="3"/>
    <n v="48.21"/>
    <n v="77"/>
    <x v="2"/>
    <x v="0"/>
    <s v="Russia"/>
    <n v="287"/>
    <s v="High"/>
    <s v="Good"/>
  </r>
  <r>
    <x v="7"/>
    <x v="11"/>
    <x v="1199"/>
    <x v="1"/>
    <s v="Andrewchester"/>
    <x v="1"/>
    <n v="19.82"/>
    <n v="74"/>
    <x v="2"/>
    <x v="2"/>
    <s v="USA, Russia, Israel"/>
    <n v="217"/>
    <s v="Medium"/>
    <s v="Average"/>
  </r>
  <r>
    <x v="8"/>
    <x v="7"/>
    <x v="1200"/>
    <x v="1"/>
    <s v="Port Matthewborough"/>
    <x v="2"/>
    <n v="48.74"/>
    <n v="50"/>
    <x v="0"/>
    <x v="2"/>
    <s v="USA, India"/>
    <n v="322"/>
    <s v="High"/>
    <s v="Average"/>
  </r>
  <r>
    <x v="6"/>
    <x v="25"/>
    <x v="1201"/>
    <x v="0"/>
    <s v="Moorebury"/>
    <x v="3"/>
    <n v="26.93"/>
    <n v="90"/>
    <x v="4"/>
    <x v="0"/>
    <s v="France, UAE"/>
    <n v="92"/>
    <s v="Medium"/>
    <s v="Excellent"/>
  </r>
  <r>
    <x v="2"/>
    <x v="25"/>
    <x v="1202"/>
    <x v="0"/>
    <s v="New Tamarafort"/>
    <x v="0"/>
    <n v="40.74"/>
    <n v="70"/>
    <x v="4"/>
    <x v="1"/>
    <s v="UK"/>
    <n v="171"/>
    <s v="High"/>
    <s v="Average"/>
  </r>
  <r>
    <x v="8"/>
    <x v="8"/>
    <x v="1203"/>
    <x v="1"/>
    <s v="West Jeanside"/>
    <x v="4"/>
    <n v="44.61"/>
    <n v="53"/>
    <x v="0"/>
    <x v="1"/>
    <s v="Germany"/>
    <n v="313"/>
    <s v="High"/>
    <s v="Average"/>
  </r>
  <r>
    <x v="5"/>
    <x v="16"/>
    <x v="1204"/>
    <x v="1"/>
    <s v="Cordovafort"/>
    <x v="0"/>
    <n v="2.3199999999999998"/>
    <n v="66"/>
    <x v="0"/>
    <x v="2"/>
    <s v="India, Japan, Israel"/>
    <n v="196"/>
    <s v="Low"/>
    <s v="Average"/>
  </r>
  <r>
    <x v="4"/>
    <x v="8"/>
    <x v="1205"/>
    <x v="1"/>
    <s v="Stacymouth"/>
    <x v="3"/>
    <n v="34.880000000000003"/>
    <n v="92"/>
    <x v="0"/>
    <x v="0"/>
    <s v="UK, USA"/>
    <n v="108"/>
    <s v="Medium"/>
    <s v="Excellent"/>
  </r>
  <r>
    <x v="4"/>
    <x v="23"/>
    <x v="1206"/>
    <x v="0"/>
    <s v="Garyshire"/>
    <x v="4"/>
    <n v="37.950000000000003"/>
    <n v="80"/>
    <x v="4"/>
    <x v="1"/>
    <s v="UAE"/>
    <n v="13"/>
    <s v="High"/>
    <s v="Good"/>
  </r>
  <r>
    <x v="1"/>
    <x v="15"/>
    <x v="1207"/>
    <x v="0"/>
    <s v="Jenniferhaven"/>
    <x v="0"/>
    <n v="46.56"/>
    <n v="52"/>
    <x v="2"/>
    <x v="2"/>
    <s v="Russia, Germany"/>
    <n v="232"/>
    <s v="High"/>
    <s v="Average"/>
  </r>
  <r>
    <x v="4"/>
    <x v="17"/>
    <x v="1208"/>
    <x v="1"/>
    <s v="Luisport"/>
    <x v="1"/>
    <n v="41.02"/>
    <n v="80"/>
    <x v="0"/>
    <x v="1"/>
    <s v="USA, India, Russia"/>
    <n v="142"/>
    <s v="High"/>
    <s v="Good"/>
  </r>
  <r>
    <x v="2"/>
    <x v="15"/>
    <x v="1209"/>
    <x v="1"/>
    <s v="North Andrew"/>
    <x v="3"/>
    <n v="46.42"/>
    <n v="81"/>
    <x v="1"/>
    <x v="1"/>
    <s v="USA"/>
    <n v="83"/>
    <s v="High"/>
    <s v="Good"/>
  </r>
  <r>
    <x v="5"/>
    <x v="25"/>
    <x v="1210"/>
    <x v="1"/>
    <s v="New Jonathan"/>
    <x v="2"/>
    <n v="40.57"/>
    <n v="56"/>
    <x v="0"/>
    <x v="1"/>
    <s v="Germany, Japan"/>
    <n v="2"/>
    <s v="High"/>
    <s v="Average"/>
  </r>
  <r>
    <x v="0"/>
    <x v="5"/>
    <x v="1211"/>
    <x v="0"/>
    <s v="Lake Ryanberg"/>
    <x v="3"/>
    <n v="34.049999999999997"/>
    <n v="79"/>
    <x v="3"/>
    <x v="1"/>
    <s v="Japan, UAE"/>
    <n v="147"/>
    <s v="Medium"/>
    <s v="Good"/>
  </r>
  <r>
    <x v="4"/>
    <x v="13"/>
    <x v="1212"/>
    <x v="1"/>
    <s v="New Harry"/>
    <x v="0"/>
    <n v="31.06"/>
    <n v="73"/>
    <x v="0"/>
    <x v="2"/>
    <s v="Japan, Germany, UAE"/>
    <n v="207"/>
    <s v="Medium"/>
    <s v="Average"/>
  </r>
  <r>
    <x v="5"/>
    <x v="4"/>
    <x v="1213"/>
    <x v="1"/>
    <s v="Lake Madeline"/>
    <x v="2"/>
    <n v="36.619999999999997"/>
    <n v="60"/>
    <x v="1"/>
    <x v="0"/>
    <s v="India"/>
    <n v="41"/>
    <s v="High"/>
    <s v="Average"/>
  </r>
  <r>
    <x v="4"/>
    <x v="0"/>
    <x v="1214"/>
    <x v="1"/>
    <s v="Joelview"/>
    <x v="2"/>
    <n v="46.68"/>
    <n v="94"/>
    <x v="1"/>
    <x v="0"/>
    <s v="UK, France, China"/>
    <n v="168"/>
    <s v="High"/>
    <s v="Excellent"/>
  </r>
  <r>
    <x v="6"/>
    <x v="22"/>
    <x v="1215"/>
    <x v="1"/>
    <s v="Herreraland"/>
    <x v="1"/>
    <n v="18.41"/>
    <n v="96"/>
    <x v="4"/>
    <x v="2"/>
    <s v="Russia"/>
    <n v="88"/>
    <s v="Medium"/>
    <s v="Excellent"/>
  </r>
  <r>
    <x v="2"/>
    <x v="20"/>
    <x v="1216"/>
    <x v="0"/>
    <s v="Joeview"/>
    <x v="2"/>
    <n v="16.48"/>
    <n v="55"/>
    <x v="1"/>
    <x v="0"/>
    <s v="UAE, China, Japan"/>
    <n v="71"/>
    <s v="Medium"/>
    <s v="Average"/>
  </r>
  <r>
    <x v="8"/>
    <x v="25"/>
    <x v="1217"/>
    <x v="1"/>
    <s v="North Ashleybury"/>
    <x v="3"/>
    <n v="6.78"/>
    <n v="82"/>
    <x v="3"/>
    <x v="0"/>
    <s v="UAE"/>
    <n v="114"/>
    <s v="Low"/>
    <s v="Good"/>
  </r>
  <r>
    <x v="8"/>
    <x v="14"/>
    <x v="1218"/>
    <x v="1"/>
    <s v="Joshuafort"/>
    <x v="2"/>
    <n v="33.61"/>
    <n v="80"/>
    <x v="4"/>
    <x v="1"/>
    <s v="Russia"/>
    <n v="165"/>
    <s v="Medium"/>
    <s v="Good"/>
  </r>
  <r>
    <x v="2"/>
    <x v="0"/>
    <x v="1219"/>
    <x v="0"/>
    <s v="Mclaughlinborough"/>
    <x v="0"/>
    <n v="16.2"/>
    <n v="59"/>
    <x v="4"/>
    <x v="1"/>
    <s v="Germany, Japan, USA"/>
    <n v="153"/>
    <s v="Medium"/>
    <s v="Average"/>
  </r>
  <r>
    <x v="2"/>
    <x v="9"/>
    <x v="1220"/>
    <x v="0"/>
    <s v="East Teresa"/>
    <x v="4"/>
    <n v="23.13"/>
    <n v="59"/>
    <x v="2"/>
    <x v="2"/>
    <s v="Russia, USA"/>
    <n v="237"/>
    <s v="Medium"/>
    <s v="Average"/>
  </r>
  <r>
    <x v="5"/>
    <x v="18"/>
    <x v="1221"/>
    <x v="1"/>
    <s v="South Susan"/>
    <x v="3"/>
    <n v="27.27"/>
    <n v="96"/>
    <x v="4"/>
    <x v="2"/>
    <s v="Israel, Germany"/>
    <n v="77"/>
    <s v="Medium"/>
    <s v="Excellent"/>
  </r>
  <r>
    <x v="5"/>
    <x v="15"/>
    <x v="1222"/>
    <x v="0"/>
    <s v="North Debra"/>
    <x v="0"/>
    <n v="4.1100000000000003"/>
    <n v="96"/>
    <x v="3"/>
    <x v="0"/>
    <s v="China, USA, France"/>
    <n v="235"/>
    <s v="Low"/>
    <s v="Excellent"/>
  </r>
  <r>
    <x v="1"/>
    <x v="9"/>
    <x v="1223"/>
    <x v="1"/>
    <s v="Rachelhaven"/>
    <x v="2"/>
    <n v="3.34"/>
    <n v="61"/>
    <x v="0"/>
    <x v="1"/>
    <s v="France, China, Russia"/>
    <n v="255"/>
    <s v="Low"/>
    <s v="Average"/>
  </r>
  <r>
    <x v="0"/>
    <x v="9"/>
    <x v="1224"/>
    <x v="1"/>
    <s v="Baileyville"/>
    <x v="3"/>
    <n v="13.13"/>
    <n v="54"/>
    <x v="3"/>
    <x v="0"/>
    <s v="China, Germany, Israel"/>
    <n v="35"/>
    <s v="Low"/>
    <s v="Average"/>
  </r>
  <r>
    <x v="9"/>
    <x v="5"/>
    <x v="1225"/>
    <x v="1"/>
    <s v="Codytown"/>
    <x v="2"/>
    <n v="29.88"/>
    <n v="54"/>
    <x v="1"/>
    <x v="0"/>
    <s v="France, Israel"/>
    <n v="159"/>
    <s v="Medium"/>
    <s v="Average"/>
  </r>
  <r>
    <x v="3"/>
    <x v="25"/>
    <x v="1226"/>
    <x v="0"/>
    <s v="Eugenefurt"/>
    <x v="1"/>
    <n v="31.25"/>
    <n v="97"/>
    <x v="3"/>
    <x v="0"/>
    <s v="Russia, France, Japan"/>
    <n v="6"/>
    <s v="Medium"/>
    <s v="Excellent"/>
  </r>
  <r>
    <x v="8"/>
    <x v="2"/>
    <x v="1227"/>
    <x v="1"/>
    <s v="Higginsberg"/>
    <x v="0"/>
    <n v="24.26"/>
    <n v="62"/>
    <x v="2"/>
    <x v="0"/>
    <s v="France"/>
    <n v="102"/>
    <s v="Medium"/>
    <s v="Average"/>
  </r>
  <r>
    <x v="3"/>
    <x v="4"/>
    <x v="1228"/>
    <x v="1"/>
    <s v="Port Lisa"/>
    <x v="2"/>
    <n v="23.79"/>
    <n v="86"/>
    <x v="2"/>
    <x v="0"/>
    <s v="India"/>
    <n v="172"/>
    <s v="Medium"/>
    <s v="Good"/>
  </r>
  <r>
    <x v="8"/>
    <x v="13"/>
    <x v="1229"/>
    <x v="0"/>
    <s v="North Stevenstad"/>
    <x v="0"/>
    <n v="15.95"/>
    <n v="77"/>
    <x v="3"/>
    <x v="0"/>
    <s v="China, India"/>
    <n v="312"/>
    <s v="Medium"/>
    <s v="Good"/>
  </r>
  <r>
    <x v="6"/>
    <x v="22"/>
    <x v="1230"/>
    <x v="0"/>
    <s v="Ryantown"/>
    <x v="3"/>
    <n v="30.99"/>
    <n v="51"/>
    <x v="4"/>
    <x v="2"/>
    <s v="Russia"/>
    <n v="20"/>
    <s v="Medium"/>
    <s v="Average"/>
  </r>
  <r>
    <x v="8"/>
    <x v="11"/>
    <x v="1231"/>
    <x v="0"/>
    <s v="Gomeztown"/>
    <x v="2"/>
    <n v="42.62"/>
    <n v="78"/>
    <x v="3"/>
    <x v="2"/>
    <s v="USA, UK, UAE"/>
    <n v="239"/>
    <s v="High"/>
    <s v="Good"/>
  </r>
  <r>
    <x v="9"/>
    <x v="7"/>
    <x v="1232"/>
    <x v="1"/>
    <s v="East Rachel"/>
    <x v="1"/>
    <n v="25.43"/>
    <n v="89"/>
    <x v="3"/>
    <x v="0"/>
    <s v="Japan"/>
    <n v="286"/>
    <s v="Medium"/>
    <s v="Good"/>
  </r>
  <r>
    <x v="5"/>
    <x v="5"/>
    <x v="1233"/>
    <x v="1"/>
    <s v="Howardbury"/>
    <x v="0"/>
    <n v="29.61"/>
    <n v="86"/>
    <x v="4"/>
    <x v="0"/>
    <s v="UK"/>
    <n v="184"/>
    <s v="Medium"/>
    <s v="Good"/>
  </r>
  <r>
    <x v="7"/>
    <x v="7"/>
    <x v="1234"/>
    <x v="0"/>
    <s v="North Karen"/>
    <x v="0"/>
    <n v="8.33"/>
    <n v="88"/>
    <x v="2"/>
    <x v="0"/>
    <s v="France"/>
    <n v="171"/>
    <s v="Low"/>
    <s v="Good"/>
  </r>
  <r>
    <x v="5"/>
    <x v="6"/>
    <x v="1235"/>
    <x v="0"/>
    <s v="Lamport"/>
    <x v="1"/>
    <n v="42.06"/>
    <n v="87"/>
    <x v="2"/>
    <x v="0"/>
    <s v="China, Russia, France"/>
    <n v="154"/>
    <s v="High"/>
    <s v="Good"/>
  </r>
  <r>
    <x v="0"/>
    <x v="18"/>
    <x v="1236"/>
    <x v="1"/>
    <s v="Douglasmouth"/>
    <x v="3"/>
    <n v="18.46"/>
    <n v="60"/>
    <x v="3"/>
    <x v="0"/>
    <s v="Russia"/>
    <n v="234"/>
    <s v="Medium"/>
    <s v="Average"/>
  </r>
  <r>
    <x v="9"/>
    <x v="7"/>
    <x v="1237"/>
    <x v="0"/>
    <s v="Thompsonhaven"/>
    <x v="0"/>
    <n v="17.66"/>
    <n v="53"/>
    <x v="3"/>
    <x v="1"/>
    <s v="Israel"/>
    <n v="272"/>
    <s v="Medium"/>
    <s v="Average"/>
  </r>
  <r>
    <x v="4"/>
    <x v="18"/>
    <x v="1238"/>
    <x v="0"/>
    <s v="South Donaldfort"/>
    <x v="3"/>
    <n v="19.38"/>
    <n v="73"/>
    <x v="4"/>
    <x v="2"/>
    <s v="Japan"/>
    <n v="297"/>
    <s v="Medium"/>
    <s v="Average"/>
  </r>
  <r>
    <x v="2"/>
    <x v="19"/>
    <x v="1239"/>
    <x v="0"/>
    <s v="Brookeshire"/>
    <x v="0"/>
    <n v="35.1"/>
    <n v="73"/>
    <x v="1"/>
    <x v="2"/>
    <s v="USA, China"/>
    <n v="228"/>
    <s v="High"/>
    <s v="Average"/>
  </r>
  <r>
    <x v="3"/>
    <x v="1"/>
    <x v="1240"/>
    <x v="0"/>
    <s v="Owensmouth"/>
    <x v="0"/>
    <n v="18.62"/>
    <n v="52"/>
    <x v="0"/>
    <x v="2"/>
    <s v="UK, India"/>
    <n v="79"/>
    <s v="Medium"/>
    <s v="Average"/>
  </r>
  <r>
    <x v="9"/>
    <x v="20"/>
    <x v="1241"/>
    <x v="1"/>
    <s v="West Gwendolyn"/>
    <x v="4"/>
    <n v="38.03"/>
    <n v="61"/>
    <x v="3"/>
    <x v="1"/>
    <s v="Russia, Germany"/>
    <n v="72"/>
    <s v="High"/>
    <s v="Average"/>
  </r>
  <r>
    <x v="5"/>
    <x v="24"/>
    <x v="1242"/>
    <x v="1"/>
    <s v="Johnview"/>
    <x v="3"/>
    <n v="9.42"/>
    <n v="83"/>
    <x v="3"/>
    <x v="2"/>
    <s v="Germany, UK"/>
    <n v="194"/>
    <s v="Low"/>
    <s v="Good"/>
  </r>
  <r>
    <x v="6"/>
    <x v="11"/>
    <x v="1243"/>
    <x v="1"/>
    <s v="West Brittany"/>
    <x v="3"/>
    <n v="25.3"/>
    <n v="95"/>
    <x v="1"/>
    <x v="0"/>
    <s v="UAE, France"/>
    <n v="315"/>
    <s v="Medium"/>
    <s v="Excellent"/>
  </r>
  <r>
    <x v="5"/>
    <x v="7"/>
    <x v="1244"/>
    <x v="0"/>
    <s v="New Marissa"/>
    <x v="3"/>
    <n v="48.15"/>
    <n v="95"/>
    <x v="4"/>
    <x v="0"/>
    <s v="Germany, Russia, India"/>
    <n v="147"/>
    <s v="High"/>
    <s v="Excellent"/>
  </r>
  <r>
    <x v="3"/>
    <x v="1"/>
    <x v="1245"/>
    <x v="1"/>
    <s v="Aliciaside"/>
    <x v="1"/>
    <n v="32.299999999999997"/>
    <n v="86"/>
    <x v="4"/>
    <x v="1"/>
    <s v="China, Russia"/>
    <n v="32"/>
    <s v="Medium"/>
    <s v="Good"/>
  </r>
  <r>
    <x v="2"/>
    <x v="2"/>
    <x v="1246"/>
    <x v="0"/>
    <s v="West Joe"/>
    <x v="2"/>
    <n v="21.67"/>
    <n v="78"/>
    <x v="2"/>
    <x v="1"/>
    <s v="Israel, France, UK"/>
    <n v="180"/>
    <s v="Medium"/>
    <s v="Good"/>
  </r>
  <r>
    <x v="8"/>
    <x v="18"/>
    <x v="1247"/>
    <x v="0"/>
    <s v="West Ricardo"/>
    <x v="4"/>
    <n v="41.96"/>
    <n v="67"/>
    <x v="3"/>
    <x v="2"/>
    <s v="Russia, Japan"/>
    <n v="193"/>
    <s v="High"/>
    <s v="Average"/>
  </r>
  <r>
    <x v="0"/>
    <x v="6"/>
    <x v="1248"/>
    <x v="1"/>
    <s v="New Jasonhaven"/>
    <x v="4"/>
    <n v="25.19"/>
    <n v="62"/>
    <x v="1"/>
    <x v="1"/>
    <s v="Japan, Russia, Germany"/>
    <n v="161"/>
    <s v="Medium"/>
    <s v="Average"/>
  </r>
  <r>
    <x v="1"/>
    <x v="19"/>
    <x v="1249"/>
    <x v="0"/>
    <s v="North Susanmouth"/>
    <x v="4"/>
    <n v="20.12"/>
    <n v="78"/>
    <x v="3"/>
    <x v="0"/>
    <s v="UK, UAE, Israel"/>
    <n v="223"/>
    <s v="Medium"/>
    <s v="Good"/>
  </r>
  <r>
    <x v="1"/>
    <x v="0"/>
    <x v="1250"/>
    <x v="1"/>
    <s v="Michelleton"/>
    <x v="0"/>
    <n v="23.43"/>
    <n v="52"/>
    <x v="2"/>
    <x v="1"/>
    <s v="Germany, India"/>
    <n v="192"/>
    <s v="Medium"/>
    <s v="Average"/>
  </r>
  <r>
    <x v="3"/>
    <x v="5"/>
    <x v="1251"/>
    <x v="0"/>
    <s v="Natashaland"/>
    <x v="3"/>
    <n v="43.55"/>
    <n v="82"/>
    <x v="0"/>
    <x v="2"/>
    <s v="UAE, France"/>
    <n v="138"/>
    <s v="High"/>
    <s v="Good"/>
  </r>
  <r>
    <x v="5"/>
    <x v="10"/>
    <x v="1252"/>
    <x v="1"/>
    <s v="Jamesbury"/>
    <x v="1"/>
    <n v="19.97"/>
    <n v="59"/>
    <x v="2"/>
    <x v="1"/>
    <s v="India"/>
    <n v="273"/>
    <s v="Medium"/>
    <s v="Average"/>
  </r>
  <r>
    <x v="9"/>
    <x v="13"/>
    <x v="1253"/>
    <x v="1"/>
    <s v="Briggsfort"/>
    <x v="2"/>
    <n v="16.05"/>
    <n v="78"/>
    <x v="2"/>
    <x v="2"/>
    <s v="Japan, USA, France"/>
    <n v="218"/>
    <s v="Medium"/>
    <s v="Good"/>
  </r>
  <r>
    <x v="0"/>
    <x v="2"/>
    <x v="1254"/>
    <x v="1"/>
    <s v="Morganburgh"/>
    <x v="2"/>
    <n v="40.85"/>
    <n v="66"/>
    <x v="0"/>
    <x v="1"/>
    <s v="Germany, Israel, Russia"/>
    <n v="87"/>
    <s v="High"/>
    <s v="Average"/>
  </r>
  <r>
    <x v="1"/>
    <x v="22"/>
    <x v="1255"/>
    <x v="0"/>
    <s v="New Matthewfurt"/>
    <x v="4"/>
    <n v="37.549999999999997"/>
    <n v="55"/>
    <x v="3"/>
    <x v="0"/>
    <s v="India, Russia"/>
    <n v="100"/>
    <s v="High"/>
    <s v="Average"/>
  </r>
  <r>
    <x v="8"/>
    <x v="19"/>
    <x v="1256"/>
    <x v="0"/>
    <s v="East Rebecca"/>
    <x v="1"/>
    <n v="38.79"/>
    <n v="72"/>
    <x v="0"/>
    <x v="2"/>
    <s v="France, UK, Japan"/>
    <n v="4"/>
    <s v="High"/>
    <s v="Average"/>
  </r>
  <r>
    <x v="2"/>
    <x v="5"/>
    <x v="1257"/>
    <x v="1"/>
    <s v="Reyeston"/>
    <x v="0"/>
    <n v="29.45"/>
    <n v="95"/>
    <x v="1"/>
    <x v="0"/>
    <s v="UAE, France"/>
    <n v="185"/>
    <s v="Medium"/>
    <s v="Excellent"/>
  </r>
  <r>
    <x v="9"/>
    <x v="8"/>
    <x v="1258"/>
    <x v="1"/>
    <s v="South Jasonburgh"/>
    <x v="4"/>
    <n v="18.68"/>
    <n v="77"/>
    <x v="1"/>
    <x v="2"/>
    <s v="Japan, Russia, UAE"/>
    <n v="261"/>
    <s v="Medium"/>
    <s v="Good"/>
  </r>
  <r>
    <x v="5"/>
    <x v="4"/>
    <x v="1259"/>
    <x v="1"/>
    <s v="Emilyburgh"/>
    <x v="0"/>
    <n v="37.64"/>
    <n v="92"/>
    <x v="0"/>
    <x v="2"/>
    <s v="France, UAE"/>
    <n v="331"/>
    <s v="High"/>
    <s v="Excellent"/>
  </r>
  <r>
    <x v="0"/>
    <x v="21"/>
    <x v="1260"/>
    <x v="1"/>
    <s v="Lake Grantville"/>
    <x v="1"/>
    <n v="46.37"/>
    <n v="62"/>
    <x v="0"/>
    <x v="0"/>
    <s v="Japan"/>
    <n v="236"/>
    <s v="High"/>
    <s v="Average"/>
  </r>
  <r>
    <x v="4"/>
    <x v="0"/>
    <x v="1261"/>
    <x v="0"/>
    <s v="North Edward"/>
    <x v="2"/>
    <n v="14.58"/>
    <n v="81"/>
    <x v="3"/>
    <x v="2"/>
    <s v="UAE"/>
    <n v="85"/>
    <s v="Low"/>
    <s v="Good"/>
  </r>
  <r>
    <x v="3"/>
    <x v="4"/>
    <x v="1262"/>
    <x v="1"/>
    <s v="New Cassandra"/>
    <x v="0"/>
    <n v="12.9"/>
    <n v="78"/>
    <x v="4"/>
    <x v="2"/>
    <s v="Japan, France"/>
    <n v="294"/>
    <s v="Low"/>
    <s v="Good"/>
  </r>
  <r>
    <x v="8"/>
    <x v="23"/>
    <x v="1263"/>
    <x v="1"/>
    <s v="Ericshire"/>
    <x v="4"/>
    <n v="36.869999999999997"/>
    <n v="94"/>
    <x v="1"/>
    <x v="2"/>
    <s v="UK"/>
    <n v="319"/>
    <s v="High"/>
    <s v="Excellent"/>
  </r>
  <r>
    <x v="2"/>
    <x v="8"/>
    <x v="1264"/>
    <x v="0"/>
    <s v="East Eric"/>
    <x v="4"/>
    <n v="43.31"/>
    <n v="76"/>
    <x v="2"/>
    <x v="2"/>
    <s v="Japan, USA, France"/>
    <n v="235"/>
    <s v="High"/>
    <s v="Good"/>
  </r>
  <r>
    <x v="3"/>
    <x v="6"/>
    <x v="1265"/>
    <x v="0"/>
    <s v="East Monicashire"/>
    <x v="2"/>
    <n v="6.16"/>
    <n v="56"/>
    <x v="0"/>
    <x v="2"/>
    <s v="UK"/>
    <n v="170"/>
    <s v="Low"/>
    <s v="Average"/>
  </r>
  <r>
    <x v="6"/>
    <x v="15"/>
    <x v="1266"/>
    <x v="0"/>
    <s v="Gavinfort"/>
    <x v="4"/>
    <n v="29.32"/>
    <n v="96"/>
    <x v="0"/>
    <x v="1"/>
    <s v="France"/>
    <n v="46"/>
    <s v="Medium"/>
    <s v="Excellent"/>
  </r>
  <r>
    <x v="0"/>
    <x v="4"/>
    <x v="1267"/>
    <x v="0"/>
    <s v="Lake Garrett"/>
    <x v="2"/>
    <n v="40.82"/>
    <n v="68"/>
    <x v="2"/>
    <x v="1"/>
    <s v="India"/>
    <n v="165"/>
    <s v="High"/>
    <s v="Average"/>
  </r>
  <r>
    <x v="0"/>
    <x v="25"/>
    <x v="1268"/>
    <x v="1"/>
    <s v="Johnland"/>
    <x v="0"/>
    <n v="42.36"/>
    <n v="85"/>
    <x v="1"/>
    <x v="0"/>
    <s v="Israel"/>
    <n v="300"/>
    <s v="High"/>
    <s v="Good"/>
  </r>
  <r>
    <x v="0"/>
    <x v="4"/>
    <x v="1269"/>
    <x v="0"/>
    <s v="Robertsonfurt"/>
    <x v="3"/>
    <n v="18.510000000000002"/>
    <n v="67"/>
    <x v="1"/>
    <x v="1"/>
    <s v="Israel"/>
    <n v="113"/>
    <s v="Medium"/>
    <s v="Average"/>
  </r>
  <r>
    <x v="0"/>
    <x v="25"/>
    <x v="1270"/>
    <x v="1"/>
    <s v="Samanthaberg"/>
    <x v="0"/>
    <n v="38.4"/>
    <n v="73"/>
    <x v="2"/>
    <x v="0"/>
    <s v="USA"/>
    <n v="12"/>
    <s v="High"/>
    <s v="Average"/>
  </r>
  <r>
    <x v="3"/>
    <x v="16"/>
    <x v="1271"/>
    <x v="0"/>
    <s v="Michaelview"/>
    <x v="4"/>
    <n v="14.74"/>
    <n v="60"/>
    <x v="3"/>
    <x v="1"/>
    <s v="UK, France, Israel"/>
    <n v="26"/>
    <s v="Low"/>
    <s v="Average"/>
  </r>
  <r>
    <x v="6"/>
    <x v="13"/>
    <x v="1272"/>
    <x v="1"/>
    <s v="Nashview"/>
    <x v="3"/>
    <n v="14.73"/>
    <n v="88"/>
    <x v="2"/>
    <x v="2"/>
    <s v="Russia, UK"/>
    <n v="359"/>
    <s v="Low"/>
    <s v="Good"/>
  </r>
  <r>
    <x v="6"/>
    <x v="18"/>
    <x v="1273"/>
    <x v="0"/>
    <s v="Tiffanyburgh"/>
    <x v="2"/>
    <n v="23.12"/>
    <n v="52"/>
    <x v="1"/>
    <x v="2"/>
    <s v="Germany"/>
    <n v="58"/>
    <s v="Medium"/>
    <s v="Average"/>
  </r>
  <r>
    <x v="9"/>
    <x v="4"/>
    <x v="1274"/>
    <x v="0"/>
    <s v="Mcgeetown"/>
    <x v="4"/>
    <n v="20.399999999999999"/>
    <n v="91"/>
    <x v="0"/>
    <x v="0"/>
    <s v="Israel"/>
    <n v="60"/>
    <s v="Medium"/>
    <s v="Excellent"/>
  </r>
  <r>
    <x v="0"/>
    <x v="18"/>
    <x v="1275"/>
    <x v="1"/>
    <s v="Josephview"/>
    <x v="2"/>
    <n v="48.64"/>
    <n v="65"/>
    <x v="3"/>
    <x v="2"/>
    <s v="UK"/>
    <n v="261"/>
    <s v="High"/>
    <s v="Average"/>
  </r>
  <r>
    <x v="0"/>
    <x v="7"/>
    <x v="1276"/>
    <x v="1"/>
    <s v="New Michele"/>
    <x v="2"/>
    <n v="2.1"/>
    <n v="69"/>
    <x v="2"/>
    <x v="1"/>
    <s v="Germany, Russia"/>
    <n v="363"/>
    <s v="Low"/>
    <s v="Average"/>
  </r>
  <r>
    <x v="1"/>
    <x v="12"/>
    <x v="1277"/>
    <x v="1"/>
    <s v="Tanyaview"/>
    <x v="0"/>
    <n v="27.42"/>
    <n v="55"/>
    <x v="0"/>
    <x v="0"/>
    <s v="UAE, USA, France"/>
    <n v="173"/>
    <s v="Medium"/>
    <s v="Average"/>
  </r>
  <r>
    <x v="0"/>
    <x v="8"/>
    <x v="1278"/>
    <x v="1"/>
    <s v="Susanside"/>
    <x v="0"/>
    <n v="21.69"/>
    <n v="92"/>
    <x v="1"/>
    <x v="2"/>
    <s v="France, Japan"/>
    <n v="107"/>
    <s v="Medium"/>
    <s v="Excellent"/>
  </r>
  <r>
    <x v="2"/>
    <x v="24"/>
    <x v="1279"/>
    <x v="1"/>
    <s v="Alexandriahaven"/>
    <x v="0"/>
    <n v="28.74"/>
    <n v="85"/>
    <x v="3"/>
    <x v="0"/>
    <s v="China, Israel, India"/>
    <n v="125"/>
    <s v="Medium"/>
    <s v="Good"/>
  </r>
  <r>
    <x v="0"/>
    <x v="4"/>
    <x v="1280"/>
    <x v="0"/>
    <s v="Thompsonland"/>
    <x v="4"/>
    <n v="16.079999999999998"/>
    <n v="52"/>
    <x v="0"/>
    <x v="1"/>
    <s v="UK, Japan"/>
    <n v="291"/>
    <s v="Medium"/>
    <s v="Average"/>
  </r>
  <r>
    <x v="2"/>
    <x v="10"/>
    <x v="1281"/>
    <x v="0"/>
    <s v="Port Alexander"/>
    <x v="4"/>
    <n v="29.93"/>
    <n v="78"/>
    <x v="3"/>
    <x v="2"/>
    <s v="Israel, Japan"/>
    <n v="278"/>
    <s v="Medium"/>
    <s v="Good"/>
  </r>
  <r>
    <x v="2"/>
    <x v="22"/>
    <x v="1282"/>
    <x v="1"/>
    <s v="Grossburgh"/>
    <x v="1"/>
    <n v="8.2200000000000006"/>
    <n v="67"/>
    <x v="1"/>
    <x v="2"/>
    <s v="USA, China"/>
    <n v="62"/>
    <s v="Low"/>
    <s v="Average"/>
  </r>
  <r>
    <x v="1"/>
    <x v="21"/>
    <x v="1283"/>
    <x v="1"/>
    <s v="Websterville"/>
    <x v="1"/>
    <n v="20.27"/>
    <n v="58"/>
    <x v="0"/>
    <x v="2"/>
    <s v="Japan, USA"/>
    <n v="27"/>
    <s v="Medium"/>
    <s v="Average"/>
  </r>
  <r>
    <x v="2"/>
    <x v="13"/>
    <x v="1284"/>
    <x v="0"/>
    <s v="Ryanville"/>
    <x v="4"/>
    <n v="36.82"/>
    <n v="77"/>
    <x v="2"/>
    <x v="2"/>
    <s v="Russia"/>
    <n v="78"/>
    <s v="High"/>
    <s v="Good"/>
  </r>
  <r>
    <x v="2"/>
    <x v="0"/>
    <x v="1285"/>
    <x v="1"/>
    <s v="New Shane"/>
    <x v="3"/>
    <n v="3.79"/>
    <n v="59"/>
    <x v="3"/>
    <x v="2"/>
    <s v="UAE"/>
    <n v="238"/>
    <s v="Low"/>
    <s v="Average"/>
  </r>
  <r>
    <x v="1"/>
    <x v="21"/>
    <x v="1286"/>
    <x v="0"/>
    <s v="Jenniferborough"/>
    <x v="2"/>
    <n v="30.87"/>
    <n v="56"/>
    <x v="4"/>
    <x v="2"/>
    <s v="USA, UAE, UK"/>
    <n v="172"/>
    <s v="Medium"/>
    <s v="Average"/>
  </r>
  <r>
    <x v="9"/>
    <x v="13"/>
    <x v="1287"/>
    <x v="1"/>
    <s v="Roblesburgh"/>
    <x v="0"/>
    <n v="26.76"/>
    <n v="85"/>
    <x v="1"/>
    <x v="1"/>
    <s v="USA, UAE"/>
    <n v="358"/>
    <s v="Medium"/>
    <s v="Good"/>
  </r>
  <r>
    <x v="3"/>
    <x v="5"/>
    <x v="1288"/>
    <x v="1"/>
    <s v="New Vernon"/>
    <x v="2"/>
    <n v="17.489999999999998"/>
    <n v="70"/>
    <x v="3"/>
    <x v="1"/>
    <s v="UAE, UK"/>
    <n v="10"/>
    <s v="Medium"/>
    <s v="Average"/>
  </r>
  <r>
    <x v="6"/>
    <x v="12"/>
    <x v="1289"/>
    <x v="0"/>
    <s v="South Rodney"/>
    <x v="4"/>
    <n v="31.78"/>
    <n v="60"/>
    <x v="1"/>
    <x v="2"/>
    <s v="Russia, USA, UK"/>
    <n v="66"/>
    <s v="Medium"/>
    <s v="Average"/>
  </r>
  <r>
    <x v="8"/>
    <x v="25"/>
    <x v="1290"/>
    <x v="0"/>
    <s v="South Sherry"/>
    <x v="3"/>
    <n v="14.03"/>
    <n v="99"/>
    <x v="4"/>
    <x v="2"/>
    <s v="France, Russia, Japan"/>
    <n v="45"/>
    <s v="Low"/>
    <s v="Excellent"/>
  </r>
  <r>
    <x v="0"/>
    <x v="13"/>
    <x v="1291"/>
    <x v="1"/>
    <s v="Harrishaven"/>
    <x v="2"/>
    <n v="1.45"/>
    <n v="89"/>
    <x v="0"/>
    <x v="2"/>
    <s v="Germany, Japan, USA"/>
    <n v="18"/>
    <s v="Low"/>
    <s v="Good"/>
  </r>
  <r>
    <x v="5"/>
    <x v="1"/>
    <x v="1292"/>
    <x v="0"/>
    <s v="Brookehaven"/>
    <x v="1"/>
    <n v="0.83"/>
    <n v="100"/>
    <x v="1"/>
    <x v="2"/>
    <s v="Germany, USA, UK"/>
    <n v="17"/>
    <s v="Low"/>
    <s v="Excellent"/>
  </r>
  <r>
    <x v="7"/>
    <x v="17"/>
    <x v="1293"/>
    <x v="0"/>
    <s v="Johnsonville"/>
    <x v="1"/>
    <n v="23.61"/>
    <n v="53"/>
    <x v="4"/>
    <x v="0"/>
    <s v="China, Israel"/>
    <n v="134"/>
    <s v="Medium"/>
    <s v="Average"/>
  </r>
  <r>
    <x v="2"/>
    <x v="5"/>
    <x v="1294"/>
    <x v="1"/>
    <s v="Swansontown"/>
    <x v="2"/>
    <n v="22.5"/>
    <n v="93"/>
    <x v="0"/>
    <x v="0"/>
    <s v="UK"/>
    <n v="279"/>
    <s v="Medium"/>
    <s v="Excellent"/>
  </r>
  <r>
    <x v="8"/>
    <x v="11"/>
    <x v="1295"/>
    <x v="1"/>
    <s v="Port Sandra"/>
    <x v="2"/>
    <n v="38.78"/>
    <n v="53"/>
    <x v="2"/>
    <x v="0"/>
    <s v="India, France"/>
    <n v="44"/>
    <s v="High"/>
    <s v="Average"/>
  </r>
  <r>
    <x v="3"/>
    <x v="4"/>
    <x v="1296"/>
    <x v="0"/>
    <s v="New Andrea"/>
    <x v="0"/>
    <n v="36.35"/>
    <n v="61"/>
    <x v="1"/>
    <x v="2"/>
    <s v="Israel, China"/>
    <n v="86"/>
    <s v="High"/>
    <s v="Average"/>
  </r>
  <r>
    <x v="2"/>
    <x v="1"/>
    <x v="1297"/>
    <x v="1"/>
    <s v="Carolinemouth"/>
    <x v="2"/>
    <n v="44.4"/>
    <n v="65"/>
    <x v="2"/>
    <x v="2"/>
    <s v="USA, Israel, Russia"/>
    <n v="46"/>
    <s v="High"/>
    <s v="Average"/>
  </r>
  <r>
    <x v="2"/>
    <x v="1"/>
    <x v="1298"/>
    <x v="0"/>
    <s v="Shanemouth"/>
    <x v="1"/>
    <n v="35.22"/>
    <n v="99"/>
    <x v="3"/>
    <x v="0"/>
    <s v="UAE, UK"/>
    <n v="26"/>
    <s v="High"/>
    <s v="Excellent"/>
  </r>
  <r>
    <x v="7"/>
    <x v="2"/>
    <x v="1299"/>
    <x v="1"/>
    <s v="Cassandrafort"/>
    <x v="0"/>
    <n v="30.16"/>
    <n v="66"/>
    <x v="4"/>
    <x v="0"/>
    <s v="UK, Israel, USA"/>
    <n v="157"/>
    <s v="Medium"/>
    <s v="Average"/>
  </r>
  <r>
    <x v="7"/>
    <x v="18"/>
    <x v="1300"/>
    <x v="1"/>
    <s v="North Elijah"/>
    <x v="1"/>
    <n v="9.31"/>
    <n v="85"/>
    <x v="3"/>
    <x v="2"/>
    <s v="USA, France, Japan"/>
    <n v="93"/>
    <s v="Low"/>
    <s v="Good"/>
  </r>
  <r>
    <x v="4"/>
    <x v="4"/>
    <x v="1301"/>
    <x v="0"/>
    <s v="Robertville"/>
    <x v="1"/>
    <n v="47.04"/>
    <n v="65"/>
    <x v="2"/>
    <x v="2"/>
    <s v="UAE"/>
    <n v="12"/>
    <s v="High"/>
    <s v="Average"/>
  </r>
  <r>
    <x v="6"/>
    <x v="25"/>
    <x v="1302"/>
    <x v="1"/>
    <s v="South Brianshire"/>
    <x v="1"/>
    <n v="40.119999999999997"/>
    <n v="75"/>
    <x v="3"/>
    <x v="2"/>
    <s v="USA"/>
    <n v="116"/>
    <s v="High"/>
    <s v="Good"/>
  </r>
  <r>
    <x v="1"/>
    <x v="11"/>
    <x v="1303"/>
    <x v="0"/>
    <s v="Feliciachester"/>
    <x v="4"/>
    <n v="20.440000000000001"/>
    <n v="58"/>
    <x v="1"/>
    <x v="2"/>
    <s v="China"/>
    <n v="168"/>
    <s v="Medium"/>
    <s v="Average"/>
  </r>
  <r>
    <x v="7"/>
    <x v="22"/>
    <x v="1304"/>
    <x v="1"/>
    <s v="West Kevinview"/>
    <x v="4"/>
    <n v="47.14"/>
    <n v="99"/>
    <x v="1"/>
    <x v="0"/>
    <s v="Russia"/>
    <n v="86"/>
    <s v="High"/>
    <s v="Excellent"/>
  </r>
  <r>
    <x v="7"/>
    <x v="21"/>
    <x v="1305"/>
    <x v="0"/>
    <s v="Lake Mark"/>
    <x v="0"/>
    <n v="10.26"/>
    <n v="98"/>
    <x v="1"/>
    <x v="0"/>
    <s v="India, USA"/>
    <n v="327"/>
    <s v="Low"/>
    <s v="Excellent"/>
  </r>
  <r>
    <x v="7"/>
    <x v="6"/>
    <x v="1306"/>
    <x v="0"/>
    <s v="Port Anthony"/>
    <x v="4"/>
    <n v="31.8"/>
    <n v="51"/>
    <x v="1"/>
    <x v="2"/>
    <s v="India, Israel, France"/>
    <n v="131"/>
    <s v="Medium"/>
    <s v="Average"/>
  </r>
  <r>
    <x v="7"/>
    <x v="23"/>
    <x v="1307"/>
    <x v="1"/>
    <s v="Robertland"/>
    <x v="1"/>
    <n v="8.3699999999999992"/>
    <n v="53"/>
    <x v="2"/>
    <x v="1"/>
    <s v="Israel, Germany, Russia"/>
    <n v="97"/>
    <s v="Low"/>
    <s v="Average"/>
  </r>
  <r>
    <x v="2"/>
    <x v="20"/>
    <x v="1308"/>
    <x v="0"/>
    <s v="Warrenstad"/>
    <x v="3"/>
    <n v="30.86"/>
    <n v="66"/>
    <x v="3"/>
    <x v="0"/>
    <s v="Russia, China, Germany"/>
    <n v="140"/>
    <s v="Medium"/>
    <s v="Average"/>
  </r>
  <r>
    <x v="0"/>
    <x v="8"/>
    <x v="1309"/>
    <x v="0"/>
    <s v="Reidland"/>
    <x v="2"/>
    <n v="5.25"/>
    <n v="71"/>
    <x v="1"/>
    <x v="2"/>
    <s v="India, China"/>
    <n v="164"/>
    <s v="Low"/>
    <s v="Average"/>
  </r>
  <r>
    <x v="4"/>
    <x v="7"/>
    <x v="1310"/>
    <x v="1"/>
    <s v="North Nathan"/>
    <x v="1"/>
    <n v="40.880000000000003"/>
    <n v="54"/>
    <x v="2"/>
    <x v="2"/>
    <s v="China, Germany"/>
    <n v="346"/>
    <s v="High"/>
    <s v="Average"/>
  </r>
  <r>
    <x v="4"/>
    <x v="10"/>
    <x v="1311"/>
    <x v="1"/>
    <s v="Flowersview"/>
    <x v="2"/>
    <n v="34.200000000000003"/>
    <n v="100"/>
    <x v="1"/>
    <x v="2"/>
    <s v="Israel"/>
    <n v="20"/>
    <s v="Medium"/>
    <s v="Excellent"/>
  </r>
  <r>
    <x v="8"/>
    <x v="6"/>
    <x v="1312"/>
    <x v="0"/>
    <s v="West Lauraside"/>
    <x v="1"/>
    <n v="32.36"/>
    <n v="52"/>
    <x v="4"/>
    <x v="0"/>
    <s v="China, India"/>
    <n v="171"/>
    <s v="Medium"/>
    <s v="Average"/>
  </r>
  <r>
    <x v="7"/>
    <x v="0"/>
    <x v="1313"/>
    <x v="0"/>
    <s v="Stevenmouth"/>
    <x v="4"/>
    <n v="18.52"/>
    <n v="88"/>
    <x v="1"/>
    <x v="2"/>
    <s v="UAE"/>
    <n v="283"/>
    <s v="Medium"/>
    <s v="Good"/>
  </r>
  <r>
    <x v="4"/>
    <x v="17"/>
    <x v="1314"/>
    <x v="0"/>
    <s v="Brianastad"/>
    <x v="3"/>
    <n v="12.13"/>
    <n v="92"/>
    <x v="4"/>
    <x v="1"/>
    <s v="UAE"/>
    <n v="125"/>
    <s v="Low"/>
    <s v="Excellent"/>
  </r>
  <r>
    <x v="8"/>
    <x v="6"/>
    <x v="1315"/>
    <x v="1"/>
    <s v="Gilmorestad"/>
    <x v="2"/>
    <n v="36.43"/>
    <n v="73"/>
    <x v="0"/>
    <x v="1"/>
    <s v="India, UK, USA"/>
    <n v="1"/>
    <s v="High"/>
    <s v="Average"/>
  </r>
  <r>
    <x v="7"/>
    <x v="12"/>
    <x v="1316"/>
    <x v="0"/>
    <s v="Mcclureburgh"/>
    <x v="4"/>
    <n v="9"/>
    <n v="64"/>
    <x v="2"/>
    <x v="1"/>
    <s v="France, Israel, Germany"/>
    <n v="262"/>
    <s v="Low"/>
    <s v="Average"/>
  </r>
  <r>
    <x v="7"/>
    <x v="7"/>
    <x v="1317"/>
    <x v="1"/>
    <s v="West Stevenstad"/>
    <x v="1"/>
    <n v="34.270000000000003"/>
    <n v="81"/>
    <x v="3"/>
    <x v="2"/>
    <s v="UAE, Japan"/>
    <n v="303"/>
    <s v="Medium"/>
    <s v="Good"/>
  </r>
  <r>
    <x v="1"/>
    <x v="24"/>
    <x v="1318"/>
    <x v="1"/>
    <s v="Nicholasside"/>
    <x v="1"/>
    <n v="41.06"/>
    <n v="66"/>
    <x v="4"/>
    <x v="2"/>
    <s v="Israel"/>
    <n v="355"/>
    <s v="High"/>
    <s v="Average"/>
  </r>
  <r>
    <x v="3"/>
    <x v="16"/>
    <x v="1319"/>
    <x v="0"/>
    <s v="Robertport"/>
    <x v="1"/>
    <n v="43.24"/>
    <n v="77"/>
    <x v="3"/>
    <x v="2"/>
    <s v="USA"/>
    <n v="344"/>
    <s v="High"/>
    <s v="Good"/>
  </r>
  <r>
    <x v="8"/>
    <x v="15"/>
    <x v="1320"/>
    <x v="1"/>
    <s v="Waltersberg"/>
    <x v="3"/>
    <n v="42.87"/>
    <n v="96"/>
    <x v="3"/>
    <x v="1"/>
    <s v="Russia"/>
    <n v="266"/>
    <s v="High"/>
    <s v="Excellent"/>
  </r>
  <r>
    <x v="5"/>
    <x v="21"/>
    <x v="1321"/>
    <x v="1"/>
    <s v="West Kathleen"/>
    <x v="4"/>
    <n v="32.159999999999997"/>
    <n v="56"/>
    <x v="2"/>
    <x v="1"/>
    <s v="France"/>
    <n v="264"/>
    <s v="Medium"/>
    <s v="Average"/>
  </r>
  <r>
    <x v="9"/>
    <x v="15"/>
    <x v="1322"/>
    <x v="1"/>
    <s v="North Thomasport"/>
    <x v="0"/>
    <n v="10.74"/>
    <n v="59"/>
    <x v="0"/>
    <x v="2"/>
    <s v="USA, Israel, Japan"/>
    <n v="41"/>
    <s v="Low"/>
    <s v="Average"/>
  </r>
  <r>
    <x v="3"/>
    <x v="14"/>
    <x v="1323"/>
    <x v="0"/>
    <s v="Lake John"/>
    <x v="0"/>
    <n v="23.95"/>
    <n v="73"/>
    <x v="1"/>
    <x v="0"/>
    <s v="UK, Germany"/>
    <n v="193"/>
    <s v="Medium"/>
    <s v="Average"/>
  </r>
  <r>
    <x v="1"/>
    <x v="14"/>
    <x v="1324"/>
    <x v="1"/>
    <s v="South Joseph"/>
    <x v="0"/>
    <n v="33.840000000000003"/>
    <n v="75"/>
    <x v="3"/>
    <x v="0"/>
    <s v="USA"/>
    <n v="362"/>
    <s v="Medium"/>
    <s v="Good"/>
  </r>
  <r>
    <x v="7"/>
    <x v="21"/>
    <x v="1325"/>
    <x v="0"/>
    <s v="Freemanton"/>
    <x v="3"/>
    <n v="41.85"/>
    <n v="86"/>
    <x v="4"/>
    <x v="2"/>
    <s v="Germany"/>
    <n v="83"/>
    <s v="High"/>
    <s v="Good"/>
  </r>
  <r>
    <x v="4"/>
    <x v="25"/>
    <x v="1326"/>
    <x v="0"/>
    <s v="Simpsonshire"/>
    <x v="4"/>
    <n v="8.4"/>
    <n v="88"/>
    <x v="4"/>
    <x v="0"/>
    <s v="France, Russia, USA"/>
    <n v="338"/>
    <s v="Low"/>
    <s v="Good"/>
  </r>
  <r>
    <x v="2"/>
    <x v="14"/>
    <x v="1327"/>
    <x v="1"/>
    <s v="South Jeffrey"/>
    <x v="3"/>
    <n v="7.88"/>
    <n v="70"/>
    <x v="1"/>
    <x v="1"/>
    <s v="Japan, Germany"/>
    <n v="55"/>
    <s v="Low"/>
    <s v="Average"/>
  </r>
  <r>
    <x v="4"/>
    <x v="6"/>
    <x v="1328"/>
    <x v="0"/>
    <s v="North Valerie"/>
    <x v="4"/>
    <n v="11.21"/>
    <n v="51"/>
    <x v="4"/>
    <x v="1"/>
    <s v="India"/>
    <n v="42"/>
    <s v="Low"/>
    <s v="Average"/>
  </r>
  <r>
    <x v="8"/>
    <x v="18"/>
    <x v="1329"/>
    <x v="0"/>
    <s v="Cookmouth"/>
    <x v="3"/>
    <n v="17.97"/>
    <n v="89"/>
    <x v="1"/>
    <x v="0"/>
    <s v="UK, India"/>
    <n v="355"/>
    <s v="Medium"/>
    <s v="Good"/>
  </r>
  <r>
    <x v="1"/>
    <x v="20"/>
    <x v="1330"/>
    <x v="0"/>
    <s v="East Maryberg"/>
    <x v="1"/>
    <n v="36.96"/>
    <n v="61"/>
    <x v="2"/>
    <x v="1"/>
    <s v="China, Russia, Japan"/>
    <n v="88"/>
    <s v="High"/>
    <s v="Average"/>
  </r>
  <r>
    <x v="4"/>
    <x v="12"/>
    <x v="1331"/>
    <x v="0"/>
    <s v="New Elizabeth"/>
    <x v="0"/>
    <n v="33.799999999999997"/>
    <n v="65"/>
    <x v="3"/>
    <x v="0"/>
    <s v="Japan"/>
    <n v="76"/>
    <s v="Medium"/>
    <s v="Average"/>
  </r>
  <r>
    <x v="9"/>
    <x v="8"/>
    <x v="1332"/>
    <x v="0"/>
    <s v="Port Zacharyberg"/>
    <x v="4"/>
    <n v="45"/>
    <n v="94"/>
    <x v="4"/>
    <x v="0"/>
    <s v="Japan, Israel, China"/>
    <n v="306"/>
    <s v="High"/>
    <s v="Excellent"/>
  </r>
  <r>
    <x v="8"/>
    <x v="7"/>
    <x v="1333"/>
    <x v="0"/>
    <s v="North Nicholasmouth"/>
    <x v="4"/>
    <n v="31.15"/>
    <n v="56"/>
    <x v="2"/>
    <x v="0"/>
    <s v="Russia"/>
    <n v="349"/>
    <s v="Medium"/>
    <s v="Average"/>
  </r>
  <r>
    <x v="8"/>
    <x v="1"/>
    <x v="1334"/>
    <x v="1"/>
    <s v="West Mark"/>
    <x v="4"/>
    <n v="20.170000000000002"/>
    <n v="88"/>
    <x v="4"/>
    <x v="2"/>
    <s v="Germany"/>
    <n v="362"/>
    <s v="Medium"/>
    <s v="Good"/>
  </r>
  <r>
    <x v="0"/>
    <x v="24"/>
    <x v="1335"/>
    <x v="0"/>
    <s v="North Bonnieport"/>
    <x v="4"/>
    <n v="45.49"/>
    <n v="72"/>
    <x v="3"/>
    <x v="0"/>
    <s v="UAE"/>
    <n v="27"/>
    <s v="High"/>
    <s v="Average"/>
  </r>
  <r>
    <x v="1"/>
    <x v="12"/>
    <x v="1336"/>
    <x v="1"/>
    <s v="Martinezburgh"/>
    <x v="0"/>
    <n v="18.600000000000001"/>
    <n v="79"/>
    <x v="3"/>
    <x v="2"/>
    <s v="Israel, Russia"/>
    <n v="90"/>
    <s v="Medium"/>
    <s v="Good"/>
  </r>
  <r>
    <x v="1"/>
    <x v="9"/>
    <x v="1337"/>
    <x v="0"/>
    <s v="Sharonborough"/>
    <x v="0"/>
    <n v="1.99"/>
    <n v="85"/>
    <x v="2"/>
    <x v="1"/>
    <s v="Russia, USA"/>
    <n v="108"/>
    <s v="Low"/>
    <s v="Good"/>
  </r>
  <r>
    <x v="3"/>
    <x v="17"/>
    <x v="1338"/>
    <x v="0"/>
    <s v="Hernandezstad"/>
    <x v="0"/>
    <n v="22.93"/>
    <n v="50"/>
    <x v="1"/>
    <x v="2"/>
    <s v="USA, India"/>
    <n v="235"/>
    <s v="Medium"/>
    <s v="Average"/>
  </r>
  <r>
    <x v="7"/>
    <x v="10"/>
    <x v="1339"/>
    <x v="1"/>
    <s v="Lake Terriport"/>
    <x v="4"/>
    <n v="35.409999999999997"/>
    <n v="85"/>
    <x v="0"/>
    <x v="1"/>
    <s v="Germany"/>
    <n v="42"/>
    <s v="High"/>
    <s v="Good"/>
  </r>
  <r>
    <x v="2"/>
    <x v="23"/>
    <x v="1340"/>
    <x v="0"/>
    <s v="Port Allisontown"/>
    <x v="0"/>
    <n v="37.340000000000003"/>
    <n v="92"/>
    <x v="2"/>
    <x v="0"/>
    <s v="China, Germany, Israel"/>
    <n v="133"/>
    <s v="High"/>
    <s v="Excellent"/>
  </r>
  <r>
    <x v="6"/>
    <x v="10"/>
    <x v="1341"/>
    <x v="0"/>
    <s v="Higginsland"/>
    <x v="0"/>
    <n v="27.76"/>
    <n v="60"/>
    <x v="4"/>
    <x v="1"/>
    <s v="UK, China"/>
    <n v="183"/>
    <s v="Medium"/>
    <s v="Average"/>
  </r>
  <r>
    <x v="9"/>
    <x v="3"/>
    <x v="1342"/>
    <x v="0"/>
    <s v="South Jessicachester"/>
    <x v="3"/>
    <n v="11.61"/>
    <n v="78"/>
    <x v="2"/>
    <x v="2"/>
    <s v="Germany"/>
    <n v="90"/>
    <s v="Low"/>
    <s v="Good"/>
  </r>
  <r>
    <x v="2"/>
    <x v="13"/>
    <x v="1343"/>
    <x v="0"/>
    <s v="Port Josephborough"/>
    <x v="3"/>
    <n v="46.36"/>
    <n v="60"/>
    <x v="3"/>
    <x v="0"/>
    <s v="Japan, Israel, France"/>
    <n v="21"/>
    <s v="High"/>
    <s v="Average"/>
  </r>
  <r>
    <x v="2"/>
    <x v="13"/>
    <x v="1344"/>
    <x v="0"/>
    <s v="New Breannafurt"/>
    <x v="1"/>
    <n v="46.47"/>
    <n v="71"/>
    <x v="1"/>
    <x v="0"/>
    <s v="India"/>
    <n v="265"/>
    <s v="High"/>
    <s v="Average"/>
  </r>
  <r>
    <x v="3"/>
    <x v="24"/>
    <x v="1345"/>
    <x v="1"/>
    <s v="Cannonchester"/>
    <x v="3"/>
    <n v="48.98"/>
    <n v="70"/>
    <x v="2"/>
    <x v="2"/>
    <s v="Russia"/>
    <n v="174"/>
    <s v="High"/>
    <s v="Average"/>
  </r>
  <r>
    <x v="6"/>
    <x v="8"/>
    <x v="1346"/>
    <x v="1"/>
    <s v="Warrenton"/>
    <x v="2"/>
    <n v="26.39"/>
    <n v="92"/>
    <x v="3"/>
    <x v="0"/>
    <s v="India, China"/>
    <n v="237"/>
    <s v="Medium"/>
    <s v="Excellent"/>
  </r>
  <r>
    <x v="1"/>
    <x v="24"/>
    <x v="1347"/>
    <x v="0"/>
    <s v="Martinfurt"/>
    <x v="2"/>
    <n v="7.01"/>
    <n v="81"/>
    <x v="1"/>
    <x v="0"/>
    <s v="UAE, Russia, China"/>
    <n v="33"/>
    <s v="Low"/>
    <s v="Good"/>
  </r>
  <r>
    <x v="2"/>
    <x v="24"/>
    <x v="1348"/>
    <x v="1"/>
    <s v="Alisonton"/>
    <x v="2"/>
    <n v="30.84"/>
    <n v="61"/>
    <x v="1"/>
    <x v="0"/>
    <s v="UK, Israel"/>
    <n v="7"/>
    <s v="Medium"/>
    <s v="Average"/>
  </r>
  <r>
    <x v="5"/>
    <x v="16"/>
    <x v="1349"/>
    <x v="0"/>
    <s v="North Amandaburgh"/>
    <x v="0"/>
    <n v="0.83"/>
    <n v="92"/>
    <x v="4"/>
    <x v="1"/>
    <s v="India, France, USA"/>
    <n v="302"/>
    <s v="Low"/>
    <s v="Excellent"/>
  </r>
  <r>
    <x v="7"/>
    <x v="9"/>
    <x v="1350"/>
    <x v="1"/>
    <s v="Simpsonland"/>
    <x v="3"/>
    <n v="37.72"/>
    <n v="92"/>
    <x v="2"/>
    <x v="1"/>
    <s v="Israel, UAE"/>
    <n v="301"/>
    <s v="High"/>
    <s v="Excellent"/>
  </r>
  <r>
    <x v="8"/>
    <x v="25"/>
    <x v="1351"/>
    <x v="1"/>
    <s v="Rodriguezshire"/>
    <x v="0"/>
    <n v="17.11"/>
    <n v="72"/>
    <x v="4"/>
    <x v="1"/>
    <s v="China, Germany"/>
    <n v="254"/>
    <s v="Medium"/>
    <s v="Average"/>
  </r>
  <r>
    <x v="8"/>
    <x v="20"/>
    <x v="1352"/>
    <x v="0"/>
    <s v="Michaelburgh"/>
    <x v="4"/>
    <n v="37.28"/>
    <n v="86"/>
    <x v="3"/>
    <x v="1"/>
    <s v="Israel"/>
    <n v="42"/>
    <s v="High"/>
    <s v="Good"/>
  </r>
  <r>
    <x v="7"/>
    <x v="12"/>
    <x v="1353"/>
    <x v="1"/>
    <s v="Lake Jasonland"/>
    <x v="4"/>
    <n v="16.03"/>
    <n v="65"/>
    <x v="4"/>
    <x v="1"/>
    <s v="Russia, France, India"/>
    <n v="350"/>
    <s v="Medium"/>
    <s v="Average"/>
  </r>
  <r>
    <x v="6"/>
    <x v="13"/>
    <x v="1354"/>
    <x v="0"/>
    <s v="Lake Tina"/>
    <x v="3"/>
    <n v="25.58"/>
    <n v="75"/>
    <x v="1"/>
    <x v="0"/>
    <s v="Israel"/>
    <n v="327"/>
    <s v="Medium"/>
    <s v="Good"/>
  </r>
  <r>
    <x v="5"/>
    <x v="14"/>
    <x v="1355"/>
    <x v="1"/>
    <s v="Andrewsstad"/>
    <x v="3"/>
    <n v="23.56"/>
    <n v="69"/>
    <x v="1"/>
    <x v="1"/>
    <s v="UAE"/>
    <n v="315"/>
    <s v="Medium"/>
    <s v="Average"/>
  </r>
  <r>
    <x v="9"/>
    <x v="22"/>
    <x v="1356"/>
    <x v="1"/>
    <s v="Seanborough"/>
    <x v="0"/>
    <n v="31.06"/>
    <n v="86"/>
    <x v="4"/>
    <x v="0"/>
    <s v="UK, China, Germany"/>
    <n v="33"/>
    <s v="Medium"/>
    <s v="Good"/>
  </r>
  <r>
    <x v="3"/>
    <x v="2"/>
    <x v="1357"/>
    <x v="0"/>
    <s v="Stewartburgh"/>
    <x v="4"/>
    <n v="14.62"/>
    <n v="62"/>
    <x v="2"/>
    <x v="1"/>
    <s v="Germany, India"/>
    <n v="105"/>
    <s v="Low"/>
    <s v="Average"/>
  </r>
  <r>
    <x v="6"/>
    <x v="0"/>
    <x v="1358"/>
    <x v="0"/>
    <s v="Cruzport"/>
    <x v="2"/>
    <n v="13.52"/>
    <n v="91"/>
    <x v="1"/>
    <x v="2"/>
    <s v="UK, Japan"/>
    <n v="173"/>
    <s v="Low"/>
    <s v="Excellent"/>
  </r>
  <r>
    <x v="7"/>
    <x v="15"/>
    <x v="1359"/>
    <x v="1"/>
    <s v="Robertaport"/>
    <x v="4"/>
    <n v="29.44"/>
    <n v="86"/>
    <x v="0"/>
    <x v="1"/>
    <s v="Russia, UAE, Israel"/>
    <n v="40"/>
    <s v="Medium"/>
    <s v="Good"/>
  </r>
  <r>
    <x v="9"/>
    <x v="16"/>
    <x v="1360"/>
    <x v="0"/>
    <s v="Matthewfurt"/>
    <x v="4"/>
    <n v="46.22"/>
    <n v="60"/>
    <x v="2"/>
    <x v="2"/>
    <s v="USA, UAE, Japan"/>
    <n v="122"/>
    <s v="High"/>
    <s v="Average"/>
  </r>
  <r>
    <x v="8"/>
    <x v="12"/>
    <x v="1361"/>
    <x v="1"/>
    <s v="South Cameron"/>
    <x v="3"/>
    <n v="3.91"/>
    <n v="93"/>
    <x v="2"/>
    <x v="2"/>
    <s v="Japan, India, Germany"/>
    <n v="280"/>
    <s v="Low"/>
    <s v="Excellent"/>
  </r>
  <r>
    <x v="1"/>
    <x v="24"/>
    <x v="1362"/>
    <x v="0"/>
    <s v="Coreyborough"/>
    <x v="1"/>
    <n v="37.159999999999997"/>
    <n v="59"/>
    <x v="1"/>
    <x v="1"/>
    <s v="UK, Japan"/>
    <n v="313"/>
    <s v="High"/>
    <s v="Average"/>
  </r>
  <r>
    <x v="6"/>
    <x v="24"/>
    <x v="1363"/>
    <x v="1"/>
    <s v="New Jason"/>
    <x v="0"/>
    <n v="41.82"/>
    <n v="67"/>
    <x v="2"/>
    <x v="0"/>
    <s v="China, UK"/>
    <n v="168"/>
    <s v="High"/>
    <s v="Average"/>
  </r>
  <r>
    <x v="1"/>
    <x v="1"/>
    <x v="1364"/>
    <x v="1"/>
    <s v="Monicatown"/>
    <x v="1"/>
    <n v="13.62"/>
    <n v="51"/>
    <x v="0"/>
    <x v="1"/>
    <s v="UK, China, India"/>
    <n v="223"/>
    <s v="Low"/>
    <s v="Average"/>
  </r>
  <r>
    <x v="0"/>
    <x v="2"/>
    <x v="1365"/>
    <x v="0"/>
    <s v="Lisaland"/>
    <x v="1"/>
    <n v="48.16"/>
    <n v="58"/>
    <x v="3"/>
    <x v="1"/>
    <s v="UK"/>
    <n v="278"/>
    <s v="High"/>
    <s v="Average"/>
  </r>
  <r>
    <x v="3"/>
    <x v="12"/>
    <x v="1366"/>
    <x v="1"/>
    <s v="West Joseberg"/>
    <x v="0"/>
    <n v="31.15"/>
    <n v="72"/>
    <x v="3"/>
    <x v="2"/>
    <s v="Japan, France"/>
    <n v="148"/>
    <s v="Medium"/>
    <s v="Average"/>
  </r>
  <r>
    <x v="2"/>
    <x v="1"/>
    <x v="1367"/>
    <x v="1"/>
    <s v="South Rita"/>
    <x v="0"/>
    <n v="27.81"/>
    <n v="61"/>
    <x v="4"/>
    <x v="0"/>
    <s v="Israel, Japan"/>
    <n v="14"/>
    <s v="Medium"/>
    <s v="Average"/>
  </r>
  <r>
    <x v="0"/>
    <x v="11"/>
    <x v="1368"/>
    <x v="0"/>
    <s v="North Tina"/>
    <x v="0"/>
    <n v="39.78"/>
    <n v="67"/>
    <x v="1"/>
    <x v="2"/>
    <s v="India"/>
    <n v="123"/>
    <s v="High"/>
    <s v="Average"/>
  </r>
  <r>
    <x v="4"/>
    <x v="16"/>
    <x v="1369"/>
    <x v="0"/>
    <s v="Sarahport"/>
    <x v="1"/>
    <n v="7.46"/>
    <n v="94"/>
    <x v="3"/>
    <x v="0"/>
    <s v="USA"/>
    <n v="102"/>
    <s v="Low"/>
    <s v="Excellent"/>
  </r>
  <r>
    <x v="3"/>
    <x v="20"/>
    <x v="1370"/>
    <x v="1"/>
    <s v="Lake Manuel"/>
    <x v="0"/>
    <n v="29.19"/>
    <n v="95"/>
    <x v="2"/>
    <x v="2"/>
    <s v="China"/>
    <n v="60"/>
    <s v="Medium"/>
    <s v="Excellent"/>
  </r>
  <r>
    <x v="4"/>
    <x v="19"/>
    <x v="1371"/>
    <x v="1"/>
    <s v="Garciaburgh"/>
    <x v="0"/>
    <n v="19.579999999999998"/>
    <n v="70"/>
    <x v="0"/>
    <x v="0"/>
    <s v="Japan"/>
    <n v="32"/>
    <s v="Medium"/>
    <s v="Average"/>
  </r>
  <r>
    <x v="8"/>
    <x v="11"/>
    <x v="1372"/>
    <x v="0"/>
    <s v="Bradleyburgh"/>
    <x v="0"/>
    <n v="21.38"/>
    <n v="69"/>
    <x v="3"/>
    <x v="2"/>
    <s v="Israel"/>
    <n v="240"/>
    <s v="Medium"/>
    <s v="Average"/>
  </r>
  <r>
    <x v="7"/>
    <x v="16"/>
    <x v="1373"/>
    <x v="1"/>
    <s v="Elizabethmouth"/>
    <x v="1"/>
    <n v="23.61"/>
    <n v="95"/>
    <x v="1"/>
    <x v="2"/>
    <s v="China, France, USA"/>
    <n v="118"/>
    <s v="Medium"/>
    <s v="Excellent"/>
  </r>
  <r>
    <x v="7"/>
    <x v="1"/>
    <x v="1374"/>
    <x v="0"/>
    <s v="West Brian"/>
    <x v="1"/>
    <n v="19.22"/>
    <n v="57"/>
    <x v="3"/>
    <x v="1"/>
    <s v="UK, China"/>
    <n v="242"/>
    <s v="Medium"/>
    <s v="Average"/>
  </r>
  <r>
    <x v="9"/>
    <x v="5"/>
    <x v="1375"/>
    <x v="0"/>
    <s v="East Johnny"/>
    <x v="0"/>
    <n v="45.14"/>
    <n v="70"/>
    <x v="1"/>
    <x v="2"/>
    <s v="USA, Japan, UK"/>
    <n v="109"/>
    <s v="High"/>
    <s v="Average"/>
  </r>
  <r>
    <x v="5"/>
    <x v="23"/>
    <x v="1376"/>
    <x v="0"/>
    <s v="New Cory"/>
    <x v="3"/>
    <n v="37.21"/>
    <n v="65"/>
    <x v="4"/>
    <x v="1"/>
    <s v="USA, France, Russia"/>
    <n v="190"/>
    <s v="High"/>
    <s v="Average"/>
  </r>
  <r>
    <x v="1"/>
    <x v="12"/>
    <x v="1377"/>
    <x v="1"/>
    <s v="Lewistown"/>
    <x v="4"/>
    <n v="46.43"/>
    <n v="91"/>
    <x v="4"/>
    <x v="0"/>
    <s v="China, UAE"/>
    <n v="156"/>
    <s v="High"/>
    <s v="Excellent"/>
  </r>
  <r>
    <x v="7"/>
    <x v="14"/>
    <x v="1378"/>
    <x v="1"/>
    <s v="Kathleenberg"/>
    <x v="4"/>
    <n v="41.23"/>
    <n v="62"/>
    <x v="0"/>
    <x v="2"/>
    <s v="UAE"/>
    <n v="134"/>
    <s v="High"/>
    <s v="Average"/>
  </r>
  <r>
    <x v="7"/>
    <x v="4"/>
    <x v="1379"/>
    <x v="0"/>
    <s v="Jenniferchester"/>
    <x v="3"/>
    <n v="28.96"/>
    <n v="84"/>
    <x v="4"/>
    <x v="2"/>
    <s v="USA, Germany"/>
    <n v="9"/>
    <s v="Medium"/>
    <s v="Good"/>
  </r>
  <r>
    <x v="4"/>
    <x v="16"/>
    <x v="1380"/>
    <x v="0"/>
    <s v="Patrickmouth"/>
    <x v="2"/>
    <n v="36.270000000000003"/>
    <n v="92"/>
    <x v="2"/>
    <x v="0"/>
    <s v="USA"/>
    <n v="47"/>
    <s v="High"/>
    <s v="Excellent"/>
  </r>
  <r>
    <x v="9"/>
    <x v="5"/>
    <x v="1381"/>
    <x v="0"/>
    <s v="Lake Spencerport"/>
    <x v="4"/>
    <n v="47.63"/>
    <n v="57"/>
    <x v="0"/>
    <x v="2"/>
    <s v="Japan, India, UAE"/>
    <n v="27"/>
    <s v="High"/>
    <s v="Average"/>
  </r>
  <r>
    <x v="8"/>
    <x v="10"/>
    <x v="1382"/>
    <x v="0"/>
    <s v="Frostland"/>
    <x v="3"/>
    <n v="10.38"/>
    <n v="59"/>
    <x v="1"/>
    <x v="2"/>
    <s v="Japan"/>
    <n v="146"/>
    <s v="Low"/>
    <s v="Average"/>
  </r>
  <r>
    <x v="3"/>
    <x v="0"/>
    <x v="1383"/>
    <x v="0"/>
    <s v="Escobarchester"/>
    <x v="4"/>
    <n v="14.39"/>
    <n v="96"/>
    <x v="4"/>
    <x v="1"/>
    <s v="Germany"/>
    <n v="188"/>
    <s v="Low"/>
    <s v="Excellent"/>
  </r>
  <r>
    <x v="3"/>
    <x v="14"/>
    <x v="1384"/>
    <x v="0"/>
    <s v="West Jennifer"/>
    <x v="1"/>
    <n v="38"/>
    <n v="67"/>
    <x v="1"/>
    <x v="1"/>
    <s v="China, India"/>
    <n v="128"/>
    <s v="High"/>
    <s v="Average"/>
  </r>
  <r>
    <x v="6"/>
    <x v="5"/>
    <x v="1385"/>
    <x v="1"/>
    <s v="East Robert"/>
    <x v="4"/>
    <n v="29.31"/>
    <n v="56"/>
    <x v="0"/>
    <x v="1"/>
    <s v="Russia, Israel"/>
    <n v="305"/>
    <s v="Medium"/>
    <s v="Average"/>
  </r>
  <r>
    <x v="0"/>
    <x v="21"/>
    <x v="1386"/>
    <x v="1"/>
    <s v="Wheelerchester"/>
    <x v="1"/>
    <n v="19.86"/>
    <n v="82"/>
    <x v="4"/>
    <x v="0"/>
    <s v="UAE, Russia"/>
    <n v="339"/>
    <s v="Medium"/>
    <s v="Good"/>
  </r>
  <r>
    <x v="5"/>
    <x v="5"/>
    <x v="1387"/>
    <x v="1"/>
    <s v="Rivershaven"/>
    <x v="3"/>
    <n v="24.27"/>
    <n v="59"/>
    <x v="0"/>
    <x v="2"/>
    <s v="Israel"/>
    <n v="356"/>
    <s v="Medium"/>
    <s v="Average"/>
  </r>
  <r>
    <x v="8"/>
    <x v="17"/>
    <x v="1388"/>
    <x v="1"/>
    <s v="Mitchellhaven"/>
    <x v="1"/>
    <n v="30.63"/>
    <n v="86"/>
    <x v="3"/>
    <x v="1"/>
    <s v="UAE, India, UK"/>
    <n v="101"/>
    <s v="Medium"/>
    <s v="Good"/>
  </r>
  <r>
    <x v="5"/>
    <x v="3"/>
    <x v="1389"/>
    <x v="1"/>
    <s v="Watsonshire"/>
    <x v="3"/>
    <n v="4.34"/>
    <n v="52"/>
    <x v="0"/>
    <x v="0"/>
    <s v="UK"/>
    <n v="223"/>
    <s v="Low"/>
    <s v="Average"/>
  </r>
  <r>
    <x v="0"/>
    <x v="16"/>
    <x v="1390"/>
    <x v="1"/>
    <s v="East Melissaland"/>
    <x v="0"/>
    <n v="43.68"/>
    <n v="63"/>
    <x v="3"/>
    <x v="2"/>
    <s v="China, Germany, UK"/>
    <n v="312"/>
    <s v="High"/>
    <s v="Average"/>
  </r>
  <r>
    <x v="5"/>
    <x v="17"/>
    <x v="1391"/>
    <x v="0"/>
    <s v="Scottfort"/>
    <x v="1"/>
    <n v="48.11"/>
    <n v="70"/>
    <x v="0"/>
    <x v="2"/>
    <s v="Japan, UAE"/>
    <n v="206"/>
    <s v="High"/>
    <s v="Average"/>
  </r>
  <r>
    <x v="1"/>
    <x v="22"/>
    <x v="1392"/>
    <x v="0"/>
    <s v="Randallstad"/>
    <x v="0"/>
    <n v="9.1199999999999992"/>
    <n v="72"/>
    <x v="4"/>
    <x v="1"/>
    <s v="China, Russia"/>
    <n v="365"/>
    <s v="Low"/>
    <s v="Average"/>
  </r>
  <r>
    <x v="8"/>
    <x v="8"/>
    <x v="1393"/>
    <x v="1"/>
    <s v="Hollandton"/>
    <x v="3"/>
    <n v="10.94"/>
    <n v="67"/>
    <x v="4"/>
    <x v="0"/>
    <s v="France, Germany, Israel"/>
    <n v="111"/>
    <s v="Low"/>
    <s v="Average"/>
  </r>
  <r>
    <x v="9"/>
    <x v="25"/>
    <x v="1394"/>
    <x v="0"/>
    <s v="Lake Kevin"/>
    <x v="1"/>
    <n v="2.74"/>
    <n v="79"/>
    <x v="0"/>
    <x v="0"/>
    <s v="USA, Japan"/>
    <n v="81"/>
    <s v="Low"/>
    <s v="Good"/>
  </r>
  <r>
    <x v="7"/>
    <x v="20"/>
    <x v="1395"/>
    <x v="0"/>
    <s v="Port Davidton"/>
    <x v="4"/>
    <n v="37.49"/>
    <n v="88"/>
    <x v="2"/>
    <x v="0"/>
    <s v="France, UAE, Germany"/>
    <n v="353"/>
    <s v="High"/>
    <s v="Good"/>
  </r>
  <r>
    <x v="6"/>
    <x v="19"/>
    <x v="1396"/>
    <x v="0"/>
    <s v="North Marcustown"/>
    <x v="4"/>
    <n v="9.9"/>
    <n v="76"/>
    <x v="0"/>
    <x v="0"/>
    <s v="USA, Germany, UAE"/>
    <n v="231"/>
    <s v="Low"/>
    <s v="Good"/>
  </r>
  <r>
    <x v="9"/>
    <x v="6"/>
    <x v="1397"/>
    <x v="0"/>
    <s v="East Michaelborough"/>
    <x v="2"/>
    <n v="28.75"/>
    <n v="98"/>
    <x v="2"/>
    <x v="0"/>
    <s v="UAE"/>
    <n v="153"/>
    <s v="Medium"/>
    <s v="Excellent"/>
  </r>
  <r>
    <x v="0"/>
    <x v="9"/>
    <x v="1398"/>
    <x v="0"/>
    <s v="Lake Meghan"/>
    <x v="1"/>
    <n v="18.52"/>
    <n v="93"/>
    <x v="4"/>
    <x v="2"/>
    <s v="UAE, USA, Germany"/>
    <n v="73"/>
    <s v="Medium"/>
    <s v="Excellent"/>
  </r>
  <r>
    <x v="8"/>
    <x v="2"/>
    <x v="1399"/>
    <x v="0"/>
    <s v="Amyshire"/>
    <x v="0"/>
    <n v="33.33"/>
    <n v="90"/>
    <x v="4"/>
    <x v="1"/>
    <s v="Israel, China, India"/>
    <n v="273"/>
    <s v="Medium"/>
    <s v="Excellent"/>
  </r>
  <r>
    <x v="0"/>
    <x v="19"/>
    <x v="1400"/>
    <x v="0"/>
    <s v="Davismouth"/>
    <x v="4"/>
    <n v="11.3"/>
    <n v="79"/>
    <x v="1"/>
    <x v="1"/>
    <s v="India"/>
    <n v="32"/>
    <s v="Low"/>
    <s v="Good"/>
  </r>
  <r>
    <x v="8"/>
    <x v="14"/>
    <x v="1401"/>
    <x v="0"/>
    <s v="Mccannville"/>
    <x v="3"/>
    <n v="29.43"/>
    <n v="93"/>
    <x v="1"/>
    <x v="0"/>
    <s v="China"/>
    <n v="106"/>
    <s v="Medium"/>
    <s v="Excellent"/>
  </r>
  <r>
    <x v="0"/>
    <x v="13"/>
    <x v="1402"/>
    <x v="1"/>
    <s v="Newtonborough"/>
    <x v="4"/>
    <n v="23.07"/>
    <n v="62"/>
    <x v="3"/>
    <x v="2"/>
    <s v="USA, UK, UAE"/>
    <n v="55"/>
    <s v="Medium"/>
    <s v="Average"/>
  </r>
  <r>
    <x v="2"/>
    <x v="11"/>
    <x v="1403"/>
    <x v="0"/>
    <s v="Andrewland"/>
    <x v="3"/>
    <n v="6.92"/>
    <n v="57"/>
    <x v="2"/>
    <x v="2"/>
    <s v="France, China"/>
    <n v="320"/>
    <s v="Low"/>
    <s v="Average"/>
  </r>
  <r>
    <x v="0"/>
    <x v="5"/>
    <x v="1404"/>
    <x v="0"/>
    <s v="Robertville"/>
    <x v="3"/>
    <n v="30.9"/>
    <n v="86"/>
    <x v="2"/>
    <x v="0"/>
    <s v="Israel"/>
    <n v="126"/>
    <s v="Medium"/>
    <s v="Good"/>
  </r>
  <r>
    <x v="5"/>
    <x v="12"/>
    <x v="1405"/>
    <x v="1"/>
    <s v="Josephburgh"/>
    <x v="4"/>
    <n v="38.130000000000003"/>
    <n v="88"/>
    <x v="3"/>
    <x v="2"/>
    <s v="Israel, Russia"/>
    <n v="60"/>
    <s v="High"/>
    <s v="Good"/>
  </r>
  <r>
    <x v="1"/>
    <x v="0"/>
    <x v="1406"/>
    <x v="0"/>
    <s v="Mcdowellfurt"/>
    <x v="4"/>
    <n v="29.3"/>
    <n v="100"/>
    <x v="2"/>
    <x v="0"/>
    <s v="Israel"/>
    <n v="221"/>
    <s v="Medium"/>
    <s v="Excellent"/>
  </r>
  <r>
    <x v="9"/>
    <x v="6"/>
    <x v="1407"/>
    <x v="1"/>
    <s v="New Coreyport"/>
    <x v="1"/>
    <n v="47.41"/>
    <n v="79"/>
    <x v="2"/>
    <x v="2"/>
    <s v="Japan"/>
    <n v="68"/>
    <s v="High"/>
    <s v="Good"/>
  </r>
  <r>
    <x v="5"/>
    <x v="6"/>
    <x v="1408"/>
    <x v="0"/>
    <s v="Reneeburgh"/>
    <x v="0"/>
    <n v="11.09"/>
    <n v="85"/>
    <x v="3"/>
    <x v="0"/>
    <s v="UAE, India, UK"/>
    <n v="150"/>
    <s v="Low"/>
    <s v="Good"/>
  </r>
  <r>
    <x v="3"/>
    <x v="19"/>
    <x v="1409"/>
    <x v="1"/>
    <s v="Lake Joshuaberg"/>
    <x v="2"/>
    <n v="33.590000000000003"/>
    <n v="57"/>
    <x v="4"/>
    <x v="1"/>
    <s v="UK, USA, Japan"/>
    <n v="9"/>
    <s v="Medium"/>
    <s v="Average"/>
  </r>
  <r>
    <x v="3"/>
    <x v="9"/>
    <x v="1410"/>
    <x v="1"/>
    <s v="Sandramouth"/>
    <x v="3"/>
    <n v="40.03"/>
    <n v="75"/>
    <x v="3"/>
    <x v="1"/>
    <s v="Israel, France"/>
    <n v="198"/>
    <s v="High"/>
    <s v="Good"/>
  </r>
  <r>
    <x v="3"/>
    <x v="20"/>
    <x v="1411"/>
    <x v="0"/>
    <s v="Jenkinsbury"/>
    <x v="4"/>
    <n v="22.06"/>
    <n v="62"/>
    <x v="0"/>
    <x v="1"/>
    <s v="USA, UK"/>
    <n v="33"/>
    <s v="Medium"/>
    <s v="Average"/>
  </r>
  <r>
    <x v="6"/>
    <x v="5"/>
    <x v="1412"/>
    <x v="0"/>
    <s v="Lake Steven"/>
    <x v="3"/>
    <n v="48.36"/>
    <n v="82"/>
    <x v="4"/>
    <x v="1"/>
    <s v="Israel"/>
    <n v="307"/>
    <s v="High"/>
    <s v="Good"/>
  </r>
  <r>
    <x v="3"/>
    <x v="0"/>
    <x v="1413"/>
    <x v="1"/>
    <s v="Lake Kayla"/>
    <x v="4"/>
    <n v="13.39"/>
    <n v="51"/>
    <x v="1"/>
    <x v="2"/>
    <s v="Japan, Russia"/>
    <n v="30"/>
    <s v="Low"/>
    <s v="Average"/>
  </r>
  <r>
    <x v="1"/>
    <x v="14"/>
    <x v="1414"/>
    <x v="1"/>
    <s v="Munozmouth"/>
    <x v="2"/>
    <n v="42.94"/>
    <n v="85"/>
    <x v="3"/>
    <x v="0"/>
    <s v="UK"/>
    <n v="108"/>
    <s v="High"/>
    <s v="Good"/>
  </r>
  <r>
    <x v="2"/>
    <x v="3"/>
    <x v="1415"/>
    <x v="1"/>
    <s v="North Jodi"/>
    <x v="3"/>
    <n v="17.78"/>
    <n v="71"/>
    <x v="1"/>
    <x v="0"/>
    <s v="China, USA, UK"/>
    <n v="151"/>
    <s v="Medium"/>
    <s v="Average"/>
  </r>
  <r>
    <x v="1"/>
    <x v="21"/>
    <x v="1416"/>
    <x v="1"/>
    <s v="Michaelview"/>
    <x v="1"/>
    <n v="2.35"/>
    <n v="92"/>
    <x v="3"/>
    <x v="0"/>
    <s v="Japan, France, India"/>
    <n v="170"/>
    <s v="Low"/>
    <s v="Excellent"/>
  </r>
  <r>
    <x v="4"/>
    <x v="22"/>
    <x v="1417"/>
    <x v="1"/>
    <s v="Mooreview"/>
    <x v="3"/>
    <n v="46.87"/>
    <n v="72"/>
    <x v="4"/>
    <x v="0"/>
    <s v="France, Japan"/>
    <n v="293"/>
    <s v="High"/>
    <s v="Average"/>
  </r>
  <r>
    <x v="1"/>
    <x v="3"/>
    <x v="1418"/>
    <x v="1"/>
    <s v="East Ericfurt"/>
    <x v="4"/>
    <n v="38.799999999999997"/>
    <n v="65"/>
    <x v="3"/>
    <x v="1"/>
    <s v="UAE, India"/>
    <n v="56"/>
    <s v="High"/>
    <s v="Average"/>
  </r>
  <r>
    <x v="8"/>
    <x v="7"/>
    <x v="1419"/>
    <x v="0"/>
    <s v="Port Marymouth"/>
    <x v="2"/>
    <n v="17.260000000000002"/>
    <n v="75"/>
    <x v="3"/>
    <x v="1"/>
    <s v="UAE, France, Japan"/>
    <n v="327"/>
    <s v="Medium"/>
    <s v="Good"/>
  </r>
  <r>
    <x v="8"/>
    <x v="6"/>
    <x v="1420"/>
    <x v="0"/>
    <s v="Pruittton"/>
    <x v="0"/>
    <n v="47.51"/>
    <n v="59"/>
    <x v="3"/>
    <x v="2"/>
    <s v="USA, UAE, China"/>
    <n v="193"/>
    <s v="High"/>
    <s v="Average"/>
  </r>
  <r>
    <x v="2"/>
    <x v="12"/>
    <x v="1421"/>
    <x v="0"/>
    <s v="South Kim"/>
    <x v="0"/>
    <n v="4.63"/>
    <n v="87"/>
    <x v="4"/>
    <x v="1"/>
    <s v="Germany"/>
    <n v="340"/>
    <s v="Low"/>
    <s v="Good"/>
  </r>
  <r>
    <x v="2"/>
    <x v="0"/>
    <x v="1422"/>
    <x v="0"/>
    <s v="Myersmouth"/>
    <x v="4"/>
    <n v="4.9400000000000004"/>
    <n v="96"/>
    <x v="0"/>
    <x v="2"/>
    <s v="UK"/>
    <n v="293"/>
    <s v="Low"/>
    <s v="Excellent"/>
  </r>
  <r>
    <x v="4"/>
    <x v="21"/>
    <x v="1423"/>
    <x v="1"/>
    <s v="Andrealand"/>
    <x v="1"/>
    <n v="9.66"/>
    <n v="53"/>
    <x v="3"/>
    <x v="1"/>
    <s v="USA"/>
    <n v="247"/>
    <s v="Low"/>
    <s v="Average"/>
  </r>
  <r>
    <x v="1"/>
    <x v="13"/>
    <x v="1424"/>
    <x v="1"/>
    <s v="Port Derekshire"/>
    <x v="3"/>
    <n v="9.7899999999999991"/>
    <n v="74"/>
    <x v="3"/>
    <x v="0"/>
    <s v="India, UK"/>
    <n v="94"/>
    <s v="Low"/>
    <s v="Average"/>
  </r>
  <r>
    <x v="2"/>
    <x v="24"/>
    <x v="1425"/>
    <x v="1"/>
    <s v="West Samanthastad"/>
    <x v="0"/>
    <n v="30.75"/>
    <n v="81"/>
    <x v="2"/>
    <x v="0"/>
    <s v="Germany, UK"/>
    <n v="297"/>
    <s v="Medium"/>
    <s v="Good"/>
  </r>
  <r>
    <x v="2"/>
    <x v="21"/>
    <x v="1426"/>
    <x v="0"/>
    <s v="New Curtisbury"/>
    <x v="2"/>
    <n v="13.62"/>
    <n v="65"/>
    <x v="1"/>
    <x v="1"/>
    <s v="Japan, UAE"/>
    <n v="252"/>
    <s v="Low"/>
    <s v="Average"/>
  </r>
  <r>
    <x v="6"/>
    <x v="15"/>
    <x v="1427"/>
    <x v="1"/>
    <s v="Kellyberg"/>
    <x v="4"/>
    <n v="49.91"/>
    <n v="69"/>
    <x v="4"/>
    <x v="2"/>
    <s v="Japan, UK"/>
    <n v="327"/>
    <s v="High"/>
    <s v="Average"/>
  </r>
  <r>
    <x v="9"/>
    <x v="11"/>
    <x v="1428"/>
    <x v="0"/>
    <s v="Johnburgh"/>
    <x v="3"/>
    <n v="1.1299999999999999"/>
    <n v="69"/>
    <x v="0"/>
    <x v="1"/>
    <s v="Israel, Japan, UAE"/>
    <n v="169"/>
    <s v="Low"/>
    <s v="Average"/>
  </r>
  <r>
    <x v="6"/>
    <x v="10"/>
    <x v="1429"/>
    <x v="0"/>
    <s v="Bradleyborough"/>
    <x v="4"/>
    <n v="26.27"/>
    <n v="93"/>
    <x v="0"/>
    <x v="1"/>
    <s v="Japan, Russia, UK"/>
    <n v="111"/>
    <s v="Medium"/>
    <s v="Excellent"/>
  </r>
  <r>
    <x v="8"/>
    <x v="14"/>
    <x v="1430"/>
    <x v="1"/>
    <s v="Brendaton"/>
    <x v="2"/>
    <n v="23.27"/>
    <n v="75"/>
    <x v="1"/>
    <x v="0"/>
    <s v="India"/>
    <n v="167"/>
    <s v="Medium"/>
    <s v="Good"/>
  </r>
  <r>
    <x v="4"/>
    <x v="3"/>
    <x v="1431"/>
    <x v="1"/>
    <s v="North Harold"/>
    <x v="2"/>
    <n v="3"/>
    <n v="53"/>
    <x v="0"/>
    <x v="2"/>
    <s v="Japan, USA"/>
    <n v="95"/>
    <s v="Low"/>
    <s v="Average"/>
  </r>
  <r>
    <x v="9"/>
    <x v="6"/>
    <x v="1432"/>
    <x v="0"/>
    <s v="Summersburgh"/>
    <x v="2"/>
    <n v="4.6399999999999997"/>
    <n v="67"/>
    <x v="1"/>
    <x v="1"/>
    <s v="India, Germany"/>
    <n v="251"/>
    <s v="Low"/>
    <s v="Average"/>
  </r>
  <r>
    <x v="6"/>
    <x v="4"/>
    <x v="1433"/>
    <x v="0"/>
    <s v="Billytown"/>
    <x v="3"/>
    <n v="3.1"/>
    <n v="63"/>
    <x v="1"/>
    <x v="2"/>
    <s v="Israel, France, UK"/>
    <n v="270"/>
    <s v="Low"/>
    <s v="Average"/>
  </r>
  <r>
    <x v="6"/>
    <x v="23"/>
    <x v="1434"/>
    <x v="0"/>
    <s v="West Michael"/>
    <x v="1"/>
    <n v="29.13"/>
    <n v="85"/>
    <x v="1"/>
    <x v="0"/>
    <s v="Germany"/>
    <n v="121"/>
    <s v="Medium"/>
    <s v="Good"/>
  </r>
  <r>
    <x v="4"/>
    <x v="6"/>
    <x v="1435"/>
    <x v="0"/>
    <s v="Lake Julia"/>
    <x v="1"/>
    <n v="37.75"/>
    <n v="96"/>
    <x v="2"/>
    <x v="0"/>
    <s v="France, UK, USA"/>
    <n v="86"/>
    <s v="High"/>
    <s v="Excellent"/>
  </r>
  <r>
    <x v="0"/>
    <x v="5"/>
    <x v="1436"/>
    <x v="1"/>
    <s v="West Tina"/>
    <x v="3"/>
    <n v="23.58"/>
    <n v="87"/>
    <x v="2"/>
    <x v="2"/>
    <s v="Japan, China, UK"/>
    <n v="307"/>
    <s v="Medium"/>
    <s v="Good"/>
  </r>
  <r>
    <x v="0"/>
    <x v="7"/>
    <x v="1437"/>
    <x v="0"/>
    <s v="Tonymouth"/>
    <x v="0"/>
    <n v="23.15"/>
    <n v="73"/>
    <x v="3"/>
    <x v="0"/>
    <s v="Israel, China, India"/>
    <n v="66"/>
    <s v="Medium"/>
    <s v="Average"/>
  </r>
  <r>
    <x v="0"/>
    <x v="20"/>
    <x v="1438"/>
    <x v="1"/>
    <s v="North Diane"/>
    <x v="1"/>
    <n v="29.97"/>
    <n v="55"/>
    <x v="4"/>
    <x v="0"/>
    <s v="Japan, Israel"/>
    <n v="112"/>
    <s v="Medium"/>
    <s v="Average"/>
  </r>
  <r>
    <x v="2"/>
    <x v="20"/>
    <x v="1439"/>
    <x v="0"/>
    <s v="Smithchester"/>
    <x v="4"/>
    <n v="19.5"/>
    <n v="82"/>
    <x v="3"/>
    <x v="2"/>
    <s v="India"/>
    <n v="95"/>
    <s v="Medium"/>
    <s v="Good"/>
  </r>
  <r>
    <x v="6"/>
    <x v="1"/>
    <x v="1440"/>
    <x v="1"/>
    <s v="Gordonstad"/>
    <x v="4"/>
    <n v="7.95"/>
    <n v="68"/>
    <x v="0"/>
    <x v="0"/>
    <s v="Japan, UK"/>
    <n v="64"/>
    <s v="Low"/>
    <s v="Average"/>
  </r>
  <r>
    <x v="9"/>
    <x v="11"/>
    <x v="1441"/>
    <x v="1"/>
    <s v="South Kyle"/>
    <x v="3"/>
    <n v="14.9"/>
    <n v="50"/>
    <x v="2"/>
    <x v="1"/>
    <s v="Japan, Russia, UK"/>
    <n v="46"/>
    <s v="Low"/>
    <s v="Average"/>
  </r>
  <r>
    <x v="8"/>
    <x v="22"/>
    <x v="1442"/>
    <x v="0"/>
    <s v="South Daisyfurt"/>
    <x v="0"/>
    <n v="10.68"/>
    <n v="57"/>
    <x v="3"/>
    <x v="1"/>
    <s v="China, India, Japan"/>
    <n v="105"/>
    <s v="Low"/>
    <s v="Average"/>
  </r>
  <r>
    <x v="0"/>
    <x v="17"/>
    <x v="1443"/>
    <x v="0"/>
    <s v="West Staceyton"/>
    <x v="0"/>
    <n v="28.96"/>
    <n v="65"/>
    <x v="2"/>
    <x v="2"/>
    <s v="India"/>
    <n v="328"/>
    <s v="Medium"/>
    <s v="Average"/>
  </r>
  <r>
    <x v="0"/>
    <x v="1"/>
    <x v="1444"/>
    <x v="0"/>
    <s v="Turnerhaven"/>
    <x v="2"/>
    <n v="28.62"/>
    <n v="80"/>
    <x v="4"/>
    <x v="2"/>
    <s v="Germany, Japan, France"/>
    <n v="70"/>
    <s v="Medium"/>
    <s v="Good"/>
  </r>
  <r>
    <x v="4"/>
    <x v="16"/>
    <x v="1445"/>
    <x v="1"/>
    <s v="Ashleymouth"/>
    <x v="3"/>
    <n v="1.97"/>
    <n v="85"/>
    <x v="3"/>
    <x v="2"/>
    <s v="India, Germany, Israel"/>
    <n v="43"/>
    <s v="Low"/>
    <s v="Good"/>
  </r>
  <r>
    <x v="4"/>
    <x v="22"/>
    <x v="1446"/>
    <x v="0"/>
    <s v="Lake Daniel"/>
    <x v="1"/>
    <n v="7.65"/>
    <n v="84"/>
    <x v="3"/>
    <x v="2"/>
    <s v="France, UK"/>
    <n v="266"/>
    <s v="Low"/>
    <s v="Good"/>
  </r>
  <r>
    <x v="7"/>
    <x v="18"/>
    <x v="1447"/>
    <x v="0"/>
    <s v="Benjaminland"/>
    <x v="1"/>
    <n v="25.21"/>
    <n v="76"/>
    <x v="3"/>
    <x v="0"/>
    <s v="USA, India, Russia"/>
    <n v="9"/>
    <s v="Medium"/>
    <s v="Good"/>
  </r>
  <r>
    <x v="7"/>
    <x v="7"/>
    <x v="1448"/>
    <x v="1"/>
    <s v="Leonardburgh"/>
    <x v="4"/>
    <n v="24.17"/>
    <n v="83"/>
    <x v="3"/>
    <x v="0"/>
    <s v="USA, UK, Japan"/>
    <n v="274"/>
    <s v="Medium"/>
    <s v="Good"/>
  </r>
  <r>
    <x v="9"/>
    <x v="19"/>
    <x v="1449"/>
    <x v="0"/>
    <s v="Weeksport"/>
    <x v="0"/>
    <n v="5.6"/>
    <n v="100"/>
    <x v="2"/>
    <x v="0"/>
    <s v="China, UAE, Russia"/>
    <n v="222"/>
    <s v="Low"/>
    <s v="Excellent"/>
  </r>
  <r>
    <x v="0"/>
    <x v="11"/>
    <x v="1450"/>
    <x v="1"/>
    <s v="Jasontown"/>
    <x v="3"/>
    <n v="19.670000000000002"/>
    <n v="97"/>
    <x v="4"/>
    <x v="1"/>
    <s v="India, China, France"/>
    <n v="290"/>
    <s v="Medium"/>
    <s v="Excellent"/>
  </r>
  <r>
    <x v="6"/>
    <x v="22"/>
    <x v="1451"/>
    <x v="0"/>
    <s v="Michellefort"/>
    <x v="0"/>
    <n v="9"/>
    <n v="69"/>
    <x v="0"/>
    <x v="0"/>
    <s v="Germany"/>
    <n v="37"/>
    <s v="Low"/>
    <s v="Average"/>
  </r>
  <r>
    <x v="6"/>
    <x v="0"/>
    <x v="1452"/>
    <x v="1"/>
    <s v="West Thomashaven"/>
    <x v="0"/>
    <n v="16.579999999999998"/>
    <n v="51"/>
    <x v="4"/>
    <x v="1"/>
    <s v="UAE, USA, Russia"/>
    <n v="37"/>
    <s v="Medium"/>
    <s v="Average"/>
  </r>
  <r>
    <x v="5"/>
    <x v="3"/>
    <x v="1453"/>
    <x v="0"/>
    <s v="Sandrabury"/>
    <x v="3"/>
    <n v="36.049999999999997"/>
    <n v="60"/>
    <x v="1"/>
    <x v="1"/>
    <s v="India, UK"/>
    <n v="99"/>
    <s v="High"/>
    <s v="Average"/>
  </r>
  <r>
    <x v="0"/>
    <x v="23"/>
    <x v="1454"/>
    <x v="0"/>
    <s v="Lake Bryanchester"/>
    <x v="3"/>
    <n v="27.24"/>
    <n v="97"/>
    <x v="0"/>
    <x v="2"/>
    <s v="UK, UAE"/>
    <n v="123"/>
    <s v="Medium"/>
    <s v="Excellent"/>
  </r>
  <r>
    <x v="9"/>
    <x v="17"/>
    <x v="1455"/>
    <x v="1"/>
    <s v="Mcculloughtown"/>
    <x v="2"/>
    <n v="46.98"/>
    <n v="64"/>
    <x v="3"/>
    <x v="0"/>
    <s v="France"/>
    <n v="88"/>
    <s v="High"/>
    <s v="Average"/>
  </r>
  <r>
    <x v="1"/>
    <x v="25"/>
    <x v="1456"/>
    <x v="1"/>
    <s v="Emilyfort"/>
    <x v="4"/>
    <n v="22.57"/>
    <n v="53"/>
    <x v="2"/>
    <x v="1"/>
    <s v="Germany, UK"/>
    <n v="203"/>
    <s v="Medium"/>
    <s v="Average"/>
  </r>
  <r>
    <x v="1"/>
    <x v="0"/>
    <x v="1457"/>
    <x v="1"/>
    <s v="Christophershire"/>
    <x v="3"/>
    <n v="18.07"/>
    <n v="51"/>
    <x v="2"/>
    <x v="0"/>
    <s v="Japan, Russia"/>
    <n v="194"/>
    <s v="Medium"/>
    <s v="Average"/>
  </r>
  <r>
    <x v="9"/>
    <x v="20"/>
    <x v="1458"/>
    <x v="1"/>
    <s v="Jenniferstad"/>
    <x v="0"/>
    <n v="4.1500000000000004"/>
    <n v="75"/>
    <x v="2"/>
    <x v="2"/>
    <s v="USA"/>
    <n v="96"/>
    <s v="Low"/>
    <s v="Good"/>
  </r>
  <r>
    <x v="3"/>
    <x v="21"/>
    <x v="1459"/>
    <x v="0"/>
    <s v="South Angela"/>
    <x v="0"/>
    <n v="8.6199999999999992"/>
    <n v="79"/>
    <x v="0"/>
    <x v="0"/>
    <s v="UK"/>
    <n v="350"/>
    <s v="Low"/>
    <s v="Good"/>
  </r>
  <r>
    <x v="7"/>
    <x v="13"/>
    <x v="1460"/>
    <x v="0"/>
    <s v="Brianchester"/>
    <x v="1"/>
    <n v="8.56"/>
    <n v="80"/>
    <x v="4"/>
    <x v="2"/>
    <s v="China"/>
    <n v="291"/>
    <s v="Low"/>
    <s v="Good"/>
  </r>
  <r>
    <x v="6"/>
    <x v="4"/>
    <x v="1461"/>
    <x v="1"/>
    <s v="West Timothyshire"/>
    <x v="2"/>
    <n v="20.66"/>
    <n v="96"/>
    <x v="0"/>
    <x v="2"/>
    <s v="Russia, China"/>
    <n v="142"/>
    <s v="Medium"/>
    <s v="Excellent"/>
  </r>
  <r>
    <x v="8"/>
    <x v="6"/>
    <x v="1462"/>
    <x v="0"/>
    <s v="Jessicaville"/>
    <x v="2"/>
    <n v="20.45"/>
    <n v="73"/>
    <x v="3"/>
    <x v="0"/>
    <s v="Germany, Japan"/>
    <n v="232"/>
    <s v="Medium"/>
    <s v="Average"/>
  </r>
  <r>
    <x v="9"/>
    <x v="2"/>
    <x v="1463"/>
    <x v="0"/>
    <s v="Michaelshire"/>
    <x v="3"/>
    <n v="43.01"/>
    <n v="59"/>
    <x v="3"/>
    <x v="1"/>
    <s v="France, Israel, China"/>
    <n v="288"/>
    <s v="High"/>
    <s v="Average"/>
  </r>
  <r>
    <x v="9"/>
    <x v="5"/>
    <x v="1464"/>
    <x v="1"/>
    <s v="West Anthony"/>
    <x v="0"/>
    <n v="26.87"/>
    <n v="67"/>
    <x v="0"/>
    <x v="1"/>
    <s v="India, UAE, China"/>
    <n v="81"/>
    <s v="Medium"/>
    <s v="Average"/>
  </r>
  <r>
    <x v="8"/>
    <x v="20"/>
    <x v="1465"/>
    <x v="0"/>
    <s v="East Jameshaven"/>
    <x v="4"/>
    <n v="2.81"/>
    <n v="79"/>
    <x v="4"/>
    <x v="0"/>
    <s v="Japan, USA, China"/>
    <n v="151"/>
    <s v="Low"/>
    <s v="Good"/>
  </r>
  <r>
    <x v="5"/>
    <x v="12"/>
    <x v="1466"/>
    <x v="1"/>
    <s v="Lake Vincent"/>
    <x v="0"/>
    <n v="43.21"/>
    <n v="55"/>
    <x v="4"/>
    <x v="0"/>
    <s v="UAE, UK, China"/>
    <n v="310"/>
    <s v="High"/>
    <s v="Average"/>
  </r>
  <r>
    <x v="4"/>
    <x v="19"/>
    <x v="1467"/>
    <x v="0"/>
    <s v="Lake Jamie"/>
    <x v="3"/>
    <n v="49.28"/>
    <n v="67"/>
    <x v="0"/>
    <x v="0"/>
    <s v="Russia"/>
    <n v="171"/>
    <s v="High"/>
    <s v="Average"/>
  </r>
  <r>
    <x v="7"/>
    <x v="6"/>
    <x v="1468"/>
    <x v="0"/>
    <s v="Port Matthewport"/>
    <x v="1"/>
    <n v="36.81"/>
    <n v="98"/>
    <x v="3"/>
    <x v="0"/>
    <s v="Israel, Russia"/>
    <n v="313"/>
    <s v="High"/>
    <s v="Excellent"/>
  </r>
  <r>
    <x v="6"/>
    <x v="7"/>
    <x v="1469"/>
    <x v="0"/>
    <s v="West Mallory"/>
    <x v="2"/>
    <n v="5.71"/>
    <n v="78"/>
    <x v="4"/>
    <x v="2"/>
    <s v="Germany"/>
    <n v="325"/>
    <s v="Low"/>
    <s v="Good"/>
  </r>
  <r>
    <x v="7"/>
    <x v="4"/>
    <x v="1470"/>
    <x v="1"/>
    <s v="Port Biancamouth"/>
    <x v="3"/>
    <n v="21.83"/>
    <n v="61"/>
    <x v="4"/>
    <x v="1"/>
    <s v="China"/>
    <n v="1"/>
    <s v="Medium"/>
    <s v="Average"/>
  </r>
  <r>
    <x v="0"/>
    <x v="25"/>
    <x v="1471"/>
    <x v="1"/>
    <s v="Rodriguezborough"/>
    <x v="4"/>
    <n v="46.3"/>
    <n v="74"/>
    <x v="3"/>
    <x v="1"/>
    <s v="UK, China"/>
    <n v="180"/>
    <s v="High"/>
    <s v="Average"/>
  </r>
  <r>
    <x v="2"/>
    <x v="16"/>
    <x v="1472"/>
    <x v="1"/>
    <s v="Markside"/>
    <x v="3"/>
    <n v="33.29"/>
    <n v="72"/>
    <x v="2"/>
    <x v="1"/>
    <s v="France, India, Germany"/>
    <n v="105"/>
    <s v="Medium"/>
    <s v="Average"/>
  </r>
  <r>
    <x v="3"/>
    <x v="4"/>
    <x v="1473"/>
    <x v="0"/>
    <s v="Newmantown"/>
    <x v="4"/>
    <n v="19.899999999999999"/>
    <n v="73"/>
    <x v="3"/>
    <x v="1"/>
    <s v="China"/>
    <n v="334"/>
    <s v="Medium"/>
    <s v="Average"/>
  </r>
  <r>
    <x v="3"/>
    <x v="23"/>
    <x v="1474"/>
    <x v="1"/>
    <s v="Lake Ricky"/>
    <x v="3"/>
    <n v="15.34"/>
    <n v="90"/>
    <x v="2"/>
    <x v="1"/>
    <s v="Germany, USA"/>
    <n v="193"/>
    <s v="Medium"/>
    <s v="Excellent"/>
  </r>
  <r>
    <x v="5"/>
    <x v="2"/>
    <x v="1475"/>
    <x v="0"/>
    <s v="West Madeline"/>
    <x v="0"/>
    <n v="44.01"/>
    <n v="80"/>
    <x v="0"/>
    <x v="1"/>
    <s v="France"/>
    <n v="167"/>
    <s v="High"/>
    <s v="Good"/>
  </r>
  <r>
    <x v="3"/>
    <x v="0"/>
    <x v="1476"/>
    <x v="1"/>
    <s v="Port Donald"/>
    <x v="2"/>
    <n v="23.9"/>
    <n v="58"/>
    <x v="1"/>
    <x v="0"/>
    <s v="Russia, UAE"/>
    <n v="178"/>
    <s v="Medium"/>
    <s v="Average"/>
  </r>
  <r>
    <x v="7"/>
    <x v="7"/>
    <x v="1477"/>
    <x v="1"/>
    <s v="Ericstad"/>
    <x v="2"/>
    <n v="38.33"/>
    <n v="57"/>
    <x v="2"/>
    <x v="1"/>
    <s v="India, Russia"/>
    <n v="284"/>
    <s v="High"/>
    <s v="Average"/>
  </r>
  <r>
    <x v="0"/>
    <x v="1"/>
    <x v="1478"/>
    <x v="0"/>
    <s v="Port Sandraland"/>
    <x v="0"/>
    <n v="24.06"/>
    <n v="61"/>
    <x v="4"/>
    <x v="2"/>
    <s v="Russia"/>
    <n v="316"/>
    <s v="Medium"/>
    <s v="Average"/>
  </r>
  <r>
    <x v="0"/>
    <x v="11"/>
    <x v="1479"/>
    <x v="0"/>
    <s v="East Stephaniefurt"/>
    <x v="1"/>
    <n v="22.63"/>
    <n v="60"/>
    <x v="1"/>
    <x v="1"/>
    <s v="USA, UK, UAE"/>
    <n v="325"/>
    <s v="Medium"/>
    <s v="Average"/>
  </r>
  <r>
    <x v="1"/>
    <x v="4"/>
    <x v="1480"/>
    <x v="1"/>
    <s v="West Judithtown"/>
    <x v="1"/>
    <n v="35.15"/>
    <n v="63"/>
    <x v="1"/>
    <x v="2"/>
    <s v="India"/>
    <n v="296"/>
    <s v="High"/>
    <s v="Average"/>
  </r>
  <r>
    <x v="5"/>
    <x v="6"/>
    <x v="1481"/>
    <x v="1"/>
    <s v="South Jamieborough"/>
    <x v="2"/>
    <n v="31.22"/>
    <n v="84"/>
    <x v="2"/>
    <x v="2"/>
    <s v="UAE, France, USA"/>
    <n v="36"/>
    <s v="Medium"/>
    <s v="Good"/>
  </r>
  <r>
    <x v="1"/>
    <x v="16"/>
    <x v="1482"/>
    <x v="1"/>
    <s v="North Jon"/>
    <x v="2"/>
    <n v="30.32"/>
    <n v="67"/>
    <x v="1"/>
    <x v="2"/>
    <s v="Israel"/>
    <n v="73"/>
    <s v="Medium"/>
    <s v="Average"/>
  </r>
  <r>
    <x v="8"/>
    <x v="6"/>
    <x v="1483"/>
    <x v="1"/>
    <s v="South Robertburgh"/>
    <x v="4"/>
    <n v="26.5"/>
    <n v="66"/>
    <x v="1"/>
    <x v="0"/>
    <s v="UAE, France, USA"/>
    <n v="364"/>
    <s v="Medium"/>
    <s v="Average"/>
  </r>
  <r>
    <x v="8"/>
    <x v="24"/>
    <x v="1484"/>
    <x v="0"/>
    <s v="New Marytown"/>
    <x v="1"/>
    <n v="6.15"/>
    <n v="86"/>
    <x v="4"/>
    <x v="2"/>
    <s v="Israel, China, Russia"/>
    <n v="24"/>
    <s v="Low"/>
    <s v="Good"/>
  </r>
  <r>
    <x v="5"/>
    <x v="5"/>
    <x v="1485"/>
    <x v="0"/>
    <s v="Johnnyberg"/>
    <x v="0"/>
    <n v="4.01"/>
    <n v="82"/>
    <x v="0"/>
    <x v="1"/>
    <s v="Germany"/>
    <n v="239"/>
    <s v="Low"/>
    <s v="Good"/>
  </r>
  <r>
    <x v="8"/>
    <x v="6"/>
    <x v="1486"/>
    <x v="1"/>
    <s v="Sandraburgh"/>
    <x v="3"/>
    <n v="42"/>
    <n v="74"/>
    <x v="4"/>
    <x v="0"/>
    <s v="India, Germany, Israel"/>
    <n v="112"/>
    <s v="High"/>
    <s v="Average"/>
  </r>
  <r>
    <x v="7"/>
    <x v="20"/>
    <x v="1487"/>
    <x v="1"/>
    <s v="Herreraton"/>
    <x v="2"/>
    <n v="13.69"/>
    <n v="70"/>
    <x v="2"/>
    <x v="0"/>
    <s v="China, Germany"/>
    <n v="185"/>
    <s v="Low"/>
    <s v="Average"/>
  </r>
  <r>
    <x v="5"/>
    <x v="25"/>
    <x v="1488"/>
    <x v="0"/>
    <s v="Allenland"/>
    <x v="3"/>
    <n v="47.5"/>
    <n v="57"/>
    <x v="2"/>
    <x v="1"/>
    <s v="Germany"/>
    <n v="138"/>
    <s v="High"/>
    <s v="Average"/>
  </r>
  <r>
    <x v="4"/>
    <x v="0"/>
    <x v="1489"/>
    <x v="0"/>
    <s v="Baileyland"/>
    <x v="2"/>
    <n v="29.24"/>
    <n v="95"/>
    <x v="3"/>
    <x v="0"/>
    <s v="France, Germany, China"/>
    <n v="303"/>
    <s v="Medium"/>
    <s v="Excellent"/>
  </r>
  <r>
    <x v="9"/>
    <x v="25"/>
    <x v="1490"/>
    <x v="1"/>
    <s v="Port Christopherton"/>
    <x v="3"/>
    <n v="2.78"/>
    <n v="60"/>
    <x v="4"/>
    <x v="1"/>
    <s v="India, UAE, Japan"/>
    <n v="20"/>
    <s v="Low"/>
    <s v="Average"/>
  </r>
  <r>
    <x v="2"/>
    <x v="0"/>
    <x v="1491"/>
    <x v="1"/>
    <s v="Mitchellbury"/>
    <x v="1"/>
    <n v="3.81"/>
    <n v="65"/>
    <x v="3"/>
    <x v="0"/>
    <s v="India"/>
    <n v="265"/>
    <s v="Low"/>
    <s v="Average"/>
  </r>
  <r>
    <x v="0"/>
    <x v="22"/>
    <x v="1492"/>
    <x v="1"/>
    <s v="New Richard"/>
    <x v="2"/>
    <n v="39.54"/>
    <n v="100"/>
    <x v="4"/>
    <x v="1"/>
    <s v="Japan"/>
    <n v="130"/>
    <s v="High"/>
    <s v="Excellent"/>
  </r>
  <r>
    <x v="8"/>
    <x v="24"/>
    <x v="1493"/>
    <x v="0"/>
    <s v="New Elizabeth"/>
    <x v="0"/>
    <n v="13.66"/>
    <n v="75"/>
    <x v="3"/>
    <x v="1"/>
    <s v="UK, Japan"/>
    <n v="260"/>
    <s v="Low"/>
    <s v="Good"/>
  </r>
  <r>
    <x v="1"/>
    <x v="1"/>
    <x v="1494"/>
    <x v="0"/>
    <s v="Jasonhaven"/>
    <x v="4"/>
    <n v="35.57"/>
    <n v="79"/>
    <x v="3"/>
    <x v="1"/>
    <s v="India, UAE, USA"/>
    <n v="107"/>
    <s v="High"/>
    <s v="Good"/>
  </r>
  <r>
    <x v="3"/>
    <x v="21"/>
    <x v="1495"/>
    <x v="1"/>
    <s v="Christensentown"/>
    <x v="4"/>
    <n v="15.64"/>
    <n v="95"/>
    <x v="3"/>
    <x v="1"/>
    <s v="UAE"/>
    <n v="330"/>
    <s v="Medium"/>
    <s v="Excellent"/>
  </r>
  <r>
    <x v="3"/>
    <x v="19"/>
    <x v="1496"/>
    <x v="0"/>
    <s v="Cherylport"/>
    <x v="4"/>
    <n v="28.52"/>
    <n v="50"/>
    <x v="2"/>
    <x v="1"/>
    <s v="France, Japan, UAE"/>
    <n v="161"/>
    <s v="Medium"/>
    <s v="Average"/>
  </r>
  <r>
    <x v="6"/>
    <x v="8"/>
    <x v="1497"/>
    <x v="1"/>
    <s v="North Joseph"/>
    <x v="0"/>
    <n v="38.47"/>
    <n v="98"/>
    <x v="0"/>
    <x v="0"/>
    <s v="China, India"/>
    <n v="97"/>
    <s v="High"/>
    <s v="Excellent"/>
  </r>
  <r>
    <x v="9"/>
    <x v="23"/>
    <x v="1498"/>
    <x v="0"/>
    <s v="North James"/>
    <x v="1"/>
    <n v="37.22"/>
    <n v="89"/>
    <x v="3"/>
    <x v="2"/>
    <s v="UK, USA, Japan"/>
    <n v="80"/>
    <s v="High"/>
    <s v="Good"/>
  </r>
  <r>
    <x v="6"/>
    <x v="22"/>
    <x v="1499"/>
    <x v="0"/>
    <s v="Port Christinaton"/>
    <x v="0"/>
    <n v="46.42"/>
    <n v="73"/>
    <x v="1"/>
    <x v="0"/>
    <s v="China"/>
    <n v="68"/>
    <s v="High"/>
    <s v="Average"/>
  </r>
  <r>
    <x v="3"/>
    <x v="1"/>
    <x v="1500"/>
    <x v="1"/>
    <s v="New Noah"/>
    <x v="1"/>
    <n v="49.64"/>
    <n v="63"/>
    <x v="3"/>
    <x v="2"/>
    <s v="Japan"/>
    <n v="30"/>
    <s v="High"/>
    <s v="Average"/>
  </r>
  <r>
    <x v="9"/>
    <x v="5"/>
    <x v="1501"/>
    <x v="0"/>
    <s v="New Lauren"/>
    <x v="3"/>
    <n v="8.35"/>
    <n v="66"/>
    <x v="0"/>
    <x v="1"/>
    <s v="India"/>
    <n v="48"/>
    <s v="Low"/>
    <s v="Average"/>
  </r>
  <r>
    <x v="3"/>
    <x v="21"/>
    <x v="1502"/>
    <x v="0"/>
    <s v="Bookerville"/>
    <x v="0"/>
    <n v="22.47"/>
    <n v="85"/>
    <x v="4"/>
    <x v="2"/>
    <s v="USA"/>
    <n v="4"/>
    <s v="Medium"/>
    <s v="Good"/>
  </r>
  <r>
    <x v="6"/>
    <x v="15"/>
    <x v="1503"/>
    <x v="0"/>
    <s v="East Lydia"/>
    <x v="1"/>
    <n v="36.47"/>
    <n v="61"/>
    <x v="4"/>
    <x v="0"/>
    <s v="Germany, USA"/>
    <n v="231"/>
    <s v="High"/>
    <s v="Average"/>
  </r>
  <r>
    <x v="4"/>
    <x v="5"/>
    <x v="1504"/>
    <x v="0"/>
    <s v="North Luischester"/>
    <x v="2"/>
    <n v="25.34"/>
    <n v="95"/>
    <x v="0"/>
    <x v="1"/>
    <s v="Russia, USA"/>
    <n v="302"/>
    <s v="Medium"/>
    <s v="Excellent"/>
  </r>
  <r>
    <x v="7"/>
    <x v="2"/>
    <x v="1505"/>
    <x v="1"/>
    <s v="West Daniel"/>
    <x v="2"/>
    <n v="19.46"/>
    <n v="57"/>
    <x v="4"/>
    <x v="2"/>
    <s v="UK, Russia, Germany"/>
    <n v="120"/>
    <s v="Medium"/>
    <s v="Average"/>
  </r>
  <r>
    <x v="8"/>
    <x v="6"/>
    <x v="1506"/>
    <x v="0"/>
    <s v="West Ashley"/>
    <x v="0"/>
    <n v="25.49"/>
    <n v="59"/>
    <x v="1"/>
    <x v="0"/>
    <s v="UK, Russia"/>
    <n v="242"/>
    <s v="Medium"/>
    <s v="Average"/>
  </r>
  <r>
    <x v="4"/>
    <x v="19"/>
    <x v="1507"/>
    <x v="0"/>
    <s v="Stephaniestad"/>
    <x v="4"/>
    <n v="31.77"/>
    <n v="98"/>
    <x v="4"/>
    <x v="1"/>
    <s v="USA, India"/>
    <n v="341"/>
    <s v="Medium"/>
    <s v="Excellent"/>
  </r>
  <r>
    <x v="3"/>
    <x v="5"/>
    <x v="1508"/>
    <x v="1"/>
    <s v="West Tara"/>
    <x v="1"/>
    <n v="10.59"/>
    <n v="64"/>
    <x v="1"/>
    <x v="2"/>
    <s v="USA"/>
    <n v="290"/>
    <s v="Low"/>
    <s v="Average"/>
  </r>
  <r>
    <x v="7"/>
    <x v="25"/>
    <x v="1509"/>
    <x v="0"/>
    <s v="South Donald"/>
    <x v="4"/>
    <n v="47.14"/>
    <n v="71"/>
    <x v="4"/>
    <x v="2"/>
    <s v="Russia, France"/>
    <n v="180"/>
    <s v="High"/>
    <s v="Average"/>
  </r>
  <r>
    <x v="5"/>
    <x v="17"/>
    <x v="1510"/>
    <x v="1"/>
    <s v="South Adamborough"/>
    <x v="3"/>
    <n v="31.36"/>
    <n v="72"/>
    <x v="1"/>
    <x v="2"/>
    <s v="UAE, China, UK"/>
    <n v="119"/>
    <s v="Medium"/>
    <s v="Average"/>
  </r>
  <r>
    <x v="8"/>
    <x v="5"/>
    <x v="1511"/>
    <x v="1"/>
    <s v="Bonniehaven"/>
    <x v="1"/>
    <n v="1.53"/>
    <n v="64"/>
    <x v="0"/>
    <x v="2"/>
    <s v="USA, Japan"/>
    <n v="339"/>
    <s v="Low"/>
    <s v="Average"/>
  </r>
  <r>
    <x v="1"/>
    <x v="0"/>
    <x v="1512"/>
    <x v="0"/>
    <s v="Lake Christopher"/>
    <x v="2"/>
    <n v="29.78"/>
    <n v="80"/>
    <x v="4"/>
    <x v="2"/>
    <s v="Israel, Japan, China"/>
    <n v="210"/>
    <s v="Medium"/>
    <s v="Good"/>
  </r>
  <r>
    <x v="2"/>
    <x v="24"/>
    <x v="1513"/>
    <x v="1"/>
    <s v="Hoville"/>
    <x v="2"/>
    <n v="46.14"/>
    <n v="52"/>
    <x v="1"/>
    <x v="0"/>
    <s v="China"/>
    <n v="102"/>
    <s v="High"/>
    <s v="Average"/>
  </r>
  <r>
    <x v="4"/>
    <x v="18"/>
    <x v="1514"/>
    <x v="0"/>
    <s v="Port Anaburgh"/>
    <x v="1"/>
    <n v="31.87"/>
    <n v="69"/>
    <x v="0"/>
    <x v="0"/>
    <s v="India"/>
    <n v="287"/>
    <s v="Medium"/>
    <s v="Average"/>
  </r>
  <r>
    <x v="2"/>
    <x v="25"/>
    <x v="1515"/>
    <x v="0"/>
    <s v="South Rebeccahaven"/>
    <x v="0"/>
    <n v="43.98"/>
    <n v="100"/>
    <x v="3"/>
    <x v="2"/>
    <s v="Russia"/>
    <n v="137"/>
    <s v="High"/>
    <s v="Excellent"/>
  </r>
  <r>
    <x v="7"/>
    <x v="11"/>
    <x v="1516"/>
    <x v="0"/>
    <s v="West Erik"/>
    <x v="3"/>
    <n v="33.69"/>
    <n v="89"/>
    <x v="3"/>
    <x v="0"/>
    <s v="UK, India"/>
    <n v="221"/>
    <s v="Medium"/>
    <s v="Good"/>
  </r>
  <r>
    <x v="0"/>
    <x v="7"/>
    <x v="1517"/>
    <x v="0"/>
    <s v="Barnettview"/>
    <x v="3"/>
    <n v="32.520000000000003"/>
    <n v="96"/>
    <x v="1"/>
    <x v="2"/>
    <s v="Japan, Germany"/>
    <n v="244"/>
    <s v="Medium"/>
    <s v="Excellent"/>
  </r>
  <r>
    <x v="6"/>
    <x v="19"/>
    <x v="1518"/>
    <x v="1"/>
    <s v="Edwardberg"/>
    <x v="1"/>
    <n v="18.54"/>
    <n v="91"/>
    <x v="4"/>
    <x v="1"/>
    <s v="Germany, Israel"/>
    <n v="15"/>
    <s v="Medium"/>
    <s v="Excellent"/>
  </r>
  <r>
    <x v="0"/>
    <x v="20"/>
    <x v="1519"/>
    <x v="0"/>
    <s v="Phillipville"/>
    <x v="3"/>
    <n v="41.7"/>
    <n v="59"/>
    <x v="3"/>
    <x v="1"/>
    <s v="Israel, Russia"/>
    <n v="17"/>
    <s v="High"/>
    <s v="Average"/>
  </r>
  <r>
    <x v="7"/>
    <x v="15"/>
    <x v="1520"/>
    <x v="0"/>
    <s v="Turnerville"/>
    <x v="0"/>
    <n v="39.26"/>
    <n v="92"/>
    <x v="0"/>
    <x v="2"/>
    <s v="Germany"/>
    <n v="16"/>
    <s v="High"/>
    <s v="Excellent"/>
  </r>
  <r>
    <x v="4"/>
    <x v="2"/>
    <x v="1521"/>
    <x v="0"/>
    <s v="West Shanetown"/>
    <x v="0"/>
    <n v="38.44"/>
    <n v="91"/>
    <x v="0"/>
    <x v="2"/>
    <s v="Japan, Germany"/>
    <n v="9"/>
    <s v="High"/>
    <s v="Excellent"/>
  </r>
  <r>
    <x v="0"/>
    <x v="20"/>
    <x v="1522"/>
    <x v="1"/>
    <s v="Thompsonborough"/>
    <x v="1"/>
    <n v="13.33"/>
    <n v="83"/>
    <x v="1"/>
    <x v="2"/>
    <s v="France"/>
    <n v="10"/>
    <s v="Low"/>
    <s v="Good"/>
  </r>
  <r>
    <x v="2"/>
    <x v="9"/>
    <x v="1523"/>
    <x v="0"/>
    <s v="Port Alyssa"/>
    <x v="0"/>
    <n v="24.38"/>
    <n v="83"/>
    <x v="3"/>
    <x v="2"/>
    <s v="Germany, Japan"/>
    <n v="59"/>
    <s v="Medium"/>
    <s v="Good"/>
  </r>
  <r>
    <x v="7"/>
    <x v="17"/>
    <x v="1524"/>
    <x v="0"/>
    <s v="South Daniel"/>
    <x v="4"/>
    <n v="36.15"/>
    <n v="82"/>
    <x v="0"/>
    <x v="0"/>
    <s v="Germany, UAE"/>
    <n v="243"/>
    <s v="High"/>
    <s v="Good"/>
  </r>
  <r>
    <x v="4"/>
    <x v="4"/>
    <x v="1525"/>
    <x v="1"/>
    <s v="West Stevenfort"/>
    <x v="0"/>
    <n v="29.11"/>
    <n v="66"/>
    <x v="2"/>
    <x v="2"/>
    <s v="Germany, Japan"/>
    <n v="122"/>
    <s v="Medium"/>
    <s v="Average"/>
  </r>
  <r>
    <x v="9"/>
    <x v="17"/>
    <x v="1526"/>
    <x v="0"/>
    <s v="North Gailmouth"/>
    <x v="3"/>
    <n v="23.93"/>
    <n v="89"/>
    <x v="3"/>
    <x v="2"/>
    <s v="Russia"/>
    <n v="303"/>
    <s v="Medium"/>
    <s v="Good"/>
  </r>
  <r>
    <x v="2"/>
    <x v="16"/>
    <x v="1527"/>
    <x v="0"/>
    <s v="New Alexhaven"/>
    <x v="4"/>
    <n v="33.1"/>
    <n v="57"/>
    <x v="0"/>
    <x v="0"/>
    <s v="India"/>
    <n v="233"/>
    <s v="Medium"/>
    <s v="Average"/>
  </r>
  <r>
    <x v="0"/>
    <x v="18"/>
    <x v="1528"/>
    <x v="1"/>
    <s v="Port Christopher"/>
    <x v="2"/>
    <n v="21.44"/>
    <n v="78"/>
    <x v="0"/>
    <x v="1"/>
    <s v="Israel, India, UAE"/>
    <n v="249"/>
    <s v="Medium"/>
    <s v="Good"/>
  </r>
  <r>
    <x v="3"/>
    <x v="15"/>
    <x v="1529"/>
    <x v="1"/>
    <s v="Tiffanyview"/>
    <x v="4"/>
    <n v="9.76"/>
    <n v="68"/>
    <x v="1"/>
    <x v="2"/>
    <s v="USA, Japan"/>
    <n v="38"/>
    <s v="Low"/>
    <s v="Average"/>
  </r>
  <r>
    <x v="5"/>
    <x v="14"/>
    <x v="1530"/>
    <x v="1"/>
    <s v="Jonesstad"/>
    <x v="0"/>
    <n v="16.760000000000002"/>
    <n v="89"/>
    <x v="2"/>
    <x v="2"/>
    <s v="UAE, UK, Russia"/>
    <n v="25"/>
    <s v="Medium"/>
    <s v="Good"/>
  </r>
  <r>
    <x v="7"/>
    <x v="16"/>
    <x v="1531"/>
    <x v="1"/>
    <s v="Port Elizabethberg"/>
    <x v="4"/>
    <n v="12.69"/>
    <n v="53"/>
    <x v="1"/>
    <x v="0"/>
    <s v="Russia, Japan"/>
    <n v="288"/>
    <s v="Low"/>
    <s v="Average"/>
  </r>
  <r>
    <x v="6"/>
    <x v="25"/>
    <x v="1532"/>
    <x v="0"/>
    <s v="South Jacobland"/>
    <x v="3"/>
    <n v="23.98"/>
    <n v="60"/>
    <x v="4"/>
    <x v="1"/>
    <s v="Russia, India"/>
    <n v="266"/>
    <s v="Medium"/>
    <s v="Average"/>
  </r>
  <r>
    <x v="7"/>
    <x v="6"/>
    <x v="1533"/>
    <x v="1"/>
    <s v="Lucasland"/>
    <x v="2"/>
    <n v="35.659999999999997"/>
    <n v="70"/>
    <x v="3"/>
    <x v="2"/>
    <s v="France"/>
    <n v="17"/>
    <s v="High"/>
    <s v="Average"/>
  </r>
  <r>
    <x v="2"/>
    <x v="4"/>
    <x v="1534"/>
    <x v="1"/>
    <s v="East Curtistown"/>
    <x v="4"/>
    <n v="46.74"/>
    <n v="77"/>
    <x v="0"/>
    <x v="0"/>
    <s v="UK, UAE"/>
    <n v="311"/>
    <s v="High"/>
    <s v="Good"/>
  </r>
  <r>
    <x v="4"/>
    <x v="5"/>
    <x v="1535"/>
    <x v="0"/>
    <s v="Port Andreafurt"/>
    <x v="0"/>
    <n v="32.700000000000003"/>
    <n v="92"/>
    <x v="0"/>
    <x v="0"/>
    <s v="France, India, USA"/>
    <n v="270"/>
    <s v="Medium"/>
    <s v="Excellent"/>
  </r>
  <r>
    <x v="1"/>
    <x v="12"/>
    <x v="1536"/>
    <x v="1"/>
    <s v="Jonesfurt"/>
    <x v="1"/>
    <n v="14.99"/>
    <n v="55"/>
    <x v="3"/>
    <x v="1"/>
    <s v="France"/>
    <n v="55"/>
    <s v="Low"/>
    <s v="Average"/>
  </r>
  <r>
    <x v="2"/>
    <x v="19"/>
    <x v="1537"/>
    <x v="0"/>
    <s v="Victoriaside"/>
    <x v="3"/>
    <n v="36.86"/>
    <n v="87"/>
    <x v="1"/>
    <x v="2"/>
    <s v="Russia, India, UK"/>
    <n v="19"/>
    <s v="High"/>
    <s v="Good"/>
  </r>
  <r>
    <x v="3"/>
    <x v="23"/>
    <x v="1538"/>
    <x v="1"/>
    <s v="Acevedoburgh"/>
    <x v="0"/>
    <n v="48.28"/>
    <n v="60"/>
    <x v="3"/>
    <x v="2"/>
    <s v="UK, Israel"/>
    <n v="163"/>
    <s v="High"/>
    <s v="Average"/>
  </r>
  <r>
    <x v="8"/>
    <x v="20"/>
    <x v="1539"/>
    <x v="1"/>
    <s v="Josephbury"/>
    <x v="2"/>
    <n v="46.85"/>
    <n v="75"/>
    <x v="2"/>
    <x v="1"/>
    <s v="Germany"/>
    <n v="26"/>
    <s v="High"/>
    <s v="Good"/>
  </r>
  <r>
    <x v="7"/>
    <x v="6"/>
    <x v="1540"/>
    <x v="0"/>
    <s v="North Deborah"/>
    <x v="1"/>
    <n v="5.54"/>
    <n v="51"/>
    <x v="2"/>
    <x v="0"/>
    <s v="Japan, Russia, Germany"/>
    <n v="30"/>
    <s v="Low"/>
    <s v="Average"/>
  </r>
  <r>
    <x v="2"/>
    <x v="3"/>
    <x v="1541"/>
    <x v="1"/>
    <s v="Lake Bobbyview"/>
    <x v="1"/>
    <n v="17.41"/>
    <n v="81"/>
    <x v="4"/>
    <x v="0"/>
    <s v="UAE"/>
    <n v="134"/>
    <s v="Medium"/>
    <s v="Good"/>
  </r>
  <r>
    <x v="5"/>
    <x v="25"/>
    <x v="1542"/>
    <x v="1"/>
    <s v="Patrickmouth"/>
    <x v="2"/>
    <n v="49.3"/>
    <n v="77"/>
    <x v="2"/>
    <x v="2"/>
    <s v="Japan"/>
    <n v="75"/>
    <s v="High"/>
    <s v="Good"/>
  </r>
  <r>
    <x v="8"/>
    <x v="15"/>
    <x v="1543"/>
    <x v="1"/>
    <s v="Lambertside"/>
    <x v="3"/>
    <n v="6.77"/>
    <n v="86"/>
    <x v="3"/>
    <x v="1"/>
    <s v="Russia, UK"/>
    <n v="35"/>
    <s v="Low"/>
    <s v="Good"/>
  </r>
  <r>
    <x v="0"/>
    <x v="6"/>
    <x v="1544"/>
    <x v="0"/>
    <s v="New Malik"/>
    <x v="1"/>
    <n v="23.53"/>
    <n v="55"/>
    <x v="3"/>
    <x v="0"/>
    <s v="UAE, India"/>
    <n v="280"/>
    <s v="Medium"/>
    <s v="Average"/>
  </r>
  <r>
    <x v="2"/>
    <x v="13"/>
    <x v="1545"/>
    <x v="1"/>
    <s v="Michaelview"/>
    <x v="3"/>
    <n v="20.13"/>
    <n v="71"/>
    <x v="3"/>
    <x v="1"/>
    <s v="Germany, Russia, China"/>
    <n v="93"/>
    <s v="Medium"/>
    <s v="Average"/>
  </r>
  <r>
    <x v="0"/>
    <x v="5"/>
    <x v="1546"/>
    <x v="0"/>
    <s v="Benjaminmouth"/>
    <x v="1"/>
    <n v="39.56"/>
    <n v="84"/>
    <x v="1"/>
    <x v="2"/>
    <s v="China, India, Germany"/>
    <n v="297"/>
    <s v="High"/>
    <s v="Good"/>
  </r>
  <r>
    <x v="8"/>
    <x v="24"/>
    <x v="1547"/>
    <x v="1"/>
    <s v="Barnesbury"/>
    <x v="0"/>
    <n v="36.21"/>
    <n v="77"/>
    <x v="3"/>
    <x v="2"/>
    <s v="UAE, USA"/>
    <n v="332"/>
    <s v="High"/>
    <s v="Good"/>
  </r>
  <r>
    <x v="9"/>
    <x v="15"/>
    <x v="1548"/>
    <x v="0"/>
    <s v="Lake Randallshire"/>
    <x v="3"/>
    <n v="26.76"/>
    <n v="97"/>
    <x v="2"/>
    <x v="0"/>
    <s v="France"/>
    <n v="283"/>
    <s v="Medium"/>
    <s v="Excellent"/>
  </r>
  <r>
    <x v="2"/>
    <x v="8"/>
    <x v="1549"/>
    <x v="1"/>
    <s v="New Ashleyside"/>
    <x v="1"/>
    <n v="5.64"/>
    <n v="91"/>
    <x v="4"/>
    <x v="1"/>
    <s v="France, Israel, UAE"/>
    <n v="3"/>
    <s v="Low"/>
    <s v="Excellent"/>
  </r>
  <r>
    <x v="3"/>
    <x v="22"/>
    <x v="1550"/>
    <x v="1"/>
    <s v="West Tony"/>
    <x v="1"/>
    <n v="23.93"/>
    <n v="67"/>
    <x v="1"/>
    <x v="2"/>
    <s v="Germany"/>
    <n v="281"/>
    <s v="Medium"/>
    <s v="Average"/>
  </r>
  <r>
    <x v="9"/>
    <x v="16"/>
    <x v="1551"/>
    <x v="1"/>
    <s v="Hernandezview"/>
    <x v="1"/>
    <n v="17.059999999999999"/>
    <n v="84"/>
    <x v="0"/>
    <x v="0"/>
    <s v="Japan"/>
    <n v="61"/>
    <s v="Medium"/>
    <s v="Good"/>
  </r>
  <r>
    <x v="9"/>
    <x v="5"/>
    <x v="1552"/>
    <x v="0"/>
    <s v="New Lisastad"/>
    <x v="1"/>
    <n v="14.11"/>
    <n v="55"/>
    <x v="1"/>
    <x v="1"/>
    <s v="UK, India"/>
    <n v="308"/>
    <s v="Low"/>
    <s v="Average"/>
  </r>
  <r>
    <x v="5"/>
    <x v="6"/>
    <x v="1553"/>
    <x v="1"/>
    <s v="Lake Tiffany"/>
    <x v="0"/>
    <n v="43.3"/>
    <n v="80"/>
    <x v="1"/>
    <x v="1"/>
    <s v="India, UAE, Japan"/>
    <n v="286"/>
    <s v="High"/>
    <s v="Good"/>
  </r>
  <r>
    <x v="4"/>
    <x v="16"/>
    <x v="1554"/>
    <x v="0"/>
    <s v="West Jamesside"/>
    <x v="1"/>
    <n v="22.52"/>
    <n v="93"/>
    <x v="4"/>
    <x v="2"/>
    <s v="China"/>
    <n v="256"/>
    <s v="Medium"/>
    <s v="Excellent"/>
  </r>
  <r>
    <x v="8"/>
    <x v="9"/>
    <x v="1555"/>
    <x v="0"/>
    <s v="Tylerberg"/>
    <x v="2"/>
    <n v="19.73"/>
    <n v="62"/>
    <x v="3"/>
    <x v="2"/>
    <s v="Japan, China"/>
    <n v="137"/>
    <s v="Medium"/>
    <s v="Average"/>
  </r>
  <r>
    <x v="7"/>
    <x v="14"/>
    <x v="1556"/>
    <x v="1"/>
    <s v="New Jeffrey"/>
    <x v="3"/>
    <n v="7.14"/>
    <n v="100"/>
    <x v="0"/>
    <x v="1"/>
    <s v="India, Japan, UAE"/>
    <n v="293"/>
    <s v="Low"/>
    <s v="Excellent"/>
  </r>
  <r>
    <x v="1"/>
    <x v="6"/>
    <x v="1557"/>
    <x v="0"/>
    <s v="Port Christine"/>
    <x v="1"/>
    <n v="21.84"/>
    <n v="69"/>
    <x v="4"/>
    <x v="0"/>
    <s v="USA, Germany"/>
    <n v="2"/>
    <s v="Medium"/>
    <s v="Average"/>
  </r>
  <r>
    <x v="0"/>
    <x v="7"/>
    <x v="1558"/>
    <x v="1"/>
    <s v="Juliebury"/>
    <x v="0"/>
    <n v="15.67"/>
    <n v="66"/>
    <x v="3"/>
    <x v="0"/>
    <s v="Israel, India, Germany"/>
    <n v="18"/>
    <s v="Medium"/>
    <s v="Average"/>
  </r>
  <r>
    <x v="5"/>
    <x v="17"/>
    <x v="1559"/>
    <x v="1"/>
    <s v="Michaelview"/>
    <x v="0"/>
    <n v="8.84"/>
    <n v="62"/>
    <x v="1"/>
    <x v="1"/>
    <s v="Germany"/>
    <n v="256"/>
    <s v="Low"/>
    <s v="Average"/>
  </r>
  <r>
    <x v="3"/>
    <x v="5"/>
    <x v="1560"/>
    <x v="0"/>
    <s v="New David"/>
    <x v="4"/>
    <n v="45.61"/>
    <n v="63"/>
    <x v="4"/>
    <x v="0"/>
    <s v="China, Israel"/>
    <n v="83"/>
    <s v="High"/>
    <s v="Average"/>
  </r>
  <r>
    <x v="0"/>
    <x v="5"/>
    <x v="1561"/>
    <x v="1"/>
    <s v="Moralesbury"/>
    <x v="2"/>
    <n v="24.11"/>
    <n v="80"/>
    <x v="3"/>
    <x v="2"/>
    <s v="Japan, UAE"/>
    <n v="155"/>
    <s v="Medium"/>
    <s v="Good"/>
  </r>
  <r>
    <x v="2"/>
    <x v="7"/>
    <x v="1562"/>
    <x v="1"/>
    <s v="East Robert"/>
    <x v="4"/>
    <n v="23.45"/>
    <n v="68"/>
    <x v="4"/>
    <x v="0"/>
    <s v="UAE"/>
    <n v="197"/>
    <s v="Medium"/>
    <s v="Average"/>
  </r>
  <r>
    <x v="2"/>
    <x v="5"/>
    <x v="1563"/>
    <x v="1"/>
    <s v="South Laurie"/>
    <x v="1"/>
    <n v="29.57"/>
    <n v="100"/>
    <x v="0"/>
    <x v="2"/>
    <s v="UAE, Germany, China"/>
    <n v="218"/>
    <s v="Medium"/>
    <s v="Excellent"/>
  </r>
  <r>
    <x v="4"/>
    <x v="6"/>
    <x v="1564"/>
    <x v="0"/>
    <s v="Port Catherineland"/>
    <x v="2"/>
    <n v="33.72"/>
    <n v="100"/>
    <x v="3"/>
    <x v="1"/>
    <s v="India"/>
    <n v="64"/>
    <s v="Medium"/>
    <s v="Excellent"/>
  </r>
  <r>
    <x v="5"/>
    <x v="15"/>
    <x v="1565"/>
    <x v="1"/>
    <s v="East Rebeccaborough"/>
    <x v="4"/>
    <n v="43.63"/>
    <n v="72"/>
    <x v="0"/>
    <x v="1"/>
    <s v="Russia, Japan"/>
    <n v="64"/>
    <s v="High"/>
    <s v="Average"/>
  </r>
  <r>
    <x v="0"/>
    <x v="13"/>
    <x v="1566"/>
    <x v="0"/>
    <s v="Leroyton"/>
    <x v="4"/>
    <n v="43.99"/>
    <n v="90"/>
    <x v="1"/>
    <x v="2"/>
    <s v="Germany, Japan"/>
    <n v="284"/>
    <s v="High"/>
    <s v="Excellent"/>
  </r>
  <r>
    <x v="2"/>
    <x v="10"/>
    <x v="1567"/>
    <x v="0"/>
    <s v="Port Veronica"/>
    <x v="3"/>
    <n v="29.59"/>
    <n v="89"/>
    <x v="1"/>
    <x v="2"/>
    <s v="UK"/>
    <n v="357"/>
    <s v="Medium"/>
    <s v="Good"/>
  </r>
  <r>
    <x v="0"/>
    <x v="20"/>
    <x v="1568"/>
    <x v="1"/>
    <s v="Jeremymouth"/>
    <x v="0"/>
    <n v="30.44"/>
    <n v="81"/>
    <x v="2"/>
    <x v="1"/>
    <s v="Russia, India, USA"/>
    <n v="349"/>
    <s v="Medium"/>
    <s v="Good"/>
  </r>
  <r>
    <x v="3"/>
    <x v="2"/>
    <x v="1569"/>
    <x v="1"/>
    <s v="Beverlybury"/>
    <x v="4"/>
    <n v="2.96"/>
    <n v="52"/>
    <x v="4"/>
    <x v="0"/>
    <s v="Russia, France"/>
    <n v="210"/>
    <s v="Low"/>
    <s v="Average"/>
  </r>
  <r>
    <x v="2"/>
    <x v="20"/>
    <x v="1570"/>
    <x v="0"/>
    <s v="East Ernestton"/>
    <x v="1"/>
    <n v="30.17"/>
    <n v="84"/>
    <x v="3"/>
    <x v="0"/>
    <s v="USA, China"/>
    <n v="332"/>
    <s v="Medium"/>
    <s v="Good"/>
  </r>
  <r>
    <x v="2"/>
    <x v="7"/>
    <x v="1571"/>
    <x v="0"/>
    <s v="Whitebury"/>
    <x v="4"/>
    <n v="22.17"/>
    <n v="63"/>
    <x v="3"/>
    <x v="0"/>
    <s v="France, USA, Russia"/>
    <n v="280"/>
    <s v="Medium"/>
    <s v="Average"/>
  </r>
  <r>
    <x v="4"/>
    <x v="5"/>
    <x v="1572"/>
    <x v="0"/>
    <s v="South Jessica"/>
    <x v="1"/>
    <n v="15.58"/>
    <n v="98"/>
    <x v="3"/>
    <x v="1"/>
    <s v="Germany"/>
    <n v="128"/>
    <s v="Medium"/>
    <s v="Excellent"/>
  </r>
  <r>
    <x v="1"/>
    <x v="4"/>
    <x v="1573"/>
    <x v="1"/>
    <s v="Annstad"/>
    <x v="3"/>
    <n v="21.05"/>
    <n v="57"/>
    <x v="3"/>
    <x v="2"/>
    <s v="France, China"/>
    <n v="19"/>
    <s v="Medium"/>
    <s v="Average"/>
  </r>
  <r>
    <x v="5"/>
    <x v="7"/>
    <x v="1574"/>
    <x v="0"/>
    <s v="Lake Madison"/>
    <x v="0"/>
    <n v="15.45"/>
    <n v="56"/>
    <x v="1"/>
    <x v="1"/>
    <s v="France"/>
    <n v="27"/>
    <s v="Medium"/>
    <s v="Average"/>
  </r>
  <r>
    <x v="9"/>
    <x v="17"/>
    <x v="1575"/>
    <x v="1"/>
    <s v="Patrickville"/>
    <x v="3"/>
    <n v="34.39"/>
    <n v="56"/>
    <x v="0"/>
    <x v="2"/>
    <s v="USA"/>
    <n v="241"/>
    <s v="Medium"/>
    <s v="Average"/>
  </r>
  <r>
    <x v="2"/>
    <x v="20"/>
    <x v="1576"/>
    <x v="1"/>
    <s v="Davidside"/>
    <x v="3"/>
    <n v="12.73"/>
    <n v="61"/>
    <x v="0"/>
    <x v="2"/>
    <s v="Germany, India"/>
    <n v="208"/>
    <s v="Low"/>
    <s v="Average"/>
  </r>
  <r>
    <x v="5"/>
    <x v="17"/>
    <x v="1577"/>
    <x v="0"/>
    <s v="Shanestad"/>
    <x v="2"/>
    <n v="48.21"/>
    <n v="62"/>
    <x v="4"/>
    <x v="0"/>
    <s v="Japan, India"/>
    <n v="308"/>
    <s v="High"/>
    <s v="Average"/>
  </r>
  <r>
    <x v="6"/>
    <x v="15"/>
    <x v="1578"/>
    <x v="0"/>
    <s v="Patelshire"/>
    <x v="3"/>
    <n v="33.369999999999997"/>
    <n v="90"/>
    <x v="0"/>
    <x v="0"/>
    <s v="UAE, France, Japan"/>
    <n v="82"/>
    <s v="Medium"/>
    <s v="Excellent"/>
  </r>
  <r>
    <x v="0"/>
    <x v="6"/>
    <x v="1579"/>
    <x v="1"/>
    <s v="Lake Megan"/>
    <x v="3"/>
    <n v="11.86"/>
    <n v="80"/>
    <x v="2"/>
    <x v="2"/>
    <s v="China"/>
    <n v="282"/>
    <s v="Low"/>
    <s v="Good"/>
  </r>
  <r>
    <x v="9"/>
    <x v="20"/>
    <x v="1580"/>
    <x v="0"/>
    <s v="Lyonsview"/>
    <x v="1"/>
    <n v="17.71"/>
    <n v="75"/>
    <x v="3"/>
    <x v="2"/>
    <s v="Japan, Israel"/>
    <n v="46"/>
    <s v="Medium"/>
    <s v="Good"/>
  </r>
  <r>
    <x v="1"/>
    <x v="7"/>
    <x v="1581"/>
    <x v="1"/>
    <s v="Reyeshaven"/>
    <x v="2"/>
    <n v="42.56"/>
    <n v="88"/>
    <x v="3"/>
    <x v="0"/>
    <s v="China"/>
    <n v="239"/>
    <s v="High"/>
    <s v="Good"/>
  </r>
  <r>
    <x v="1"/>
    <x v="22"/>
    <x v="1582"/>
    <x v="1"/>
    <s v="West Tyler"/>
    <x v="3"/>
    <n v="5.3"/>
    <n v="75"/>
    <x v="2"/>
    <x v="0"/>
    <s v="Germany, USA, China"/>
    <n v="339"/>
    <s v="Low"/>
    <s v="Good"/>
  </r>
  <r>
    <x v="2"/>
    <x v="2"/>
    <x v="1583"/>
    <x v="0"/>
    <s v="Port Ritaberg"/>
    <x v="0"/>
    <n v="33.06"/>
    <n v="93"/>
    <x v="3"/>
    <x v="1"/>
    <s v="USA"/>
    <n v="180"/>
    <s v="Medium"/>
    <s v="Excellent"/>
  </r>
  <r>
    <x v="1"/>
    <x v="18"/>
    <x v="1584"/>
    <x v="1"/>
    <s v="Jessicaside"/>
    <x v="0"/>
    <n v="42.11"/>
    <n v="79"/>
    <x v="4"/>
    <x v="0"/>
    <s v="USA, Japan, India"/>
    <n v="363"/>
    <s v="High"/>
    <s v="Good"/>
  </r>
  <r>
    <x v="9"/>
    <x v="23"/>
    <x v="1585"/>
    <x v="0"/>
    <s v="East Jasmine"/>
    <x v="1"/>
    <n v="38.06"/>
    <n v="70"/>
    <x v="2"/>
    <x v="2"/>
    <s v="UAE, Germany, China"/>
    <n v="324"/>
    <s v="High"/>
    <s v="Average"/>
  </r>
  <r>
    <x v="0"/>
    <x v="24"/>
    <x v="1586"/>
    <x v="0"/>
    <s v="South Derek"/>
    <x v="4"/>
    <n v="44.39"/>
    <n v="72"/>
    <x v="2"/>
    <x v="0"/>
    <s v="France, Russia"/>
    <n v="42"/>
    <s v="High"/>
    <s v="Average"/>
  </r>
  <r>
    <x v="3"/>
    <x v="15"/>
    <x v="1587"/>
    <x v="0"/>
    <s v="Jonathonmouth"/>
    <x v="0"/>
    <n v="17.920000000000002"/>
    <n v="57"/>
    <x v="3"/>
    <x v="1"/>
    <s v="France, China, UAE"/>
    <n v="273"/>
    <s v="Medium"/>
    <s v="Average"/>
  </r>
  <r>
    <x v="2"/>
    <x v="5"/>
    <x v="1588"/>
    <x v="0"/>
    <s v="New Andrew"/>
    <x v="2"/>
    <n v="34.43"/>
    <n v="96"/>
    <x v="1"/>
    <x v="2"/>
    <s v="France, Germany"/>
    <n v="107"/>
    <s v="Medium"/>
    <s v="Excellent"/>
  </r>
  <r>
    <x v="7"/>
    <x v="13"/>
    <x v="1589"/>
    <x v="0"/>
    <s v="Tonyport"/>
    <x v="3"/>
    <n v="7.6"/>
    <n v="77"/>
    <x v="4"/>
    <x v="1"/>
    <s v="Israel, USA, China"/>
    <n v="114"/>
    <s v="Low"/>
    <s v="Good"/>
  </r>
  <r>
    <x v="5"/>
    <x v="7"/>
    <x v="1590"/>
    <x v="1"/>
    <s v="East Nathanton"/>
    <x v="2"/>
    <n v="26.21"/>
    <n v="83"/>
    <x v="0"/>
    <x v="1"/>
    <s v="Israel, Japan"/>
    <n v="100"/>
    <s v="Medium"/>
    <s v="Good"/>
  </r>
  <r>
    <x v="8"/>
    <x v="19"/>
    <x v="1591"/>
    <x v="0"/>
    <s v="Lake Barry"/>
    <x v="4"/>
    <n v="47.31"/>
    <n v="96"/>
    <x v="2"/>
    <x v="1"/>
    <s v="Israel"/>
    <n v="94"/>
    <s v="High"/>
    <s v="Excellent"/>
  </r>
  <r>
    <x v="9"/>
    <x v="15"/>
    <x v="1592"/>
    <x v="0"/>
    <s v="Carpenterbury"/>
    <x v="0"/>
    <n v="26.69"/>
    <n v="94"/>
    <x v="2"/>
    <x v="0"/>
    <s v="UAE, USA, Russia"/>
    <n v="169"/>
    <s v="Medium"/>
    <s v="Excellent"/>
  </r>
  <r>
    <x v="6"/>
    <x v="17"/>
    <x v="1593"/>
    <x v="0"/>
    <s v="Adamsfort"/>
    <x v="4"/>
    <n v="20.239999999999998"/>
    <n v="70"/>
    <x v="4"/>
    <x v="1"/>
    <s v="France, Russia, Japan"/>
    <n v="359"/>
    <s v="Medium"/>
    <s v="Average"/>
  </r>
  <r>
    <x v="7"/>
    <x v="20"/>
    <x v="1594"/>
    <x v="1"/>
    <s v="East John"/>
    <x v="1"/>
    <n v="38.24"/>
    <n v="81"/>
    <x v="4"/>
    <x v="0"/>
    <s v="USA, Japan"/>
    <n v="237"/>
    <s v="High"/>
    <s v="Good"/>
  </r>
  <r>
    <x v="8"/>
    <x v="6"/>
    <x v="1595"/>
    <x v="0"/>
    <s v="Angelicaview"/>
    <x v="2"/>
    <n v="28.6"/>
    <n v="71"/>
    <x v="3"/>
    <x v="2"/>
    <s v="India, UK, UAE"/>
    <n v="303"/>
    <s v="Medium"/>
    <s v="Average"/>
  </r>
  <r>
    <x v="7"/>
    <x v="6"/>
    <x v="1596"/>
    <x v="0"/>
    <s v="Andrewville"/>
    <x v="2"/>
    <n v="7.46"/>
    <n v="72"/>
    <x v="0"/>
    <x v="1"/>
    <s v="Israel, Japan"/>
    <n v="264"/>
    <s v="Low"/>
    <s v="Average"/>
  </r>
  <r>
    <x v="5"/>
    <x v="20"/>
    <x v="1597"/>
    <x v="1"/>
    <s v="Hermanchester"/>
    <x v="3"/>
    <n v="33.08"/>
    <n v="78"/>
    <x v="4"/>
    <x v="1"/>
    <s v="India"/>
    <n v="107"/>
    <s v="Medium"/>
    <s v="Good"/>
  </r>
  <r>
    <x v="1"/>
    <x v="12"/>
    <x v="1598"/>
    <x v="0"/>
    <s v="East Stephanie"/>
    <x v="3"/>
    <n v="26.06"/>
    <n v="62"/>
    <x v="0"/>
    <x v="2"/>
    <s v="USA, France"/>
    <n v="108"/>
    <s v="Medium"/>
    <s v="Average"/>
  </r>
  <r>
    <x v="4"/>
    <x v="12"/>
    <x v="1599"/>
    <x v="0"/>
    <s v="North Michaelville"/>
    <x v="2"/>
    <n v="27.77"/>
    <n v="71"/>
    <x v="4"/>
    <x v="1"/>
    <s v="India"/>
    <n v="140"/>
    <s v="Medium"/>
    <s v="Average"/>
  </r>
  <r>
    <x v="0"/>
    <x v="11"/>
    <x v="1600"/>
    <x v="0"/>
    <s v="New Lisa"/>
    <x v="4"/>
    <n v="25.52"/>
    <n v="79"/>
    <x v="0"/>
    <x v="2"/>
    <s v="Germany"/>
    <n v="267"/>
    <s v="Medium"/>
    <s v="Good"/>
  </r>
  <r>
    <x v="3"/>
    <x v="10"/>
    <x v="1601"/>
    <x v="0"/>
    <s v="Kennethport"/>
    <x v="0"/>
    <n v="23.65"/>
    <n v="59"/>
    <x v="3"/>
    <x v="2"/>
    <s v="USA, India, UAE"/>
    <n v="344"/>
    <s v="Medium"/>
    <s v="Average"/>
  </r>
  <r>
    <x v="4"/>
    <x v="3"/>
    <x v="1602"/>
    <x v="0"/>
    <s v="Norrisburgh"/>
    <x v="1"/>
    <n v="38.21"/>
    <n v="96"/>
    <x v="4"/>
    <x v="1"/>
    <s v="USA, Japan"/>
    <n v="222"/>
    <s v="High"/>
    <s v="Excellent"/>
  </r>
  <r>
    <x v="2"/>
    <x v="5"/>
    <x v="1603"/>
    <x v="1"/>
    <s v="West Brookefurt"/>
    <x v="3"/>
    <n v="35.44"/>
    <n v="63"/>
    <x v="0"/>
    <x v="2"/>
    <s v="China, Russia, UAE"/>
    <n v="174"/>
    <s v="High"/>
    <s v="Average"/>
  </r>
  <r>
    <x v="8"/>
    <x v="11"/>
    <x v="1604"/>
    <x v="1"/>
    <s v="North Ian"/>
    <x v="3"/>
    <n v="16.670000000000002"/>
    <n v="60"/>
    <x v="3"/>
    <x v="1"/>
    <s v="Japan, Israel, Germany"/>
    <n v="305"/>
    <s v="Medium"/>
    <s v="Average"/>
  </r>
  <r>
    <x v="7"/>
    <x v="24"/>
    <x v="1605"/>
    <x v="0"/>
    <s v="Markhaven"/>
    <x v="4"/>
    <n v="38.67"/>
    <n v="97"/>
    <x v="3"/>
    <x v="0"/>
    <s v="Israel, Russia"/>
    <n v="215"/>
    <s v="High"/>
    <s v="Excellent"/>
  </r>
  <r>
    <x v="4"/>
    <x v="0"/>
    <x v="1606"/>
    <x v="0"/>
    <s v="Pricehaven"/>
    <x v="4"/>
    <n v="15.32"/>
    <n v="82"/>
    <x v="3"/>
    <x v="2"/>
    <s v="India, Russia"/>
    <n v="66"/>
    <s v="Medium"/>
    <s v="Good"/>
  </r>
  <r>
    <x v="5"/>
    <x v="1"/>
    <x v="1607"/>
    <x v="0"/>
    <s v="Keyton"/>
    <x v="3"/>
    <n v="18.61"/>
    <n v="82"/>
    <x v="0"/>
    <x v="1"/>
    <s v="India, China"/>
    <n v="218"/>
    <s v="Medium"/>
    <s v="Good"/>
  </r>
  <r>
    <x v="8"/>
    <x v="18"/>
    <x v="1608"/>
    <x v="0"/>
    <s v="Hartmanview"/>
    <x v="2"/>
    <n v="18.28"/>
    <n v="87"/>
    <x v="3"/>
    <x v="0"/>
    <s v="Russia"/>
    <n v="168"/>
    <s v="Medium"/>
    <s v="Good"/>
  </r>
  <r>
    <x v="3"/>
    <x v="3"/>
    <x v="1609"/>
    <x v="0"/>
    <s v="Patriciachester"/>
    <x v="0"/>
    <n v="18.84"/>
    <n v="64"/>
    <x v="4"/>
    <x v="2"/>
    <s v="India"/>
    <n v="196"/>
    <s v="Medium"/>
    <s v="Average"/>
  </r>
  <r>
    <x v="4"/>
    <x v="21"/>
    <x v="1610"/>
    <x v="1"/>
    <s v="Patelbury"/>
    <x v="0"/>
    <n v="26.3"/>
    <n v="56"/>
    <x v="0"/>
    <x v="1"/>
    <s v="Israel, China, USA"/>
    <n v="301"/>
    <s v="Medium"/>
    <s v="Average"/>
  </r>
  <r>
    <x v="1"/>
    <x v="3"/>
    <x v="1611"/>
    <x v="0"/>
    <s v="Port Jeremiah"/>
    <x v="0"/>
    <n v="13.3"/>
    <n v="75"/>
    <x v="0"/>
    <x v="2"/>
    <s v="UAE"/>
    <n v="346"/>
    <s v="Low"/>
    <s v="Good"/>
  </r>
  <r>
    <x v="4"/>
    <x v="6"/>
    <x v="1612"/>
    <x v="1"/>
    <s v="Taylorchester"/>
    <x v="0"/>
    <n v="48.23"/>
    <n v="95"/>
    <x v="3"/>
    <x v="0"/>
    <s v="Japan, India, China"/>
    <n v="300"/>
    <s v="High"/>
    <s v="Excellent"/>
  </r>
  <r>
    <x v="0"/>
    <x v="21"/>
    <x v="1613"/>
    <x v="0"/>
    <s v="Christopherstad"/>
    <x v="0"/>
    <n v="27.98"/>
    <n v="78"/>
    <x v="0"/>
    <x v="1"/>
    <s v="Japan, UK, India"/>
    <n v="359"/>
    <s v="Medium"/>
    <s v="Good"/>
  </r>
  <r>
    <x v="9"/>
    <x v="5"/>
    <x v="1614"/>
    <x v="1"/>
    <s v="Davisfurt"/>
    <x v="2"/>
    <n v="21.16"/>
    <n v="78"/>
    <x v="4"/>
    <x v="0"/>
    <s v="Israel, Germany, China"/>
    <n v="170"/>
    <s v="Medium"/>
    <s v="Good"/>
  </r>
  <r>
    <x v="2"/>
    <x v="1"/>
    <x v="1615"/>
    <x v="0"/>
    <s v="North Andrea"/>
    <x v="1"/>
    <n v="8.9499999999999993"/>
    <n v="56"/>
    <x v="1"/>
    <x v="1"/>
    <s v="India"/>
    <n v="89"/>
    <s v="Low"/>
    <s v="Average"/>
  </r>
  <r>
    <x v="9"/>
    <x v="11"/>
    <x v="1616"/>
    <x v="1"/>
    <s v="New Juan"/>
    <x v="0"/>
    <n v="26.05"/>
    <n v="79"/>
    <x v="4"/>
    <x v="0"/>
    <s v="UAE"/>
    <n v="193"/>
    <s v="Medium"/>
    <s v="Good"/>
  </r>
  <r>
    <x v="0"/>
    <x v="8"/>
    <x v="1617"/>
    <x v="1"/>
    <s v="East Pattyville"/>
    <x v="1"/>
    <n v="27.71"/>
    <n v="64"/>
    <x v="2"/>
    <x v="0"/>
    <s v="India, Russia, UAE"/>
    <n v="230"/>
    <s v="Medium"/>
    <s v="Average"/>
  </r>
  <r>
    <x v="4"/>
    <x v="15"/>
    <x v="1618"/>
    <x v="0"/>
    <s v="Olsenview"/>
    <x v="2"/>
    <n v="49.91"/>
    <n v="100"/>
    <x v="2"/>
    <x v="2"/>
    <s v="UAE, USA, Japan"/>
    <n v="105"/>
    <s v="High"/>
    <s v="Excellent"/>
  </r>
  <r>
    <x v="4"/>
    <x v="4"/>
    <x v="1619"/>
    <x v="0"/>
    <s v="East Steven"/>
    <x v="2"/>
    <n v="6.59"/>
    <n v="99"/>
    <x v="4"/>
    <x v="0"/>
    <s v="USA, Israel, UAE"/>
    <n v="97"/>
    <s v="Low"/>
    <s v="Excellent"/>
  </r>
  <r>
    <x v="3"/>
    <x v="4"/>
    <x v="1620"/>
    <x v="1"/>
    <s v="New Philipside"/>
    <x v="0"/>
    <n v="35.590000000000003"/>
    <n v="96"/>
    <x v="2"/>
    <x v="0"/>
    <s v="Germany, UK, UAE"/>
    <n v="198"/>
    <s v="High"/>
    <s v="Excellent"/>
  </r>
  <r>
    <x v="0"/>
    <x v="7"/>
    <x v="1621"/>
    <x v="1"/>
    <s v="Lake Elizabethfort"/>
    <x v="2"/>
    <n v="44.57"/>
    <n v="67"/>
    <x v="0"/>
    <x v="1"/>
    <s v="Israel, Japan"/>
    <n v="137"/>
    <s v="High"/>
    <s v="Average"/>
  </r>
  <r>
    <x v="9"/>
    <x v="24"/>
    <x v="1622"/>
    <x v="0"/>
    <s v="Lake Jenna"/>
    <x v="1"/>
    <n v="31.53"/>
    <n v="52"/>
    <x v="3"/>
    <x v="1"/>
    <s v="UAE"/>
    <n v="142"/>
    <s v="Medium"/>
    <s v="Average"/>
  </r>
  <r>
    <x v="3"/>
    <x v="1"/>
    <x v="1623"/>
    <x v="1"/>
    <s v="Katherinehaven"/>
    <x v="3"/>
    <n v="45.4"/>
    <n v="53"/>
    <x v="2"/>
    <x v="1"/>
    <s v="China, Germany, Russia"/>
    <n v="165"/>
    <s v="High"/>
    <s v="Average"/>
  </r>
  <r>
    <x v="4"/>
    <x v="1"/>
    <x v="1624"/>
    <x v="1"/>
    <s v="Garciaborough"/>
    <x v="3"/>
    <n v="24.29"/>
    <n v="64"/>
    <x v="4"/>
    <x v="0"/>
    <s v="USA, Japan, Germany"/>
    <n v="280"/>
    <s v="Medium"/>
    <s v="Average"/>
  </r>
  <r>
    <x v="5"/>
    <x v="23"/>
    <x v="1625"/>
    <x v="0"/>
    <s v="Tiffanyville"/>
    <x v="2"/>
    <n v="28.21"/>
    <n v="63"/>
    <x v="3"/>
    <x v="2"/>
    <s v="UK"/>
    <n v="313"/>
    <s v="Medium"/>
    <s v="Average"/>
  </r>
  <r>
    <x v="1"/>
    <x v="5"/>
    <x v="1626"/>
    <x v="1"/>
    <s v="Michaelstad"/>
    <x v="0"/>
    <n v="32.72"/>
    <n v="74"/>
    <x v="0"/>
    <x v="2"/>
    <s v="Japan, Russia"/>
    <n v="45"/>
    <s v="Medium"/>
    <s v="Average"/>
  </r>
  <r>
    <x v="8"/>
    <x v="11"/>
    <x v="1627"/>
    <x v="0"/>
    <s v="East Michaelport"/>
    <x v="0"/>
    <n v="41.26"/>
    <n v="57"/>
    <x v="3"/>
    <x v="0"/>
    <s v="USA, Germany, UK"/>
    <n v="127"/>
    <s v="High"/>
    <s v="Average"/>
  </r>
  <r>
    <x v="3"/>
    <x v="10"/>
    <x v="1628"/>
    <x v="0"/>
    <s v="Weeksside"/>
    <x v="3"/>
    <n v="1.91"/>
    <n v="56"/>
    <x v="0"/>
    <x v="0"/>
    <s v="India"/>
    <n v="306"/>
    <s v="Low"/>
    <s v="Average"/>
  </r>
  <r>
    <x v="0"/>
    <x v="6"/>
    <x v="1629"/>
    <x v="0"/>
    <s v="Port Omarmouth"/>
    <x v="0"/>
    <n v="11.05"/>
    <n v="65"/>
    <x v="2"/>
    <x v="0"/>
    <s v="Russia, China"/>
    <n v="339"/>
    <s v="Low"/>
    <s v="Average"/>
  </r>
  <r>
    <x v="5"/>
    <x v="13"/>
    <x v="1630"/>
    <x v="1"/>
    <s v="Michelleview"/>
    <x v="0"/>
    <n v="49.92"/>
    <n v="67"/>
    <x v="1"/>
    <x v="1"/>
    <s v="Russia, Japan, UAE"/>
    <n v="223"/>
    <s v="High"/>
    <s v="Average"/>
  </r>
  <r>
    <x v="8"/>
    <x v="5"/>
    <x v="1631"/>
    <x v="0"/>
    <s v="Deleonland"/>
    <x v="1"/>
    <n v="45.7"/>
    <n v="56"/>
    <x v="3"/>
    <x v="1"/>
    <s v="China, Germany"/>
    <n v="195"/>
    <s v="High"/>
    <s v="Average"/>
  </r>
  <r>
    <x v="5"/>
    <x v="20"/>
    <x v="1632"/>
    <x v="0"/>
    <s v="New Ashleyport"/>
    <x v="0"/>
    <n v="28.36"/>
    <n v="92"/>
    <x v="3"/>
    <x v="0"/>
    <s v="UK, USA"/>
    <n v="48"/>
    <s v="Medium"/>
    <s v="Excellent"/>
  </r>
  <r>
    <x v="6"/>
    <x v="22"/>
    <x v="1633"/>
    <x v="1"/>
    <s v="West Jessicaside"/>
    <x v="0"/>
    <n v="40.799999999999997"/>
    <n v="53"/>
    <x v="4"/>
    <x v="0"/>
    <s v="UAE, USA"/>
    <n v="271"/>
    <s v="High"/>
    <s v="Average"/>
  </r>
  <r>
    <x v="6"/>
    <x v="17"/>
    <x v="1634"/>
    <x v="1"/>
    <s v="Christyborough"/>
    <x v="3"/>
    <n v="9.0399999999999991"/>
    <n v="66"/>
    <x v="3"/>
    <x v="2"/>
    <s v="Germany, Israel, India"/>
    <n v="146"/>
    <s v="Low"/>
    <s v="Average"/>
  </r>
  <r>
    <x v="4"/>
    <x v="0"/>
    <x v="1635"/>
    <x v="1"/>
    <s v="Lake Taylorfurt"/>
    <x v="1"/>
    <n v="26.47"/>
    <n v="92"/>
    <x v="4"/>
    <x v="1"/>
    <s v="France, Russia, USA"/>
    <n v="193"/>
    <s v="Medium"/>
    <s v="Excellent"/>
  </r>
  <r>
    <x v="3"/>
    <x v="19"/>
    <x v="1636"/>
    <x v="0"/>
    <s v="Lake Andrew"/>
    <x v="3"/>
    <n v="38.56"/>
    <n v="51"/>
    <x v="2"/>
    <x v="1"/>
    <s v="Russia"/>
    <n v="357"/>
    <s v="High"/>
    <s v="Average"/>
  </r>
  <r>
    <x v="9"/>
    <x v="10"/>
    <x v="1637"/>
    <x v="1"/>
    <s v="Justinmouth"/>
    <x v="0"/>
    <n v="20.13"/>
    <n v="54"/>
    <x v="2"/>
    <x v="2"/>
    <s v="France, Russia, UK"/>
    <n v="41"/>
    <s v="Medium"/>
    <s v="Average"/>
  </r>
  <r>
    <x v="7"/>
    <x v="24"/>
    <x v="1638"/>
    <x v="0"/>
    <s v="Lake Angelamouth"/>
    <x v="4"/>
    <n v="19.190000000000001"/>
    <n v="55"/>
    <x v="0"/>
    <x v="2"/>
    <s v="USA, Russia, Germany"/>
    <n v="314"/>
    <s v="Medium"/>
    <s v="Average"/>
  </r>
  <r>
    <x v="2"/>
    <x v="11"/>
    <x v="1639"/>
    <x v="1"/>
    <s v="South Andrew"/>
    <x v="4"/>
    <n v="24.05"/>
    <n v="94"/>
    <x v="0"/>
    <x v="2"/>
    <s v="France, UAE, Russia"/>
    <n v="136"/>
    <s v="Medium"/>
    <s v="Excellent"/>
  </r>
  <r>
    <x v="0"/>
    <x v="24"/>
    <x v="1640"/>
    <x v="0"/>
    <s v="Lake Christopherview"/>
    <x v="3"/>
    <n v="46.47"/>
    <n v="76"/>
    <x v="3"/>
    <x v="1"/>
    <s v="Japan, Russia"/>
    <n v="344"/>
    <s v="High"/>
    <s v="Good"/>
  </r>
  <r>
    <x v="1"/>
    <x v="12"/>
    <x v="1641"/>
    <x v="1"/>
    <s v="East Pamelaberg"/>
    <x v="4"/>
    <n v="40.21"/>
    <n v="50"/>
    <x v="2"/>
    <x v="1"/>
    <s v="Germany, France"/>
    <n v="116"/>
    <s v="High"/>
    <s v="Average"/>
  </r>
  <r>
    <x v="9"/>
    <x v="22"/>
    <x v="1642"/>
    <x v="1"/>
    <s v="Bonnieside"/>
    <x v="4"/>
    <n v="31.2"/>
    <n v="80"/>
    <x v="0"/>
    <x v="0"/>
    <s v="UK, USA"/>
    <n v="133"/>
    <s v="Medium"/>
    <s v="Good"/>
  </r>
  <r>
    <x v="0"/>
    <x v="10"/>
    <x v="1643"/>
    <x v="0"/>
    <s v="Haroldhaven"/>
    <x v="0"/>
    <n v="16.52"/>
    <n v="61"/>
    <x v="1"/>
    <x v="0"/>
    <s v="USA, India, Israel"/>
    <n v="303"/>
    <s v="Medium"/>
    <s v="Average"/>
  </r>
  <r>
    <x v="8"/>
    <x v="11"/>
    <x v="1644"/>
    <x v="0"/>
    <s v="Butlerburgh"/>
    <x v="1"/>
    <n v="12.88"/>
    <n v="99"/>
    <x v="1"/>
    <x v="2"/>
    <s v="Germany"/>
    <n v="9"/>
    <s v="Low"/>
    <s v="Excellent"/>
  </r>
  <r>
    <x v="1"/>
    <x v="10"/>
    <x v="1645"/>
    <x v="0"/>
    <s v="New William"/>
    <x v="1"/>
    <n v="22.08"/>
    <n v="60"/>
    <x v="3"/>
    <x v="2"/>
    <s v="UK, Russia"/>
    <n v="60"/>
    <s v="Medium"/>
    <s v="Average"/>
  </r>
  <r>
    <x v="3"/>
    <x v="5"/>
    <x v="1646"/>
    <x v="0"/>
    <s v="Petersonview"/>
    <x v="0"/>
    <n v="41.48"/>
    <n v="51"/>
    <x v="3"/>
    <x v="0"/>
    <s v="Germany, Japan, Russia"/>
    <n v="48"/>
    <s v="High"/>
    <s v="Average"/>
  </r>
  <r>
    <x v="0"/>
    <x v="12"/>
    <x v="1647"/>
    <x v="0"/>
    <s v="Riceshire"/>
    <x v="1"/>
    <n v="28.4"/>
    <n v="60"/>
    <x v="4"/>
    <x v="0"/>
    <s v="France, India"/>
    <n v="259"/>
    <s v="Medium"/>
    <s v="Average"/>
  </r>
  <r>
    <x v="9"/>
    <x v="24"/>
    <x v="1648"/>
    <x v="0"/>
    <s v="North Toddport"/>
    <x v="2"/>
    <n v="21.27"/>
    <n v="89"/>
    <x v="3"/>
    <x v="2"/>
    <s v="Russia, Japan"/>
    <n v="345"/>
    <s v="Medium"/>
    <s v="Good"/>
  </r>
  <r>
    <x v="7"/>
    <x v="21"/>
    <x v="1649"/>
    <x v="1"/>
    <s v="Brookefort"/>
    <x v="1"/>
    <n v="3.48"/>
    <n v="77"/>
    <x v="0"/>
    <x v="1"/>
    <s v="France, UAE, China"/>
    <n v="221"/>
    <s v="Low"/>
    <s v="Good"/>
  </r>
  <r>
    <x v="2"/>
    <x v="25"/>
    <x v="1650"/>
    <x v="1"/>
    <s v="North Deborahmouth"/>
    <x v="0"/>
    <n v="19.84"/>
    <n v="51"/>
    <x v="4"/>
    <x v="2"/>
    <s v="UAE, Germany, Israel"/>
    <n v="220"/>
    <s v="Medium"/>
    <s v="Average"/>
  </r>
  <r>
    <x v="0"/>
    <x v="1"/>
    <x v="1651"/>
    <x v="1"/>
    <s v="Osbornborough"/>
    <x v="0"/>
    <n v="6.27"/>
    <n v="89"/>
    <x v="4"/>
    <x v="0"/>
    <s v="India, UAE, Germany"/>
    <n v="135"/>
    <s v="Low"/>
    <s v="Good"/>
  </r>
  <r>
    <x v="7"/>
    <x v="12"/>
    <x v="1652"/>
    <x v="0"/>
    <s v="Matthewbury"/>
    <x v="4"/>
    <n v="12.57"/>
    <n v="91"/>
    <x v="0"/>
    <x v="2"/>
    <s v="Russia, Israel"/>
    <n v="311"/>
    <s v="Low"/>
    <s v="Excellent"/>
  </r>
  <r>
    <x v="6"/>
    <x v="0"/>
    <x v="1653"/>
    <x v="1"/>
    <s v="Tracymouth"/>
    <x v="2"/>
    <n v="12.68"/>
    <n v="95"/>
    <x v="2"/>
    <x v="0"/>
    <s v="China"/>
    <n v="217"/>
    <s v="Low"/>
    <s v="Excellent"/>
  </r>
  <r>
    <x v="6"/>
    <x v="11"/>
    <x v="1654"/>
    <x v="1"/>
    <s v="Lake Michael"/>
    <x v="1"/>
    <n v="28.05"/>
    <n v="84"/>
    <x v="1"/>
    <x v="2"/>
    <s v="USA, Russia"/>
    <n v="206"/>
    <s v="Medium"/>
    <s v="Good"/>
  </r>
  <r>
    <x v="3"/>
    <x v="2"/>
    <x v="1655"/>
    <x v="1"/>
    <s v="Lake Ian"/>
    <x v="4"/>
    <n v="32.72"/>
    <n v="52"/>
    <x v="1"/>
    <x v="2"/>
    <s v="UAE, Japan"/>
    <n v="320"/>
    <s v="Medium"/>
    <s v="Average"/>
  </r>
  <r>
    <x v="2"/>
    <x v="2"/>
    <x v="1656"/>
    <x v="0"/>
    <s v="Campbellmouth"/>
    <x v="0"/>
    <n v="31.67"/>
    <n v="76"/>
    <x v="1"/>
    <x v="0"/>
    <s v="UAE, Japan, Israel"/>
    <n v="217"/>
    <s v="Medium"/>
    <s v="Good"/>
  </r>
  <r>
    <x v="8"/>
    <x v="4"/>
    <x v="1657"/>
    <x v="1"/>
    <s v="Lake Ginahaven"/>
    <x v="2"/>
    <n v="21.14"/>
    <n v="100"/>
    <x v="2"/>
    <x v="2"/>
    <s v="Germany, Japan"/>
    <n v="223"/>
    <s v="Medium"/>
    <s v="Excellent"/>
  </r>
  <r>
    <x v="2"/>
    <x v="5"/>
    <x v="1658"/>
    <x v="1"/>
    <s v="Wrightville"/>
    <x v="3"/>
    <n v="34.83"/>
    <n v="67"/>
    <x v="0"/>
    <x v="2"/>
    <s v="Russia, Israel"/>
    <n v="172"/>
    <s v="Medium"/>
    <s v="Average"/>
  </r>
  <r>
    <x v="7"/>
    <x v="15"/>
    <x v="1659"/>
    <x v="1"/>
    <s v="South Stacyhaven"/>
    <x v="1"/>
    <n v="10.8"/>
    <n v="55"/>
    <x v="3"/>
    <x v="1"/>
    <s v="India, China, UAE"/>
    <n v="290"/>
    <s v="Low"/>
    <s v="Average"/>
  </r>
  <r>
    <x v="7"/>
    <x v="11"/>
    <x v="1660"/>
    <x v="1"/>
    <s v="East Laceyville"/>
    <x v="3"/>
    <n v="20.92"/>
    <n v="78"/>
    <x v="3"/>
    <x v="0"/>
    <s v="Russia"/>
    <n v="96"/>
    <s v="Medium"/>
    <s v="Good"/>
  </r>
  <r>
    <x v="6"/>
    <x v="8"/>
    <x v="1661"/>
    <x v="0"/>
    <s v="East Kristina"/>
    <x v="0"/>
    <n v="29.54"/>
    <n v="96"/>
    <x v="4"/>
    <x v="2"/>
    <s v="France, Japan"/>
    <n v="152"/>
    <s v="Medium"/>
    <s v="Excellent"/>
  </r>
  <r>
    <x v="5"/>
    <x v="20"/>
    <x v="1662"/>
    <x v="1"/>
    <s v="New Markstad"/>
    <x v="0"/>
    <n v="28.17"/>
    <n v="53"/>
    <x v="4"/>
    <x v="1"/>
    <s v="UAE, Germany, Japan"/>
    <n v="162"/>
    <s v="Medium"/>
    <s v="Average"/>
  </r>
  <r>
    <x v="2"/>
    <x v="8"/>
    <x v="1663"/>
    <x v="1"/>
    <s v="New Richard"/>
    <x v="1"/>
    <n v="14.47"/>
    <n v="54"/>
    <x v="0"/>
    <x v="1"/>
    <s v="Japan"/>
    <n v="120"/>
    <s v="Low"/>
    <s v="Average"/>
  </r>
  <r>
    <x v="2"/>
    <x v="13"/>
    <x v="1664"/>
    <x v="1"/>
    <s v="Lisahaven"/>
    <x v="2"/>
    <n v="21.19"/>
    <n v="61"/>
    <x v="2"/>
    <x v="1"/>
    <s v="Russia, UAE"/>
    <n v="41"/>
    <s v="Medium"/>
    <s v="Average"/>
  </r>
  <r>
    <x v="3"/>
    <x v="11"/>
    <x v="1665"/>
    <x v="0"/>
    <s v="West Eric"/>
    <x v="2"/>
    <n v="29.23"/>
    <n v="99"/>
    <x v="1"/>
    <x v="0"/>
    <s v="India, Israel, UAE"/>
    <n v="149"/>
    <s v="Medium"/>
    <s v="Excellent"/>
  </r>
  <r>
    <x v="8"/>
    <x v="23"/>
    <x v="1666"/>
    <x v="1"/>
    <s v="Whitefurt"/>
    <x v="2"/>
    <n v="25.32"/>
    <n v="58"/>
    <x v="0"/>
    <x v="2"/>
    <s v="Israel, USA, China"/>
    <n v="189"/>
    <s v="Medium"/>
    <s v="Average"/>
  </r>
  <r>
    <x v="4"/>
    <x v="12"/>
    <x v="1667"/>
    <x v="0"/>
    <s v="Lake Jose"/>
    <x v="4"/>
    <n v="6.16"/>
    <n v="85"/>
    <x v="2"/>
    <x v="1"/>
    <s v="Japan"/>
    <n v="84"/>
    <s v="Low"/>
    <s v="Good"/>
  </r>
  <r>
    <x v="0"/>
    <x v="3"/>
    <x v="1668"/>
    <x v="1"/>
    <s v="West Jerryhaven"/>
    <x v="1"/>
    <n v="29.66"/>
    <n v="81"/>
    <x v="1"/>
    <x v="1"/>
    <s v="Russia, USA, UK"/>
    <n v="364"/>
    <s v="Medium"/>
    <s v="Good"/>
  </r>
  <r>
    <x v="8"/>
    <x v="1"/>
    <x v="1669"/>
    <x v="0"/>
    <s v="New Kimberlymouth"/>
    <x v="0"/>
    <n v="17.399999999999999"/>
    <n v="90"/>
    <x v="2"/>
    <x v="2"/>
    <s v="France, Germany, Russia"/>
    <n v="360"/>
    <s v="Medium"/>
    <s v="Excellent"/>
  </r>
  <r>
    <x v="5"/>
    <x v="14"/>
    <x v="1670"/>
    <x v="0"/>
    <s v="East Andrewburgh"/>
    <x v="3"/>
    <n v="9.01"/>
    <n v="57"/>
    <x v="1"/>
    <x v="2"/>
    <s v="UAE, USA, Israel"/>
    <n v="127"/>
    <s v="Low"/>
    <s v="Average"/>
  </r>
  <r>
    <x v="5"/>
    <x v="8"/>
    <x v="1671"/>
    <x v="0"/>
    <s v="East Thomas"/>
    <x v="4"/>
    <n v="41.5"/>
    <n v="76"/>
    <x v="3"/>
    <x v="0"/>
    <s v="UAE, China"/>
    <n v="155"/>
    <s v="High"/>
    <s v="Good"/>
  </r>
  <r>
    <x v="3"/>
    <x v="12"/>
    <x v="1672"/>
    <x v="0"/>
    <s v="North Amandaville"/>
    <x v="3"/>
    <n v="15.79"/>
    <n v="73"/>
    <x v="0"/>
    <x v="1"/>
    <s v="Japan, France, UAE"/>
    <n v="271"/>
    <s v="Medium"/>
    <s v="Average"/>
  </r>
  <r>
    <x v="5"/>
    <x v="18"/>
    <x v="1673"/>
    <x v="1"/>
    <s v="East Nathanview"/>
    <x v="0"/>
    <n v="17.37"/>
    <n v="88"/>
    <x v="1"/>
    <x v="2"/>
    <s v="Russia"/>
    <n v="82"/>
    <s v="Medium"/>
    <s v="Good"/>
  </r>
  <r>
    <x v="1"/>
    <x v="22"/>
    <x v="1674"/>
    <x v="1"/>
    <s v="Port Veronica"/>
    <x v="2"/>
    <n v="41.97"/>
    <n v="53"/>
    <x v="4"/>
    <x v="1"/>
    <s v="UAE, Germany, France"/>
    <n v="267"/>
    <s v="High"/>
    <s v="Average"/>
  </r>
  <r>
    <x v="3"/>
    <x v="24"/>
    <x v="1675"/>
    <x v="0"/>
    <s v="East Ginafort"/>
    <x v="3"/>
    <n v="12.15"/>
    <n v="93"/>
    <x v="4"/>
    <x v="0"/>
    <s v="France"/>
    <n v="147"/>
    <s v="Low"/>
    <s v="Excellent"/>
  </r>
  <r>
    <x v="5"/>
    <x v="2"/>
    <x v="1676"/>
    <x v="1"/>
    <s v="Mossbury"/>
    <x v="2"/>
    <n v="5.84"/>
    <n v="69"/>
    <x v="3"/>
    <x v="1"/>
    <s v="Israel"/>
    <n v="264"/>
    <s v="Low"/>
    <s v="Average"/>
  </r>
  <r>
    <x v="9"/>
    <x v="19"/>
    <x v="1677"/>
    <x v="1"/>
    <s v="Richardsonton"/>
    <x v="1"/>
    <n v="26.09"/>
    <n v="94"/>
    <x v="3"/>
    <x v="2"/>
    <s v="USA, China, Israel"/>
    <n v="262"/>
    <s v="Medium"/>
    <s v="Excellent"/>
  </r>
  <r>
    <x v="7"/>
    <x v="2"/>
    <x v="1678"/>
    <x v="0"/>
    <s v="North Christinaton"/>
    <x v="4"/>
    <n v="25.01"/>
    <n v="60"/>
    <x v="1"/>
    <x v="0"/>
    <s v="Germany, Russia"/>
    <n v="191"/>
    <s v="Medium"/>
    <s v="Average"/>
  </r>
  <r>
    <x v="5"/>
    <x v="1"/>
    <x v="1679"/>
    <x v="1"/>
    <s v="South Keithberg"/>
    <x v="4"/>
    <n v="34.299999999999997"/>
    <n v="50"/>
    <x v="3"/>
    <x v="0"/>
    <s v="Israel, Germany, India"/>
    <n v="224"/>
    <s v="Medium"/>
    <s v="Average"/>
  </r>
  <r>
    <x v="5"/>
    <x v="5"/>
    <x v="1680"/>
    <x v="1"/>
    <s v="South Kerry"/>
    <x v="0"/>
    <n v="33.6"/>
    <n v="79"/>
    <x v="4"/>
    <x v="0"/>
    <s v="India, USA, UK"/>
    <n v="132"/>
    <s v="Medium"/>
    <s v="Good"/>
  </r>
  <r>
    <x v="4"/>
    <x v="22"/>
    <x v="1681"/>
    <x v="1"/>
    <s v="Lake Deborahborough"/>
    <x v="1"/>
    <n v="11.45"/>
    <n v="72"/>
    <x v="2"/>
    <x v="2"/>
    <s v="Israel"/>
    <n v="69"/>
    <s v="Low"/>
    <s v="Average"/>
  </r>
  <r>
    <x v="3"/>
    <x v="17"/>
    <x v="1682"/>
    <x v="0"/>
    <s v="Salazarstad"/>
    <x v="3"/>
    <n v="10.4"/>
    <n v="92"/>
    <x v="2"/>
    <x v="2"/>
    <s v="China, Russia"/>
    <n v="68"/>
    <s v="Low"/>
    <s v="Excellent"/>
  </r>
  <r>
    <x v="9"/>
    <x v="15"/>
    <x v="1683"/>
    <x v="1"/>
    <s v="North Cherylhaven"/>
    <x v="2"/>
    <n v="16.559999999999999"/>
    <n v="88"/>
    <x v="1"/>
    <x v="0"/>
    <s v="UK"/>
    <n v="47"/>
    <s v="Medium"/>
    <s v="Good"/>
  </r>
  <r>
    <x v="3"/>
    <x v="7"/>
    <x v="1684"/>
    <x v="0"/>
    <s v="East Alex"/>
    <x v="3"/>
    <n v="10.34"/>
    <n v="97"/>
    <x v="3"/>
    <x v="0"/>
    <s v="Israel, India"/>
    <n v="230"/>
    <s v="Low"/>
    <s v="Excellent"/>
  </r>
  <r>
    <x v="3"/>
    <x v="16"/>
    <x v="1685"/>
    <x v="1"/>
    <s v="Hallport"/>
    <x v="2"/>
    <n v="34.85"/>
    <n v="93"/>
    <x v="2"/>
    <x v="0"/>
    <s v="Germany"/>
    <n v="163"/>
    <s v="Medium"/>
    <s v="Excellent"/>
  </r>
  <r>
    <x v="8"/>
    <x v="17"/>
    <x v="1686"/>
    <x v="0"/>
    <s v="North Gregoryhaven"/>
    <x v="2"/>
    <n v="43.18"/>
    <n v="76"/>
    <x v="1"/>
    <x v="2"/>
    <s v="Russia, Japan, China"/>
    <n v="307"/>
    <s v="High"/>
    <s v="Good"/>
  </r>
  <r>
    <x v="1"/>
    <x v="14"/>
    <x v="1687"/>
    <x v="1"/>
    <s v="Jacobchester"/>
    <x v="2"/>
    <n v="40.11"/>
    <n v="93"/>
    <x v="2"/>
    <x v="0"/>
    <s v="UAE, USA"/>
    <n v="112"/>
    <s v="High"/>
    <s v="Excellent"/>
  </r>
  <r>
    <x v="9"/>
    <x v="4"/>
    <x v="1688"/>
    <x v="1"/>
    <s v="Annaport"/>
    <x v="3"/>
    <n v="11.45"/>
    <n v="71"/>
    <x v="3"/>
    <x v="1"/>
    <s v="USA, China, UAE"/>
    <n v="77"/>
    <s v="Low"/>
    <s v="Average"/>
  </r>
  <r>
    <x v="6"/>
    <x v="20"/>
    <x v="1689"/>
    <x v="1"/>
    <s v="Laurenview"/>
    <x v="1"/>
    <n v="4.53"/>
    <n v="58"/>
    <x v="1"/>
    <x v="1"/>
    <s v="France, India, Russia"/>
    <n v="329"/>
    <s v="Low"/>
    <s v="Average"/>
  </r>
  <r>
    <x v="8"/>
    <x v="13"/>
    <x v="1690"/>
    <x v="1"/>
    <s v="Jeffview"/>
    <x v="3"/>
    <n v="10.57"/>
    <n v="99"/>
    <x v="0"/>
    <x v="0"/>
    <s v="UK, France"/>
    <n v="194"/>
    <s v="Low"/>
    <s v="Excellent"/>
  </r>
  <r>
    <x v="8"/>
    <x v="21"/>
    <x v="1691"/>
    <x v="1"/>
    <s v="North Kristin"/>
    <x v="4"/>
    <n v="23.18"/>
    <n v="64"/>
    <x v="3"/>
    <x v="2"/>
    <s v="India"/>
    <n v="174"/>
    <s v="Medium"/>
    <s v="Average"/>
  </r>
  <r>
    <x v="5"/>
    <x v="8"/>
    <x v="1692"/>
    <x v="0"/>
    <s v="West Joy"/>
    <x v="3"/>
    <n v="20.04"/>
    <n v="87"/>
    <x v="3"/>
    <x v="2"/>
    <s v="UAE"/>
    <n v="340"/>
    <s v="Medium"/>
    <s v="Good"/>
  </r>
  <r>
    <x v="2"/>
    <x v="10"/>
    <x v="1693"/>
    <x v="0"/>
    <s v="Laneview"/>
    <x v="3"/>
    <n v="23.62"/>
    <n v="91"/>
    <x v="0"/>
    <x v="1"/>
    <s v="UAE, Israel"/>
    <n v="228"/>
    <s v="Medium"/>
    <s v="Excellent"/>
  </r>
  <r>
    <x v="2"/>
    <x v="16"/>
    <x v="1694"/>
    <x v="1"/>
    <s v="Greentown"/>
    <x v="3"/>
    <n v="42.13"/>
    <n v="71"/>
    <x v="1"/>
    <x v="1"/>
    <s v="UK"/>
    <n v="212"/>
    <s v="High"/>
    <s v="Average"/>
  </r>
  <r>
    <x v="8"/>
    <x v="10"/>
    <x v="1695"/>
    <x v="0"/>
    <s v="Port Thomasshire"/>
    <x v="4"/>
    <n v="8.36"/>
    <n v="88"/>
    <x v="4"/>
    <x v="2"/>
    <s v="India"/>
    <n v="285"/>
    <s v="Low"/>
    <s v="Good"/>
  </r>
  <r>
    <x v="8"/>
    <x v="1"/>
    <x v="1696"/>
    <x v="0"/>
    <s v="Pamelachester"/>
    <x v="1"/>
    <n v="7"/>
    <n v="70"/>
    <x v="3"/>
    <x v="2"/>
    <s v="France, UK, UAE"/>
    <n v="229"/>
    <s v="Low"/>
    <s v="Average"/>
  </r>
  <r>
    <x v="2"/>
    <x v="24"/>
    <x v="1697"/>
    <x v="0"/>
    <s v="North Luke"/>
    <x v="1"/>
    <n v="49.23"/>
    <n v="77"/>
    <x v="2"/>
    <x v="0"/>
    <s v="UK"/>
    <n v="47"/>
    <s v="High"/>
    <s v="Good"/>
  </r>
  <r>
    <x v="7"/>
    <x v="23"/>
    <x v="1698"/>
    <x v="0"/>
    <s v="Chenview"/>
    <x v="1"/>
    <n v="13.86"/>
    <n v="91"/>
    <x v="2"/>
    <x v="2"/>
    <s v="Russia"/>
    <n v="208"/>
    <s v="Low"/>
    <s v="Excellent"/>
  </r>
  <r>
    <x v="1"/>
    <x v="4"/>
    <x v="1699"/>
    <x v="0"/>
    <s v="Port James"/>
    <x v="2"/>
    <n v="9.73"/>
    <n v="100"/>
    <x v="0"/>
    <x v="1"/>
    <s v="UK, France"/>
    <n v="124"/>
    <s v="Low"/>
    <s v="Excellent"/>
  </r>
  <r>
    <x v="4"/>
    <x v="7"/>
    <x v="1700"/>
    <x v="0"/>
    <s v="Kimville"/>
    <x v="3"/>
    <n v="14.57"/>
    <n v="50"/>
    <x v="2"/>
    <x v="2"/>
    <s v="India, UAE, Germany"/>
    <n v="104"/>
    <s v="Low"/>
    <s v="Average"/>
  </r>
  <r>
    <x v="7"/>
    <x v="10"/>
    <x v="1701"/>
    <x v="0"/>
    <s v="North Sherryville"/>
    <x v="3"/>
    <n v="14.43"/>
    <n v="78"/>
    <x v="0"/>
    <x v="1"/>
    <s v="Israel"/>
    <n v="169"/>
    <s v="Low"/>
    <s v="Good"/>
  </r>
  <r>
    <x v="3"/>
    <x v="12"/>
    <x v="1702"/>
    <x v="1"/>
    <s v="East Michael"/>
    <x v="0"/>
    <n v="21.56"/>
    <n v="89"/>
    <x v="4"/>
    <x v="0"/>
    <s v="China"/>
    <n v="132"/>
    <s v="Medium"/>
    <s v="Good"/>
  </r>
  <r>
    <x v="3"/>
    <x v="6"/>
    <x v="1703"/>
    <x v="1"/>
    <s v="Port Andreaview"/>
    <x v="2"/>
    <n v="31.6"/>
    <n v="63"/>
    <x v="1"/>
    <x v="2"/>
    <s v="Germany, Israel, UK"/>
    <n v="262"/>
    <s v="Medium"/>
    <s v="Average"/>
  </r>
  <r>
    <x v="0"/>
    <x v="6"/>
    <x v="1704"/>
    <x v="0"/>
    <s v="South Jodimouth"/>
    <x v="3"/>
    <n v="34.659999999999997"/>
    <n v="60"/>
    <x v="1"/>
    <x v="1"/>
    <s v="Germany, India"/>
    <n v="309"/>
    <s v="Medium"/>
    <s v="Average"/>
  </r>
  <r>
    <x v="5"/>
    <x v="17"/>
    <x v="1705"/>
    <x v="0"/>
    <s v="Jimeneztown"/>
    <x v="4"/>
    <n v="0.83"/>
    <n v="77"/>
    <x v="1"/>
    <x v="0"/>
    <s v="India, China, Russia"/>
    <n v="28"/>
    <s v="Low"/>
    <s v="Good"/>
  </r>
  <r>
    <x v="8"/>
    <x v="8"/>
    <x v="1706"/>
    <x v="0"/>
    <s v="North Valeriefurt"/>
    <x v="1"/>
    <n v="23.2"/>
    <n v="98"/>
    <x v="2"/>
    <x v="2"/>
    <s v="India"/>
    <n v="274"/>
    <s v="Medium"/>
    <s v="Excellent"/>
  </r>
  <r>
    <x v="1"/>
    <x v="19"/>
    <x v="1707"/>
    <x v="1"/>
    <s v="Bobbyfort"/>
    <x v="3"/>
    <n v="39.43"/>
    <n v="95"/>
    <x v="1"/>
    <x v="0"/>
    <s v="Germany, Israel, India"/>
    <n v="142"/>
    <s v="High"/>
    <s v="Excellent"/>
  </r>
  <r>
    <x v="8"/>
    <x v="18"/>
    <x v="1708"/>
    <x v="1"/>
    <s v="Lake Erica"/>
    <x v="2"/>
    <n v="17.829999999999998"/>
    <n v="56"/>
    <x v="4"/>
    <x v="0"/>
    <s v="Japan"/>
    <n v="287"/>
    <s v="Medium"/>
    <s v="Average"/>
  </r>
  <r>
    <x v="0"/>
    <x v="25"/>
    <x v="1709"/>
    <x v="1"/>
    <s v="Connieton"/>
    <x v="3"/>
    <n v="16.02"/>
    <n v="88"/>
    <x v="0"/>
    <x v="0"/>
    <s v="Russia"/>
    <n v="332"/>
    <s v="Medium"/>
    <s v="Good"/>
  </r>
  <r>
    <x v="5"/>
    <x v="16"/>
    <x v="1710"/>
    <x v="0"/>
    <s v="Rojasshire"/>
    <x v="4"/>
    <n v="40.61"/>
    <n v="71"/>
    <x v="2"/>
    <x v="0"/>
    <s v="China"/>
    <n v="160"/>
    <s v="High"/>
    <s v="Average"/>
  </r>
  <r>
    <x v="5"/>
    <x v="19"/>
    <x v="1711"/>
    <x v="1"/>
    <s v="Kingmouth"/>
    <x v="4"/>
    <n v="11.05"/>
    <n v="59"/>
    <x v="4"/>
    <x v="2"/>
    <s v="UK"/>
    <n v="86"/>
    <s v="Low"/>
    <s v="Average"/>
  </r>
  <r>
    <x v="0"/>
    <x v="4"/>
    <x v="1712"/>
    <x v="1"/>
    <s v="Lake Robert"/>
    <x v="2"/>
    <n v="48.51"/>
    <n v="97"/>
    <x v="0"/>
    <x v="2"/>
    <s v="India, France, Japan"/>
    <n v="201"/>
    <s v="High"/>
    <s v="Excellent"/>
  </r>
  <r>
    <x v="3"/>
    <x v="12"/>
    <x v="1713"/>
    <x v="1"/>
    <s v="East Jerome"/>
    <x v="3"/>
    <n v="14.45"/>
    <n v="64"/>
    <x v="1"/>
    <x v="2"/>
    <s v="France, Japan"/>
    <n v="363"/>
    <s v="Low"/>
    <s v="Average"/>
  </r>
  <r>
    <x v="5"/>
    <x v="14"/>
    <x v="1714"/>
    <x v="0"/>
    <s v="Harperside"/>
    <x v="4"/>
    <n v="33.22"/>
    <n v="67"/>
    <x v="4"/>
    <x v="2"/>
    <s v="Germany, UAE"/>
    <n v="36"/>
    <s v="Medium"/>
    <s v="Average"/>
  </r>
  <r>
    <x v="5"/>
    <x v="18"/>
    <x v="1715"/>
    <x v="1"/>
    <s v="Huberhaven"/>
    <x v="3"/>
    <n v="24.02"/>
    <n v="90"/>
    <x v="0"/>
    <x v="0"/>
    <s v="Russia"/>
    <n v="102"/>
    <s v="Medium"/>
    <s v="Excellent"/>
  </r>
  <r>
    <x v="0"/>
    <x v="0"/>
    <x v="1716"/>
    <x v="1"/>
    <s v="Jessicaton"/>
    <x v="1"/>
    <n v="29.52"/>
    <n v="83"/>
    <x v="4"/>
    <x v="2"/>
    <s v="USA"/>
    <n v="118"/>
    <s v="Medium"/>
    <s v="Good"/>
  </r>
  <r>
    <x v="1"/>
    <x v="7"/>
    <x v="1717"/>
    <x v="0"/>
    <s v="West Karen"/>
    <x v="0"/>
    <n v="40.69"/>
    <n v="85"/>
    <x v="2"/>
    <x v="1"/>
    <s v="France"/>
    <n v="156"/>
    <s v="High"/>
    <s v="Good"/>
  </r>
  <r>
    <x v="9"/>
    <x v="25"/>
    <x v="1718"/>
    <x v="1"/>
    <s v="West Elizabethchester"/>
    <x v="3"/>
    <n v="25.05"/>
    <n v="86"/>
    <x v="3"/>
    <x v="0"/>
    <s v="UAE, Japan, China"/>
    <n v="359"/>
    <s v="Medium"/>
    <s v="Good"/>
  </r>
  <r>
    <x v="9"/>
    <x v="3"/>
    <x v="1719"/>
    <x v="0"/>
    <s v="Kevinburgh"/>
    <x v="1"/>
    <n v="15.92"/>
    <n v="96"/>
    <x v="4"/>
    <x v="0"/>
    <s v="France"/>
    <n v="141"/>
    <s v="Medium"/>
    <s v="Excellent"/>
  </r>
  <r>
    <x v="4"/>
    <x v="2"/>
    <x v="1720"/>
    <x v="1"/>
    <s v="North Davidhaven"/>
    <x v="4"/>
    <n v="8.1300000000000008"/>
    <n v="92"/>
    <x v="2"/>
    <x v="0"/>
    <s v="USA, Russia, India"/>
    <n v="157"/>
    <s v="Low"/>
    <s v="Excellent"/>
  </r>
  <r>
    <x v="3"/>
    <x v="21"/>
    <x v="1721"/>
    <x v="1"/>
    <s v="Johnberg"/>
    <x v="2"/>
    <n v="4.17"/>
    <n v="84"/>
    <x v="3"/>
    <x v="1"/>
    <s v="India, UK, Germany"/>
    <n v="1"/>
    <s v="Low"/>
    <s v="Good"/>
  </r>
  <r>
    <x v="9"/>
    <x v="14"/>
    <x v="1722"/>
    <x v="0"/>
    <s v="Sandrabury"/>
    <x v="2"/>
    <n v="13.12"/>
    <n v="55"/>
    <x v="2"/>
    <x v="0"/>
    <s v="UK, Japan"/>
    <n v="271"/>
    <s v="Low"/>
    <s v="Average"/>
  </r>
  <r>
    <x v="6"/>
    <x v="5"/>
    <x v="1723"/>
    <x v="1"/>
    <s v="Lake Kevintown"/>
    <x v="2"/>
    <n v="41.24"/>
    <n v="91"/>
    <x v="3"/>
    <x v="0"/>
    <s v="USA"/>
    <n v="20"/>
    <s v="High"/>
    <s v="Excellent"/>
  </r>
  <r>
    <x v="4"/>
    <x v="22"/>
    <x v="1724"/>
    <x v="0"/>
    <s v="North Edward"/>
    <x v="2"/>
    <n v="49.7"/>
    <n v="97"/>
    <x v="1"/>
    <x v="0"/>
    <s v="India, Japan, China"/>
    <n v="243"/>
    <s v="High"/>
    <s v="Excellent"/>
  </r>
  <r>
    <x v="7"/>
    <x v="9"/>
    <x v="1725"/>
    <x v="1"/>
    <s v="Kevinview"/>
    <x v="3"/>
    <n v="16.72"/>
    <n v="94"/>
    <x v="0"/>
    <x v="0"/>
    <s v="UK, France"/>
    <n v="21"/>
    <s v="Medium"/>
    <s v="Excellent"/>
  </r>
  <r>
    <x v="8"/>
    <x v="24"/>
    <x v="1726"/>
    <x v="1"/>
    <s v="Combsside"/>
    <x v="1"/>
    <n v="34.369999999999997"/>
    <n v="72"/>
    <x v="0"/>
    <x v="2"/>
    <s v="China, Russia"/>
    <n v="83"/>
    <s v="Medium"/>
    <s v="Average"/>
  </r>
  <r>
    <x v="2"/>
    <x v="9"/>
    <x v="1727"/>
    <x v="1"/>
    <s v="North Barbaraberg"/>
    <x v="2"/>
    <n v="45.77"/>
    <n v="95"/>
    <x v="1"/>
    <x v="1"/>
    <s v="UAE"/>
    <n v="95"/>
    <s v="High"/>
    <s v="Excellent"/>
  </r>
  <r>
    <x v="1"/>
    <x v="2"/>
    <x v="1728"/>
    <x v="0"/>
    <s v="Port Emily"/>
    <x v="1"/>
    <n v="45.36"/>
    <n v="72"/>
    <x v="2"/>
    <x v="0"/>
    <s v="UK"/>
    <n v="139"/>
    <s v="High"/>
    <s v="Average"/>
  </r>
  <r>
    <x v="5"/>
    <x v="6"/>
    <x v="1729"/>
    <x v="0"/>
    <s v="South Laurastad"/>
    <x v="4"/>
    <n v="33.380000000000003"/>
    <n v="90"/>
    <x v="1"/>
    <x v="0"/>
    <s v="UK, Russia"/>
    <n v="104"/>
    <s v="Medium"/>
    <s v="Excellent"/>
  </r>
  <r>
    <x v="9"/>
    <x v="1"/>
    <x v="1730"/>
    <x v="1"/>
    <s v="Christinaville"/>
    <x v="3"/>
    <n v="47.66"/>
    <n v="93"/>
    <x v="0"/>
    <x v="0"/>
    <s v="Russia, UK"/>
    <n v="44"/>
    <s v="High"/>
    <s v="Excellent"/>
  </r>
  <r>
    <x v="4"/>
    <x v="0"/>
    <x v="1731"/>
    <x v="0"/>
    <s v="Anthonytown"/>
    <x v="1"/>
    <n v="27.54"/>
    <n v="68"/>
    <x v="4"/>
    <x v="2"/>
    <s v="China, Germany, Russia"/>
    <n v="101"/>
    <s v="Medium"/>
    <s v="Average"/>
  </r>
  <r>
    <x v="9"/>
    <x v="4"/>
    <x v="1732"/>
    <x v="1"/>
    <s v="Stephanieshire"/>
    <x v="3"/>
    <n v="12.3"/>
    <n v="95"/>
    <x v="1"/>
    <x v="1"/>
    <s v="Germany"/>
    <n v="240"/>
    <s v="Low"/>
    <s v="Excellent"/>
  </r>
  <r>
    <x v="6"/>
    <x v="12"/>
    <x v="1733"/>
    <x v="0"/>
    <s v="Millerbury"/>
    <x v="4"/>
    <n v="15.29"/>
    <n v="78"/>
    <x v="4"/>
    <x v="0"/>
    <s v="India"/>
    <n v="65"/>
    <s v="Medium"/>
    <s v="Good"/>
  </r>
  <r>
    <x v="4"/>
    <x v="6"/>
    <x v="1734"/>
    <x v="0"/>
    <s v="Nguyenside"/>
    <x v="3"/>
    <n v="47.72"/>
    <n v="69"/>
    <x v="1"/>
    <x v="0"/>
    <s v="UAE"/>
    <n v="251"/>
    <s v="High"/>
    <s v="Average"/>
  </r>
  <r>
    <x v="7"/>
    <x v="8"/>
    <x v="1735"/>
    <x v="0"/>
    <s v="Martinview"/>
    <x v="1"/>
    <n v="14.71"/>
    <n v="67"/>
    <x v="0"/>
    <x v="2"/>
    <s v="UK, France"/>
    <n v="266"/>
    <s v="Low"/>
    <s v="Average"/>
  </r>
  <r>
    <x v="1"/>
    <x v="16"/>
    <x v="1736"/>
    <x v="0"/>
    <s v="Watkinsside"/>
    <x v="0"/>
    <n v="46.56"/>
    <n v="98"/>
    <x v="3"/>
    <x v="0"/>
    <s v="China, Japan, UK"/>
    <n v="144"/>
    <s v="High"/>
    <s v="Excellent"/>
  </r>
  <r>
    <x v="4"/>
    <x v="19"/>
    <x v="1737"/>
    <x v="0"/>
    <s v="New Sarah"/>
    <x v="3"/>
    <n v="21.26"/>
    <n v="97"/>
    <x v="0"/>
    <x v="0"/>
    <s v="Japan, UAE"/>
    <n v="27"/>
    <s v="Medium"/>
    <s v="Excellent"/>
  </r>
  <r>
    <x v="3"/>
    <x v="7"/>
    <x v="1738"/>
    <x v="1"/>
    <s v="Hallhaven"/>
    <x v="1"/>
    <n v="13.97"/>
    <n v="55"/>
    <x v="2"/>
    <x v="2"/>
    <s v="UAE"/>
    <n v="283"/>
    <s v="Low"/>
    <s v="Average"/>
  </r>
  <r>
    <x v="3"/>
    <x v="20"/>
    <x v="1739"/>
    <x v="1"/>
    <s v="East Tammy"/>
    <x v="4"/>
    <n v="15.68"/>
    <n v="92"/>
    <x v="3"/>
    <x v="0"/>
    <s v="UK, Israel"/>
    <n v="325"/>
    <s v="Medium"/>
    <s v="Excellent"/>
  </r>
  <r>
    <x v="9"/>
    <x v="18"/>
    <x v="1740"/>
    <x v="1"/>
    <s v="Jacquelineland"/>
    <x v="1"/>
    <n v="40.58"/>
    <n v="63"/>
    <x v="1"/>
    <x v="1"/>
    <s v="UAE, Russia"/>
    <n v="182"/>
    <s v="High"/>
    <s v="Average"/>
  </r>
  <r>
    <x v="8"/>
    <x v="23"/>
    <x v="1741"/>
    <x v="1"/>
    <s v="Angelaport"/>
    <x v="3"/>
    <n v="18"/>
    <n v="57"/>
    <x v="4"/>
    <x v="1"/>
    <s v="UK, India"/>
    <n v="202"/>
    <s v="Medium"/>
    <s v="Average"/>
  </r>
  <r>
    <x v="3"/>
    <x v="4"/>
    <x v="1742"/>
    <x v="0"/>
    <s v="East Lauren"/>
    <x v="2"/>
    <n v="35.72"/>
    <n v="92"/>
    <x v="3"/>
    <x v="0"/>
    <s v="Germany, Israel"/>
    <n v="338"/>
    <s v="High"/>
    <s v="Excellent"/>
  </r>
  <r>
    <x v="6"/>
    <x v="7"/>
    <x v="1743"/>
    <x v="1"/>
    <s v="North Ambermouth"/>
    <x v="0"/>
    <n v="16.510000000000002"/>
    <n v="53"/>
    <x v="3"/>
    <x v="0"/>
    <s v="Germany, Japan"/>
    <n v="305"/>
    <s v="Medium"/>
    <s v="Average"/>
  </r>
  <r>
    <x v="3"/>
    <x v="11"/>
    <x v="1744"/>
    <x v="0"/>
    <s v="Warrenberg"/>
    <x v="3"/>
    <n v="35.700000000000003"/>
    <n v="100"/>
    <x v="3"/>
    <x v="1"/>
    <s v="UAE, China"/>
    <n v="264"/>
    <s v="High"/>
    <s v="Excellent"/>
  </r>
  <r>
    <x v="8"/>
    <x v="22"/>
    <x v="1745"/>
    <x v="1"/>
    <s v="Johnsonview"/>
    <x v="2"/>
    <n v="28.15"/>
    <n v="71"/>
    <x v="3"/>
    <x v="1"/>
    <s v="Japan"/>
    <n v="200"/>
    <s v="Medium"/>
    <s v="Average"/>
  </r>
  <r>
    <x v="8"/>
    <x v="0"/>
    <x v="1746"/>
    <x v="1"/>
    <s v="Collierhaven"/>
    <x v="3"/>
    <n v="40.61"/>
    <n v="62"/>
    <x v="3"/>
    <x v="2"/>
    <s v="India, UAE, Germany"/>
    <n v="96"/>
    <s v="High"/>
    <s v="Average"/>
  </r>
  <r>
    <x v="9"/>
    <x v="7"/>
    <x v="1747"/>
    <x v="1"/>
    <s v="West Brenda"/>
    <x v="4"/>
    <n v="17.13"/>
    <n v="53"/>
    <x v="1"/>
    <x v="0"/>
    <s v="Israel, Japan, UAE"/>
    <n v="35"/>
    <s v="Medium"/>
    <s v="Average"/>
  </r>
  <r>
    <x v="8"/>
    <x v="1"/>
    <x v="1748"/>
    <x v="1"/>
    <s v="Heidifurt"/>
    <x v="1"/>
    <n v="3.71"/>
    <n v="95"/>
    <x v="2"/>
    <x v="0"/>
    <s v="Japan, China"/>
    <n v="259"/>
    <s v="Low"/>
    <s v="Excellent"/>
  </r>
  <r>
    <x v="1"/>
    <x v="1"/>
    <x v="1749"/>
    <x v="0"/>
    <s v="New Chadton"/>
    <x v="3"/>
    <n v="39.21"/>
    <n v="77"/>
    <x v="2"/>
    <x v="1"/>
    <s v="Japan, USA"/>
    <n v="105"/>
    <s v="High"/>
    <s v="Good"/>
  </r>
  <r>
    <x v="4"/>
    <x v="24"/>
    <x v="1750"/>
    <x v="1"/>
    <s v="Beckyview"/>
    <x v="1"/>
    <n v="34.72"/>
    <n v="57"/>
    <x v="2"/>
    <x v="1"/>
    <s v="France, India"/>
    <n v="359"/>
    <s v="Medium"/>
    <s v="Average"/>
  </r>
  <r>
    <x v="7"/>
    <x v="2"/>
    <x v="1751"/>
    <x v="1"/>
    <s v="Chanview"/>
    <x v="4"/>
    <n v="10.050000000000001"/>
    <n v="57"/>
    <x v="0"/>
    <x v="2"/>
    <s v="Russia, Germany, Japan"/>
    <n v="75"/>
    <s v="Low"/>
    <s v="Average"/>
  </r>
  <r>
    <x v="7"/>
    <x v="4"/>
    <x v="1752"/>
    <x v="1"/>
    <s v="East Amytown"/>
    <x v="2"/>
    <n v="35.520000000000003"/>
    <n v="86"/>
    <x v="1"/>
    <x v="1"/>
    <s v="France, China, Israel"/>
    <n v="274"/>
    <s v="High"/>
    <s v="Good"/>
  </r>
  <r>
    <x v="2"/>
    <x v="1"/>
    <x v="1753"/>
    <x v="1"/>
    <s v="East Catherine"/>
    <x v="3"/>
    <n v="22.86"/>
    <n v="89"/>
    <x v="2"/>
    <x v="2"/>
    <s v="India, Japan"/>
    <n v="205"/>
    <s v="Medium"/>
    <s v="Good"/>
  </r>
  <r>
    <x v="6"/>
    <x v="4"/>
    <x v="1754"/>
    <x v="1"/>
    <s v="Lake Paulview"/>
    <x v="2"/>
    <n v="36.54"/>
    <n v="82"/>
    <x v="2"/>
    <x v="0"/>
    <s v="China, Israel"/>
    <n v="192"/>
    <s v="High"/>
    <s v="Good"/>
  </r>
  <r>
    <x v="5"/>
    <x v="11"/>
    <x v="1755"/>
    <x v="0"/>
    <s v="Johnsonchester"/>
    <x v="3"/>
    <n v="33.53"/>
    <n v="89"/>
    <x v="4"/>
    <x v="0"/>
    <s v="France, UK"/>
    <n v="279"/>
    <s v="Medium"/>
    <s v="Good"/>
  </r>
  <r>
    <x v="5"/>
    <x v="23"/>
    <x v="1756"/>
    <x v="0"/>
    <s v="Jesseport"/>
    <x v="1"/>
    <n v="32.4"/>
    <n v="91"/>
    <x v="2"/>
    <x v="2"/>
    <s v="Japan"/>
    <n v="166"/>
    <s v="Medium"/>
    <s v="Excellent"/>
  </r>
  <r>
    <x v="8"/>
    <x v="15"/>
    <x v="1757"/>
    <x v="0"/>
    <s v="Amyville"/>
    <x v="2"/>
    <n v="13.33"/>
    <n v="55"/>
    <x v="4"/>
    <x v="0"/>
    <s v="Germany"/>
    <n v="340"/>
    <s v="Low"/>
    <s v="Average"/>
  </r>
  <r>
    <x v="3"/>
    <x v="2"/>
    <x v="1758"/>
    <x v="1"/>
    <s v="East Lauren"/>
    <x v="1"/>
    <n v="20.04"/>
    <n v="86"/>
    <x v="4"/>
    <x v="1"/>
    <s v="UK, China"/>
    <n v="330"/>
    <s v="Medium"/>
    <s v="Good"/>
  </r>
  <r>
    <x v="4"/>
    <x v="2"/>
    <x v="1759"/>
    <x v="1"/>
    <s v="Emilyburgh"/>
    <x v="1"/>
    <n v="49.27"/>
    <n v="55"/>
    <x v="0"/>
    <x v="1"/>
    <s v="Germany"/>
    <n v="307"/>
    <s v="High"/>
    <s v="Average"/>
  </r>
  <r>
    <x v="7"/>
    <x v="19"/>
    <x v="1760"/>
    <x v="0"/>
    <s v="Watsonbury"/>
    <x v="0"/>
    <n v="39.229999999999997"/>
    <n v="94"/>
    <x v="2"/>
    <x v="0"/>
    <s v="UK, India"/>
    <n v="249"/>
    <s v="High"/>
    <s v="Excellent"/>
  </r>
  <r>
    <x v="6"/>
    <x v="3"/>
    <x v="1761"/>
    <x v="0"/>
    <s v="Buckbury"/>
    <x v="4"/>
    <n v="12.77"/>
    <n v="82"/>
    <x v="1"/>
    <x v="0"/>
    <s v="UAE, China"/>
    <n v="191"/>
    <s v="Low"/>
    <s v="Good"/>
  </r>
  <r>
    <x v="2"/>
    <x v="4"/>
    <x v="1762"/>
    <x v="1"/>
    <s v="Port Timothy"/>
    <x v="3"/>
    <n v="10.63"/>
    <n v="97"/>
    <x v="1"/>
    <x v="0"/>
    <s v="UK, Germany, Japan"/>
    <n v="363"/>
    <s v="Low"/>
    <s v="Excellent"/>
  </r>
  <r>
    <x v="7"/>
    <x v="5"/>
    <x v="1763"/>
    <x v="0"/>
    <s v="West Sarahport"/>
    <x v="1"/>
    <n v="25.59"/>
    <n v="90"/>
    <x v="0"/>
    <x v="0"/>
    <s v="Russia, UAE"/>
    <n v="145"/>
    <s v="Medium"/>
    <s v="Excellent"/>
  </r>
  <r>
    <x v="7"/>
    <x v="18"/>
    <x v="1764"/>
    <x v="1"/>
    <s v="Hannaview"/>
    <x v="0"/>
    <n v="40.479999999999997"/>
    <n v="84"/>
    <x v="0"/>
    <x v="1"/>
    <s v="Russia"/>
    <n v="155"/>
    <s v="High"/>
    <s v="Good"/>
  </r>
  <r>
    <x v="0"/>
    <x v="13"/>
    <x v="1765"/>
    <x v="0"/>
    <s v="Russellmouth"/>
    <x v="1"/>
    <n v="46.41"/>
    <n v="58"/>
    <x v="4"/>
    <x v="1"/>
    <s v="UAE, Germany, Russia"/>
    <n v="106"/>
    <s v="High"/>
    <s v="Average"/>
  </r>
  <r>
    <x v="0"/>
    <x v="0"/>
    <x v="1766"/>
    <x v="1"/>
    <s v="Port Jessica"/>
    <x v="1"/>
    <n v="12.72"/>
    <n v="94"/>
    <x v="3"/>
    <x v="0"/>
    <s v="Japan, Germany"/>
    <n v="279"/>
    <s v="Low"/>
    <s v="Excellent"/>
  </r>
  <r>
    <x v="3"/>
    <x v="6"/>
    <x v="1767"/>
    <x v="1"/>
    <s v="East Kathleenshire"/>
    <x v="2"/>
    <n v="33.299999999999997"/>
    <n v="88"/>
    <x v="4"/>
    <x v="0"/>
    <s v="Japan, India, China"/>
    <n v="199"/>
    <s v="Medium"/>
    <s v="Good"/>
  </r>
  <r>
    <x v="1"/>
    <x v="0"/>
    <x v="1768"/>
    <x v="0"/>
    <s v="South Amy"/>
    <x v="1"/>
    <n v="15.67"/>
    <n v="56"/>
    <x v="1"/>
    <x v="0"/>
    <s v="UAE, Japan, India"/>
    <n v="265"/>
    <s v="Medium"/>
    <s v="Average"/>
  </r>
  <r>
    <x v="5"/>
    <x v="24"/>
    <x v="1769"/>
    <x v="0"/>
    <s v="East Jasonborough"/>
    <x v="4"/>
    <n v="16.12"/>
    <n v="54"/>
    <x v="4"/>
    <x v="2"/>
    <s v="Germany, Russia, Israel"/>
    <n v="144"/>
    <s v="Medium"/>
    <s v="Average"/>
  </r>
  <r>
    <x v="5"/>
    <x v="21"/>
    <x v="1770"/>
    <x v="0"/>
    <s v="Larachester"/>
    <x v="3"/>
    <n v="46.39"/>
    <n v="74"/>
    <x v="1"/>
    <x v="2"/>
    <s v="Germany, India"/>
    <n v="28"/>
    <s v="High"/>
    <s v="Average"/>
  </r>
  <r>
    <x v="5"/>
    <x v="10"/>
    <x v="1771"/>
    <x v="0"/>
    <s v="Valdezland"/>
    <x v="3"/>
    <n v="41.05"/>
    <n v="73"/>
    <x v="2"/>
    <x v="2"/>
    <s v="Germany"/>
    <n v="44"/>
    <s v="High"/>
    <s v="Average"/>
  </r>
  <r>
    <x v="6"/>
    <x v="0"/>
    <x v="1772"/>
    <x v="0"/>
    <s v="Sanfordstad"/>
    <x v="1"/>
    <n v="3.22"/>
    <n v="63"/>
    <x v="0"/>
    <x v="0"/>
    <s v="USA"/>
    <n v="298"/>
    <s v="Low"/>
    <s v="Average"/>
  </r>
  <r>
    <x v="9"/>
    <x v="18"/>
    <x v="1773"/>
    <x v="1"/>
    <s v="Theresaton"/>
    <x v="2"/>
    <n v="46.31"/>
    <n v="89"/>
    <x v="2"/>
    <x v="1"/>
    <s v="Japan, China"/>
    <n v="91"/>
    <s v="High"/>
    <s v="Good"/>
  </r>
  <r>
    <x v="2"/>
    <x v="6"/>
    <x v="1774"/>
    <x v="1"/>
    <s v="Port Ashley"/>
    <x v="1"/>
    <n v="40.15"/>
    <n v="89"/>
    <x v="2"/>
    <x v="0"/>
    <s v="Israel, France"/>
    <n v="26"/>
    <s v="High"/>
    <s v="Good"/>
  </r>
  <r>
    <x v="3"/>
    <x v="22"/>
    <x v="1775"/>
    <x v="0"/>
    <s v="West Janeland"/>
    <x v="0"/>
    <n v="16.05"/>
    <n v="51"/>
    <x v="0"/>
    <x v="2"/>
    <s v="China"/>
    <n v="259"/>
    <s v="Medium"/>
    <s v="Average"/>
  </r>
  <r>
    <x v="7"/>
    <x v="18"/>
    <x v="1776"/>
    <x v="1"/>
    <s v="Danaville"/>
    <x v="0"/>
    <n v="7.4"/>
    <n v="55"/>
    <x v="3"/>
    <x v="0"/>
    <s v="India, Russia"/>
    <n v="363"/>
    <s v="Low"/>
    <s v="Average"/>
  </r>
  <r>
    <x v="9"/>
    <x v="16"/>
    <x v="1777"/>
    <x v="1"/>
    <s v="Danielview"/>
    <x v="1"/>
    <n v="38.36"/>
    <n v="69"/>
    <x v="0"/>
    <x v="0"/>
    <s v="USA, China"/>
    <n v="79"/>
    <s v="High"/>
    <s v="Average"/>
  </r>
  <r>
    <x v="6"/>
    <x v="19"/>
    <x v="1778"/>
    <x v="0"/>
    <s v="West Amyburgh"/>
    <x v="1"/>
    <n v="42.73"/>
    <n v="97"/>
    <x v="1"/>
    <x v="2"/>
    <s v="USA"/>
    <n v="291"/>
    <s v="High"/>
    <s v="Excellent"/>
  </r>
  <r>
    <x v="0"/>
    <x v="4"/>
    <x v="1779"/>
    <x v="0"/>
    <s v="Port Scottside"/>
    <x v="3"/>
    <n v="5.87"/>
    <n v="72"/>
    <x v="4"/>
    <x v="2"/>
    <s v="Germany, Japan"/>
    <n v="268"/>
    <s v="Low"/>
    <s v="Average"/>
  </r>
  <r>
    <x v="0"/>
    <x v="7"/>
    <x v="1780"/>
    <x v="0"/>
    <s v="South Lorrainestad"/>
    <x v="2"/>
    <n v="12.12"/>
    <n v="58"/>
    <x v="2"/>
    <x v="0"/>
    <s v="UAE"/>
    <n v="112"/>
    <s v="Low"/>
    <s v="Average"/>
  </r>
  <r>
    <x v="1"/>
    <x v="4"/>
    <x v="1781"/>
    <x v="0"/>
    <s v="Davishaven"/>
    <x v="2"/>
    <n v="9.2100000000000009"/>
    <n v="59"/>
    <x v="2"/>
    <x v="1"/>
    <s v="India, Germany, USA"/>
    <n v="214"/>
    <s v="Low"/>
    <s v="Average"/>
  </r>
  <r>
    <x v="7"/>
    <x v="23"/>
    <x v="1782"/>
    <x v="1"/>
    <s v="East Amystad"/>
    <x v="4"/>
    <n v="30.48"/>
    <n v="57"/>
    <x v="4"/>
    <x v="2"/>
    <s v="Germany, USA"/>
    <n v="336"/>
    <s v="Medium"/>
    <s v="Average"/>
  </r>
  <r>
    <x v="4"/>
    <x v="2"/>
    <x v="1783"/>
    <x v="1"/>
    <s v="South Alexander"/>
    <x v="2"/>
    <n v="20.02"/>
    <n v="83"/>
    <x v="2"/>
    <x v="1"/>
    <s v="Germany"/>
    <n v="300"/>
    <s v="Medium"/>
    <s v="Good"/>
  </r>
  <r>
    <x v="4"/>
    <x v="5"/>
    <x v="1784"/>
    <x v="1"/>
    <s v="North Josephside"/>
    <x v="3"/>
    <n v="49.37"/>
    <n v="58"/>
    <x v="1"/>
    <x v="2"/>
    <s v="Israel"/>
    <n v="336"/>
    <s v="High"/>
    <s v="Average"/>
  </r>
  <r>
    <x v="5"/>
    <x v="0"/>
    <x v="1785"/>
    <x v="1"/>
    <s v="Ericfort"/>
    <x v="1"/>
    <n v="21.82"/>
    <n v="51"/>
    <x v="2"/>
    <x v="1"/>
    <s v="Russia, USA, Israel"/>
    <n v="337"/>
    <s v="Medium"/>
    <s v="Average"/>
  </r>
  <r>
    <x v="0"/>
    <x v="13"/>
    <x v="1786"/>
    <x v="0"/>
    <s v="South Gabrieltown"/>
    <x v="3"/>
    <n v="25.42"/>
    <n v="56"/>
    <x v="1"/>
    <x v="1"/>
    <s v="UK"/>
    <n v="200"/>
    <s v="Medium"/>
    <s v="Average"/>
  </r>
  <r>
    <x v="6"/>
    <x v="2"/>
    <x v="1787"/>
    <x v="1"/>
    <s v="East Tammy"/>
    <x v="4"/>
    <n v="42.09"/>
    <n v="82"/>
    <x v="2"/>
    <x v="2"/>
    <s v="UAE, Israel"/>
    <n v="336"/>
    <s v="High"/>
    <s v="Good"/>
  </r>
  <r>
    <x v="8"/>
    <x v="1"/>
    <x v="1788"/>
    <x v="1"/>
    <s v="East Michaelfort"/>
    <x v="0"/>
    <n v="46.27"/>
    <n v="51"/>
    <x v="1"/>
    <x v="0"/>
    <s v="USA, Japan, UAE"/>
    <n v="160"/>
    <s v="High"/>
    <s v="Average"/>
  </r>
  <r>
    <x v="1"/>
    <x v="24"/>
    <x v="1789"/>
    <x v="0"/>
    <s v="New Sherriberg"/>
    <x v="2"/>
    <n v="12.21"/>
    <n v="77"/>
    <x v="1"/>
    <x v="2"/>
    <s v="Russia"/>
    <n v="123"/>
    <s v="Low"/>
    <s v="Good"/>
  </r>
  <r>
    <x v="3"/>
    <x v="1"/>
    <x v="1790"/>
    <x v="0"/>
    <s v="East Sabrina"/>
    <x v="0"/>
    <n v="24.85"/>
    <n v="63"/>
    <x v="1"/>
    <x v="0"/>
    <s v="China"/>
    <n v="204"/>
    <s v="Medium"/>
    <s v="Average"/>
  </r>
  <r>
    <x v="5"/>
    <x v="3"/>
    <x v="1791"/>
    <x v="0"/>
    <s v="Ashleymouth"/>
    <x v="1"/>
    <n v="23.2"/>
    <n v="90"/>
    <x v="0"/>
    <x v="2"/>
    <s v="China"/>
    <n v="297"/>
    <s v="Medium"/>
    <s v="Excellent"/>
  </r>
  <r>
    <x v="7"/>
    <x v="14"/>
    <x v="1792"/>
    <x v="0"/>
    <s v="Torresstad"/>
    <x v="4"/>
    <n v="30.45"/>
    <n v="84"/>
    <x v="1"/>
    <x v="1"/>
    <s v="Japan, UAE"/>
    <n v="34"/>
    <s v="Medium"/>
    <s v="Good"/>
  </r>
  <r>
    <x v="2"/>
    <x v="0"/>
    <x v="1793"/>
    <x v="0"/>
    <s v="East Christopherview"/>
    <x v="2"/>
    <n v="28.41"/>
    <n v="65"/>
    <x v="3"/>
    <x v="1"/>
    <s v="France"/>
    <n v="28"/>
    <s v="Medium"/>
    <s v="Average"/>
  </r>
  <r>
    <x v="6"/>
    <x v="25"/>
    <x v="1794"/>
    <x v="0"/>
    <s v="Parkhaven"/>
    <x v="1"/>
    <n v="16.48"/>
    <n v="97"/>
    <x v="4"/>
    <x v="2"/>
    <s v="Japan"/>
    <n v="181"/>
    <s v="Medium"/>
    <s v="Excellent"/>
  </r>
  <r>
    <x v="7"/>
    <x v="8"/>
    <x v="1795"/>
    <x v="0"/>
    <s v="Williammouth"/>
    <x v="3"/>
    <n v="38.590000000000003"/>
    <n v="54"/>
    <x v="0"/>
    <x v="0"/>
    <s v="USA, UAE"/>
    <n v="64"/>
    <s v="High"/>
    <s v="Average"/>
  </r>
  <r>
    <x v="8"/>
    <x v="7"/>
    <x v="1796"/>
    <x v="1"/>
    <s v="Port Amberbury"/>
    <x v="2"/>
    <n v="48.62"/>
    <n v="64"/>
    <x v="0"/>
    <x v="0"/>
    <s v="Germany, Russia"/>
    <n v="217"/>
    <s v="High"/>
    <s v="Average"/>
  </r>
  <r>
    <x v="5"/>
    <x v="9"/>
    <x v="1797"/>
    <x v="1"/>
    <s v="North Jacob"/>
    <x v="3"/>
    <n v="11.16"/>
    <n v="55"/>
    <x v="0"/>
    <x v="2"/>
    <s v="Japan"/>
    <n v="9"/>
    <s v="Low"/>
    <s v="Average"/>
  </r>
  <r>
    <x v="9"/>
    <x v="12"/>
    <x v="1798"/>
    <x v="1"/>
    <s v="Mariahaven"/>
    <x v="0"/>
    <n v="28.63"/>
    <n v="71"/>
    <x v="2"/>
    <x v="1"/>
    <s v="Israel, China"/>
    <n v="336"/>
    <s v="Medium"/>
    <s v="Average"/>
  </r>
  <r>
    <x v="4"/>
    <x v="2"/>
    <x v="1799"/>
    <x v="0"/>
    <s v="North James"/>
    <x v="1"/>
    <n v="29.29"/>
    <n v="88"/>
    <x v="2"/>
    <x v="1"/>
    <s v="Japan, UAE, UK"/>
    <n v="191"/>
    <s v="Medium"/>
    <s v="Good"/>
  </r>
  <r>
    <x v="7"/>
    <x v="2"/>
    <x v="1800"/>
    <x v="0"/>
    <s v="North Jennifer"/>
    <x v="2"/>
    <n v="2.21"/>
    <n v="60"/>
    <x v="3"/>
    <x v="0"/>
    <s v="Israel"/>
    <n v="278"/>
    <s v="Low"/>
    <s v="Average"/>
  </r>
  <r>
    <x v="4"/>
    <x v="2"/>
    <x v="1801"/>
    <x v="0"/>
    <s v="Edwardburgh"/>
    <x v="3"/>
    <n v="24.69"/>
    <n v="80"/>
    <x v="4"/>
    <x v="2"/>
    <s v="Japan"/>
    <n v="64"/>
    <s v="Medium"/>
    <s v="Good"/>
  </r>
  <r>
    <x v="9"/>
    <x v="0"/>
    <x v="1802"/>
    <x v="0"/>
    <s v="Sandrastad"/>
    <x v="0"/>
    <n v="27.86"/>
    <n v="95"/>
    <x v="2"/>
    <x v="2"/>
    <s v="UAE, Israel, France"/>
    <n v="255"/>
    <s v="Medium"/>
    <s v="Excellent"/>
  </r>
  <r>
    <x v="0"/>
    <x v="8"/>
    <x v="1803"/>
    <x v="0"/>
    <s v="Donnafurt"/>
    <x v="0"/>
    <n v="31.96"/>
    <n v="74"/>
    <x v="1"/>
    <x v="2"/>
    <s v="Japan, France"/>
    <n v="92"/>
    <s v="Medium"/>
    <s v="Average"/>
  </r>
  <r>
    <x v="9"/>
    <x v="11"/>
    <x v="1804"/>
    <x v="0"/>
    <s v="Lake Christopher"/>
    <x v="4"/>
    <n v="6.98"/>
    <n v="69"/>
    <x v="1"/>
    <x v="2"/>
    <s v="China, India, Japan"/>
    <n v="83"/>
    <s v="Low"/>
    <s v="Average"/>
  </r>
  <r>
    <x v="7"/>
    <x v="24"/>
    <x v="1805"/>
    <x v="1"/>
    <s v="Brooksberg"/>
    <x v="3"/>
    <n v="47.71"/>
    <n v="79"/>
    <x v="1"/>
    <x v="1"/>
    <s v="India, UAE, Japan"/>
    <n v="141"/>
    <s v="High"/>
    <s v="Good"/>
  </r>
  <r>
    <x v="8"/>
    <x v="24"/>
    <x v="1806"/>
    <x v="1"/>
    <s v="East Lee"/>
    <x v="1"/>
    <n v="48.28"/>
    <n v="85"/>
    <x v="1"/>
    <x v="0"/>
    <s v="UAE, France, USA"/>
    <n v="165"/>
    <s v="High"/>
    <s v="Good"/>
  </r>
  <r>
    <x v="5"/>
    <x v="6"/>
    <x v="1807"/>
    <x v="0"/>
    <s v="North Robertaland"/>
    <x v="2"/>
    <n v="27.47"/>
    <n v="85"/>
    <x v="2"/>
    <x v="0"/>
    <s v="UAE, Japan"/>
    <n v="80"/>
    <s v="Medium"/>
    <s v="Good"/>
  </r>
  <r>
    <x v="5"/>
    <x v="6"/>
    <x v="1808"/>
    <x v="1"/>
    <s v="Roblesfurt"/>
    <x v="4"/>
    <n v="13"/>
    <n v="77"/>
    <x v="1"/>
    <x v="0"/>
    <s v="USA, Russia"/>
    <n v="152"/>
    <s v="Low"/>
    <s v="Good"/>
  </r>
  <r>
    <x v="5"/>
    <x v="4"/>
    <x v="1809"/>
    <x v="1"/>
    <s v="Port Meganshire"/>
    <x v="2"/>
    <n v="14.54"/>
    <n v="60"/>
    <x v="2"/>
    <x v="0"/>
    <s v="UAE"/>
    <n v="92"/>
    <s v="Low"/>
    <s v="Average"/>
  </r>
  <r>
    <x v="4"/>
    <x v="11"/>
    <x v="1810"/>
    <x v="1"/>
    <s v="Lake Debbie"/>
    <x v="3"/>
    <n v="43.37"/>
    <n v="56"/>
    <x v="4"/>
    <x v="1"/>
    <s v="UK"/>
    <n v="255"/>
    <s v="High"/>
    <s v="Average"/>
  </r>
  <r>
    <x v="8"/>
    <x v="5"/>
    <x v="1811"/>
    <x v="1"/>
    <s v="Frankborough"/>
    <x v="1"/>
    <n v="19.399999999999999"/>
    <n v="82"/>
    <x v="2"/>
    <x v="2"/>
    <s v="Germany, Japan"/>
    <n v="294"/>
    <s v="Medium"/>
    <s v="Good"/>
  </r>
  <r>
    <x v="0"/>
    <x v="19"/>
    <x v="1812"/>
    <x v="0"/>
    <s v="Colemanbury"/>
    <x v="0"/>
    <n v="26.74"/>
    <n v="67"/>
    <x v="0"/>
    <x v="2"/>
    <s v="UK"/>
    <n v="265"/>
    <s v="Medium"/>
    <s v="Average"/>
  </r>
  <r>
    <x v="3"/>
    <x v="13"/>
    <x v="1813"/>
    <x v="0"/>
    <s v="Christineburgh"/>
    <x v="0"/>
    <n v="18.46"/>
    <n v="99"/>
    <x v="3"/>
    <x v="0"/>
    <s v="USA, France, China"/>
    <n v="230"/>
    <s v="Medium"/>
    <s v="Excellent"/>
  </r>
  <r>
    <x v="8"/>
    <x v="3"/>
    <x v="1814"/>
    <x v="0"/>
    <s v="East Williammouth"/>
    <x v="2"/>
    <n v="43.7"/>
    <n v="55"/>
    <x v="2"/>
    <x v="1"/>
    <s v="India, China, USA"/>
    <n v="299"/>
    <s v="High"/>
    <s v="Average"/>
  </r>
  <r>
    <x v="6"/>
    <x v="2"/>
    <x v="1815"/>
    <x v="0"/>
    <s v="Turnerview"/>
    <x v="2"/>
    <n v="27.01"/>
    <n v="65"/>
    <x v="2"/>
    <x v="0"/>
    <s v="China, USA"/>
    <n v="254"/>
    <s v="Medium"/>
    <s v="Average"/>
  </r>
  <r>
    <x v="3"/>
    <x v="18"/>
    <x v="1816"/>
    <x v="0"/>
    <s v="Michaelberg"/>
    <x v="2"/>
    <n v="23.36"/>
    <n v="60"/>
    <x v="3"/>
    <x v="1"/>
    <s v="UK"/>
    <n v="303"/>
    <s v="Medium"/>
    <s v="Average"/>
  </r>
  <r>
    <x v="5"/>
    <x v="8"/>
    <x v="1817"/>
    <x v="0"/>
    <s v="Lindabury"/>
    <x v="0"/>
    <n v="44.35"/>
    <n v="58"/>
    <x v="4"/>
    <x v="2"/>
    <s v="France, USA"/>
    <n v="188"/>
    <s v="High"/>
    <s v="Average"/>
  </r>
  <r>
    <x v="6"/>
    <x v="0"/>
    <x v="1818"/>
    <x v="0"/>
    <s v="Lake Destiny"/>
    <x v="1"/>
    <n v="5.74"/>
    <n v="75"/>
    <x v="0"/>
    <x v="0"/>
    <s v="China, Russia"/>
    <n v="121"/>
    <s v="Low"/>
    <s v="Good"/>
  </r>
  <r>
    <x v="8"/>
    <x v="6"/>
    <x v="1819"/>
    <x v="1"/>
    <s v="Lake Kevin"/>
    <x v="3"/>
    <n v="27.84"/>
    <n v="61"/>
    <x v="1"/>
    <x v="0"/>
    <s v="China, France"/>
    <n v="362"/>
    <s v="Medium"/>
    <s v="Average"/>
  </r>
  <r>
    <x v="0"/>
    <x v="22"/>
    <x v="1820"/>
    <x v="0"/>
    <s v="Amandamouth"/>
    <x v="1"/>
    <n v="38.770000000000003"/>
    <n v="96"/>
    <x v="0"/>
    <x v="1"/>
    <s v="Russia, Israel"/>
    <n v="294"/>
    <s v="High"/>
    <s v="Excellent"/>
  </r>
  <r>
    <x v="3"/>
    <x v="20"/>
    <x v="1821"/>
    <x v="1"/>
    <s v="East Kellyburgh"/>
    <x v="2"/>
    <n v="46.19"/>
    <n v="84"/>
    <x v="3"/>
    <x v="1"/>
    <s v="Japan"/>
    <n v="202"/>
    <s v="High"/>
    <s v="Good"/>
  </r>
  <r>
    <x v="6"/>
    <x v="7"/>
    <x v="1822"/>
    <x v="1"/>
    <s v="Richardsonside"/>
    <x v="4"/>
    <n v="41.47"/>
    <n v="59"/>
    <x v="2"/>
    <x v="1"/>
    <s v="France"/>
    <n v="321"/>
    <s v="High"/>
    <s v="Average"/>
  </r>
  <r>
    <x v="0"/>
    <x v="7"/>
    <x v="1823"/>
    <x v="0"/>
    <s v="North Tammy"/>
    <x v="1"/>
    <n v="40.25"/>
    <n v="51"/>
    <x v="3"/>
    <x v="0"/>
    <s v="Russia, UK"/>
    <n v="146"/>
    <s v="High"/>
    <s v="Average"/>
  </r>
  <r>
    <x v="2"/>
    <x v="10"/>
    <x v="1824"/>
    <x v="1"/>
    <s v="East Latoya"/>
    <x v="1"/>
    <n v="2.74"/>
    <n v="53"/>
    <x v="4"/>
    <x v="0"/>
    <s v="UAE"/>
    <n v="189"/>
    <s v="Low"/>
    <s v="Average"/>
  </r>
  <r>
    <x v="2"/>
    <x v="10"/>
    <x v="1825"/>
    <x v="0"/>
    <s v="Johnathanstad"/>
    <x v="0"/>
    <n v="36.590000000000003"/>
    <n v="63"/>
    <x v="1"/>
    <x v="0"/>
    <s v="Germany, China, UAE"/>
    <n v="248"/>
    <s v="High"/>
    <s v="Average"/>
  </r>
  <r>
    <x v="1"/>
    <x v="5"/>
    <x v="1826"/>
    <x v="0"/>
    <s v="West Scott"/>
    <x v="3"/>
    <n v="20.99"/>
    <n v="72"/>
    <x v="4"/>
    <x v="2"/>
    <s v="Germany, France, UK"/>
    <n v="271"/>
    <s v="Medium"/>
    <s v="Average"/>
  </r>
  <r>
    <x v="8"/>
    <x v="14"/>
    <x v="1827"/>
    <x v="0"/>
    <s v="Oliviaview"/>
    <x v="3"/>
    <n v="25.43"/>
    <n v="87"/>
    <x v="1"/>
    <x v="2"/>
    <s v="China, UAE"/>
    <n v="129"/>
    <s v="Medium"/>
    <s v="Good"/>
  </r>
  <r>
    <x v="8"/>
    <x v="21"/>
    <x v="1828"/>
    <x v="0"/>
    <s v="Lake Travis"/>
    <x v="2"/>
    <n v="8.08"/>
    <n v="52"/>
    <x v="2"/>
    <x v="1"/>
    <s v="Russia, India"/>
    <n v="350"/>
    <s v="Low"/>
    <s v="Average"/>
  </r>
  <r>
    <x v="8"/>
    <x v="1"/>
    <x v="1829"/>
    <x v="0"/>
    <s v="Brittneyport"/>
    <x v="3"/>
    <n v="12.31"/>
    <n v="63"/>
    <x v="0"/>
    <x v="0"/>
    <s v="UAE"/>
    <n v="38"/>
    <s v="Low"/>
    <s v="Average"/>
  </r>
  <r>
    <x v="5"/>
    <x v="10"/>
    <x v="1830"/>
    <x v="1"/>
    <s v="Dorothystad"/>
    <x v="3"/>
    <n v="3.94"/>
    <n v="82"/>
    <x v="4"/>
    <x v="1"/>
    <s v="France, UK, UAE"/>
    <n v="100"/>
    <s v="Low"/>
    <s v="Good"/>
  </r>
  <r>
    <x v="6"/>
    <x v="11"/>
    <x v="1831"/>
    <x v="0"/>
    <s v="Port Jenniferton"/>
    <x v="4"/>
    <n v="33.11"/>
    <n v="73"/>
    <x v="2"/>
    <x v="1"/>
    <s v="Russia, India, USA"/>
    <n v="354"/>
    <s v="Medium"/>
    <s v="Average"/>
  </r>
  <r>
    <x v="5"/>
    <x v="10"/>
    <x v="1832"/>
    <x v="1"/>
    <s v="Morseview"/>
    <x v="0"/>
    <n v="24.48"/>
    <n v="71"/>
    <x v="2"/>
    <x v="1"/>
    <s v="China, France"/>
    <n v="180"/>
    <s v="Medium"/>
    <s v="Average"/>
  </r>
  <r>
    <x v="8"/>
    <x v="10"/>
    <x v="1833"/>
    <x v="0"/>
    <s v="Ruizton"/>
    <x v="2"/>
    <n v="18.29"/>
    <n v="56"/>
    <x v="3"/>
    <x v="2"/>
    <s v="Israel"/>
    <n v="167"/>
    <s v="Medium"/>
    <s v="Average"/>
  </r>
  <r>
    <x v="3"/>
    <x v="20"/>
    <x v="1834"/>
    <x v="1"/>
    <s v="South Kyle"/>
    <x v="1"/>
    <n v="11.78"/>
    <n v="55"/>
    <x v="4"/>
    <x v="2"/>
    <s v="France, Russia, India"/>
    <n v="269"/>
    <s v="Low"/>
    <s v="Average"/>
  </r>
  <r>
    <x v="7"/>
    <x v="22"/>
    <x v="1835"/>
    <x v="1"/>
    <s v="New Alex"/>
    <x v="4"/>
    <n v="22.33"/>
    <n v="85"/>
    <x v="2"/>
    <x v="1"/>
    <s v="UAE, China, Israel"/>
    <n v="284"/>
    <s v="Medium"/>
    <s v="Good"/>
  </r>
  <r>
    <x v="0"/>
    <x v="17"/>
    <x v="1836"/>
    <x v="1"/>
    <s v="Blackwellstad"/>
    <x v="1"/>
    <n v="10.11"/>
    <n v="58"/>
    <x v="1"/>
    <x v="0"/>
    <s v="Germany"/>
    <n v="23"/>
    <s v="Low"/>
    <s v="Average"/>
  </r>
  <r>
    <x v="0"/>
    <x v="12"/>
    <x v="1837"/>
    <x v="0"/>
    <s v="Port Caitlinmouth"/>
    <x v="1"/>
    <n v="35.61"/>
    <n v="73"/>
    <x v="1"/>
    <x v="0"/>
    <s v="India"/>
    <n v="193"/>
    <s v="High"/>
    <s v="Average"/>
  </r>
  <r>
    <x v="3"/>
    <x v="8"/>
    <x v="1838"/>
    <x v="0"/>
    <s v="South Katherineport"/>
    <x v="3"/>
    <n v="35.81"/>
    <n v="96"/>
    <x v="4"/>
    <x v="0"/>
    <s v="USA, India"/>
    <n v="7"/>
    <s v="High"/>
    <s v="Excellent"/>
  </r>
  <r>
    <x v="5"/>
    <x v="16"/>
    <x v="1839"/>
    <x v="0"/>
    <s v="Port Travis"/>
    <x v="2"/>
    <n v="40.67"/>
    <n v="76"/>
    <x v="3"/>
    <x v="2"/>
    <s v="UK, India, Russia"/>
    <n v="91"/>
    <s v="High"/>
    <s v="Good"/>
  </r>
  <r>
    <x v="8"/>
    <x v="3"/>
    <x v="1840"/>
    <x v="0"/>
    <s v="East Steven"/>
    <x v="4"/>
    <n v="19.940000000000001"/>
    <n v="84"/>
    <x v="2"/>
    <x v="0"/>
    <s v="USA, China, Israel"/>
    <n v="175"/>
    <s v="Medium"/>
    <s v="Good"/>
  </r>
  <r>
    <x v="4"/>
    <x v="9"/>
    <x v="1841"/>
    <x v="0"/>
    <s v="Port Tracyberg"/>
    <x v="3"/>
    <n v="37.58"/>
    <n v="73"/>
    <x v="3"/>
    <x v="2"/>
    <s v="Japan, Germany"/>
    <n v="43"/>
    <s v="High"/>
    <s v="Average"/>
  </r>
  <r>
    <x v="6"/>
    <x v="8"/>
    <x v="1842"/>
    <x v="1"/>
    <s v="West Katherine"/>
    <x v="3"/>
    <n v="33.18"/>
    <n v="71"/>
    <x v="1"/>
    <x v="0"/>
    <s v="Germany"/>
    <n v="281"/>
    <s v="Medium"/>
    <s v="Average"/>
  </r>
  <r>
    <x v="2"/>
    <x v="14"/>
    <x v="1843"/>
    <x v="0"/>
    <s v="New Alyssaburgh"/>
    <x v="3"/>
    <n v="45.73"/>
    <n v="67"/>
    <x v="1"/>
    <x v="0"/>
    <s v="UK, Japan"/>
    <n v="39"/>
    <s v="High"/>
    <s v="Average"/>
  </r>
  <r>
    <x v="0"/>
    <x v="23"/>
    <x v="1844"/>
    <x v="1"/>
    <s v="Chaseberg"/>
    <x v="2"/>
    <n v="16.2"/>
    <n v="59"/>
    <x v="1"/>
    <x v="0"/>
    <s v="USA"/>
    <n v="239"/>
    <s v="Medium"/>
    <s v="Average"/>
  </r>
  <r>
    <x v="0"/>
    <x v="22"/>
    <x v="1845"/>
    <x v="0"/>
    <s v="Cowanfort"/>
    <x v="3"/>
    <n v="49.91"/>
    <n v="65"/>
    <x v="3"/>
    <x v="2"/>
    <s v="UK, Israel, China"/>
    <n v="192"/>
    <s v="High"/>
    <s v="Average"/>
  </r>
  <r>
    <x v="8"/>
    <x v="19"/>
    <x v="1846"/>
    <x v="0"/>
    <s v="New Shawnchester"/>
    <x v="1"/>
    <n v="4.13"/>
    <n v="71"/>
    <x v="1"/>
    <x v="0"/>
    <s v="China, Japan, UAE"/>
    <n v="31"/>
    <s v="Low"/>
    <s v="Average"/>
  </r>
  <r>
    <x v="5"/>
    <x v="1"/>
    <x v="1847"/>
    <x v="1"/>
    <s v="West Brian"/>
    <x v="3"/>
    <n v="13.28"/>
    <n v="87"/>
    <x v="4"/>
    <x v="0"/>
    <s v="India"/>
    <n v="41"/>
    <s v="Low"/>
    <s v="Good"/>
  </r>
  <r>
    <x v="5"/>
    <x v="10"/>
    <x v="1848"/>
    <x v="1"/>
    <s v="East William"/>
    <x v="2"/>
    <n v="34.99"/>
    <n v="82"/>
    <x v="3"/>
    <x v="0"/>
    <s v="France, China, UK"/>
    <n v="216"/>
    <s v="Medium"/>
    <s v="Good"/>
  </r>
  <r>
    <x v="7"/>
    <x v="11"/>
    <x v="1849"/>
    <x v="0"/>
    <s v="Lake Shelby"/>
    <x v="1"/>
    <n v="23.33"/>
    <n v="66"/>
    <x v="3"/>
    <x v="2"/>
    <s v="USA"/>
    <n v="296"/>
    <s v="Medium"/>
    <s v="Average"/>
  </r>
  <r>
    <x v="7"/>
    <x v="2"/>
    <x v="1850"/>
    <x v="0"/>
    <s v="South Christopher"/>
    <x v="2"/>
    <n v="49.14"/>
    <n v="86"/>
    <x v="1"/>
    <x v="0"/>
    <s v="Japan, Israel"/>
    <n v="228"/>
    <s v="High"/>
    <s v="Good"/>
  </r>
  <r>
    <x v="4"/>
    <x v="10"/>
    <x v="1851"/>
    <x v="1"/>
    <s v="New Eric"/>
    <x v="2"/>
    <n v="22.26"/>
    <n v="51"/>
    <x v="1"/>
    <x v="2"/>
    <s v="UK, China"/>
    <n v="337"/>
    <s v="Medium"/>
    <s v="Average"/>
  </r>
  <r>
    <x v="8"/>
    <x v="24"/>
    <x v="1852"/>
    <x v="0"/>
    <s v="New Cynthiashire"/>
    <x v="0"/>
    <n v="47.54"/>
    <n v="93"/>
    <x v="2"/>
    <x v="0"/>
    <s v="China"/>
    <n v="3"/>
    <s v="High"/>
    <s v="Excellent"/>
  </r>
  <r>
    <x v="7"/>
    <x v="4"/>
    <x v="1853"/>
    <x v="1"/>
    <s v="New Benjamin"/>
    <x v="1"/>
    <n v="11.02"/>
    <n v="73"/>
    <x v="0"/>
    <x v="0"/>
    <s v="Japan, USA, India"/>
    <n v="235"/>
    <s v="Low"/>
    <s v="Average"/>
  </r>
  <r>
    <x v="9"/>
    <x v="5"/>
    <x v="1854"/>
    <x v="1"/>
    <s v="Boydview"/>
    <x v="0"/>
    <n v="38.86"/>
    <n v="56"/>
    <x v="4"/>
    <x v="2"/>
    <s v="Russia"/>
    <n v="291"/>
    <s v="High"/>
    <s v="Average"/>
  </r>
  <r>
    <x v="9"/>
    <x v="11"/>
    <x v="1855"/>
    <x v="1"/>
    <s v="South Valerieshire"/>
    <x v="1"/>
    <n v="1.1100000000000001"/>
    <n v="60"/>
    <x v="1"/>
    <x v="2"/>
    <s v="Russia, UK"/>
    <n v="233"/>
    <s v="Low"/>
    <s v="Average"/>
  </r>
  <r>
    <x v="8"/>
    <x v="7"/>
    <x v="1856"/>
    <x v="0"/>
    <s v="Hernandeztown"/>
    <x v="1"/>
    <n v="32.61"/>
    <n v="50"/>
    <x v="4"/>
    <x v="1"/>
    <s v="UK, Germany"/>
    <n v="222"/>
    <s v="Medium"/>
    <s v="Average"/>
  </r>
  <r>
    <x v="4"/>
    <x v="19"/>
    <x v="1857"/>
    <x v="0"/>
    <s v="Smithville"/>
    <x v="2"/>
    <n v="38.700000000000003"/>
    <n v="69"/>
    <x v="0"/>
    <x v="2"/>
    <s v="Japan"/>
    <n v="307"/>
    <s v="High"/>
    <s v="Average"/>
  </r>
  <r>
    <x v="4"/>
    <x v="13"/>
    <x v="1858"/>
    <x v="1"/>
    <s v="Port Summer"/>
    <x v="4"/>
    <n v="13.02"/>
    <n v="83"/>
    <x v="1"/>
    <x v="0"/>
    <s v="UAE"/>
    <n v="106"/>
    <s v="Low"/>
    <s v="Good"/>
  </r>
  <r>
    <x v="7"/>
    <x v="13"/>
    <x v="1859"/>
    <x v="1"/>
    <s v="Ryanside"/>
    <x v="1"/>
    <n v="22.53"/>
    <n v="84"/>
    <x v="3"/>
    <x v="1"/>
    <s v="USA"/>
    <n v="56"/>
    <s v="Medium"/>
    <s v="Good"/>
  </r>
  <r>
    <x v="0"/>
    <x v="12"/>
    <x v="1860"/>
    <x v="1"/>
    <s v="West Danielville"/>
    <x v="0"/>
    <n v="2.5299999999999998"/>
    <n v="60"/>
    <x v="3"/>
    <x v="1"/>
    <s v="UK, USA, Israel"/>
    <n v="88"/>
    <s v="Low"/>
    <s v="Average"/>
  </r>
  <r>
    <x v="4"/>
    <x v="3"/>
    <x v="1861"/>
    <x v="1"/>
    <s v="Ellisonchester"/>
    <x v="3"/>
    <n v="30.46"/>
    <n v="52"/>
    <x v="4"/>
    <x v="1"/>
    <s v="Israel"/>
    <n v="42"/>
    <s v="Medium"/>
    <s v="Average"/>
  </r>
  <r>
    <x v="4"/>
    <x v="18"/>
    <x v="1862"/>
    <x v="0"/>
    <s v="Burtonland"/>
    <x v="1"/>
    <n v="45.08"/>
    <n v="86"/>
    <x v="0"/>
    <x v="1"/>
    <s v="Germany, Japan"/>
    <n v="178"/>
    <s v="High"/>
    <s v="Good"/>
  </r>
  <r>
    <x v="1"/>
    <x v="23"/>
    <x v="1863"/>
    <x v="0"/>
    <s v="Robertsonchester"/>
    <x v="0"/>
    <n v="6.35"/>
    <n v="50"/>
    <x v="1"/>
    <x v="1"/>
    <s v="Germany, USA, Russia"/>
    <n v="157"/>
    <s v="Low"/>
    <s v="Average"/>
  </r>
  <r>
    <x v="7"/>
    <x v="21"/>
    <x v="1864"/>
    <x v="0"/>
    <s v="Lake Teresastad"/>
    <x v="2"/>
    <n v="43.73"/>
    <n v="83"/>
    <x v="4"/>
    <x v="1"/>
    <s v="France"/>
    <n v="241"/>
    <s v="High"/>
    <s v="Good"/>
  </r>
  <r>
    <x v="8"/>
    <x v="25"/>
    <x v="1865"/>
    <x v="1"/>
    <s v="Brandiberg"/>
    <x v="2"/>
    <n v="2.2200000000000002"/>
    <n v="73"/>
    <x v="2"/>
    <x v="1"/>
    <s v="India, China"/>
    <n v="65"/>
    <s v="Low"/>
    <s v="Average"/>
  </r>
  <r>
    <x v="1"/>
    <x v="5"/>
    <x v="1866"/>
    <x v="0"/>
    <s v="Danielmouth"/>
    <x v="0"/>
    <n v="28.14"/>
    <n v="98"/>
    <x v="4"/>
    <x v="1"/>
    <s v="Israel"/>
    <n v="95"/>
    <s v="Medium"/>
    <s v="Excellent"/>
  </r>
  <r>
    <x v="2"/>
    <x v="20"/>
    <x v="1867"/>
    <x v="0"/>
    <s v="New Parker"/>
    <x v="4"/>
    <n v="35.81"/>
    <n v="74"/>
    <x v="0"/>
    <x v="0"/>
    <s v="UK, Russia, Israel"/>
    <n v="56"/>
    <s v="High"/>
    <s v="Average"/>
  </r>
  <r>
    <x v="0"/>
    <x v="24"/>
    <x v="1868"/>
    <x v="1"/>
    <s v="South Shelleyhaven"/>
    <x v="4"/>
    <n v="3.01"/>
    <n v="99"/>
    <x v="2"/>
    <x v="2"/>
    <s v="UAE, Germany"/>
    <n v="47"/>
    <s v="Low"/>
    <s v="Excellent"/>
  </r>
  <r>
    <x v="0"/>
    <x v="0"/>
    <x v="1869"/>
    <x v="1"/>
    <s v="Robertchester"/>
    <x v="1"/>
    <n v="37.590000000000003"/>
    <n v="75"/>
    <x v="3"/>
    <x v="2"/>
    <s v="Germany, UAE, Israel"/>
    <n v="198"/>
    <s v="High"/>
    <s v="Good"/>
  </r>
  <r>
    <x v="3"/>
    <x v="19"/>
    <x v="1870"/>
    <x v="1"/>
    <s v="West Fred"/>
    <x v="4"/>
    <n v="3.32"/>
    <n v="72"/>
    <x v="3"/>
    <x v="0"/>
    <s v="Israel, UAE, UK"/>
    <n v="360"/>
    <s v="Low"/>
    <s v="Average"/>
  </r>
  <r>
    <x v="3"/>
    <x v="19"/>
    <x v="1871"/>
    <x v="1"/>
    <s v="South Lisaside"/>
    <x v="2"/>
    <n v="26.9"/>
    <n v="78"/>
    <x v="4"/>
    <x v="0"/>
    <s v="UAE, Israel, Russia"/>
    <n v="273"/>
    <s v="Medium"/>
    <s v="Good"/>
  </r>
  <r>
    <x v="8"/>
    <x v="13"/>
    <x v="1872"/>
    <x v="0"/>
    <s v="Port Susanshire"/>
    <x v="1"/>
    <n v="15.46"/>
    <n v="81"/>
    <x v="1"/>
    <x v="0"/>
    <s v="USA, France, China"/>
    <n v="203"/>
    <s v="Medium"/>
    <s v="Good"/>
  </r>
  <r>
    <x v="9"/>
    <x v="13"/>
    <x v="1873"/>
    <x v="0"/>
    <s v="Brookschester"/>
    <x v="3"/>
    <n v="40.28"/>
    <n v="69"/>
    <x v="3"/>
    <x v="0"/>
    <s v="Germany, UAE, Russia"/>
    <n v="256"/>
    <s v="High"/>
    <s v="Average"/>
  </r>
  <r>
    <x v="7"/>
    <x v="9"/>
    <x v="1874"/>
    <x v="1"/>
    <s v="Tanyaview"/>
    <x v="2"/>
    <n v="49.68"/>
    <n v="73"/>
    <x v="3"/>
    <x v="1"/>
    <s v="China"/>
    <n v="336"/>
    <s v="High"/>
    <s v="Average"/>
  </r>
  <r>
    <x v="1"/>
    <x v="23"/>
    <x v="1875"/>
    <x v="1"/>
    <s v="Clarkchester"/>
    <x v="4"/>
    <n v="42.4"/>
    <n v="66"/>
    <x v="3"/>
    <x v="2"/>
    <s v="UAE, Germany"/>
    <n v="7"/>
    <s v="High"/>
    <s v="Average"/>
  </r>
  <r>
    <x v="2"/>
    <x v="1"/>
    <x v="1876"/>
    <x v="0"/>
    <s v="East Kristinaburgh"/>
    <x v="1"/>
    <n v="23.07"/>
    <n v="88"/>
    <x v="0"/>
    <x v="1"/>
    <s v="France"/>
    <n v="36"/>
    <s v="Medium"/>
    <s v="Good"/>
  </r>
  <r>
    <x v="0"/>
    <x v="5"/>
    <x v="1877"/>
    <x v="0"/>
    <s v="Lake Shannonburgh"/>
    <x v="0"/>
    <n v="12.15"/>
    <n v="94"/>
    <x v="0"/>
    <x v="0"/>
    <s v="Russia, India"/>
    <n v="12"/>
    <s v="Low"/>
    <s v="Excellent"/>
  </r>
  <r>
    <x v="5"/>
    <x v="5"/>
    <x v="1878"/>
    <x v="1"/>
    <s v="East Isaac"/>
    <x v="2"/>
    <n v="11.18"/>
    <n v="70"/>
    <x v="0"/>
    <x v="2"/>
    <s v="USA, France, Israel"/>
    <n v="173"/>
    <s v="Low"/>
    <s v="Average"/>
  </r>
  <r>
    <x v="9"/>
    <x v="11"/>
    <x v="1879"/>
    <x v="0"/>
    <s v="Andersonville"/>
    <x v="3"/>
    <n v="22.76"/>
    <n v="80"/>
    <x v="3"/>
    <x v="2"/>
    <s v="China, France, UK"/>
    <n v="181"/>
    <s v="Medium"/>
    <s v="Good"/>
  </r>
  <r>
    <x v="3"/>
    <x v="11"/>
    <x v="1880"/>
    <x v="1"/>
    <s v="East Davidburgh"/>
    <x v="3"/>
    <n v="40.26"/>
    <n v="62"/>
    <x v="3"/>
    <x v="0"/>
    <s v="UK, China, Japan"/>
    <n v="15"/>
    <s v="High"/>
    <s v="Average"/>
  </r>
  <r>
    <x v="3"/>
    <x v="4"/>
    <x v="1881"/>
    <x v="0"/>
    <s v="Victoriaview"/>
    <x v="1"/>
    <n v="1.52"/>
    <n v="77"/>
    <x v="3"/>
    <x v="2"/>
    <s v="UAE, Russia, France"/>
    <n v="160"/>
    <s v="Low"/>
    <s v="Good"/>
  </r>
  <r>
    <x v="8"/>
    <x v="17"/>
    <x v="1882"/>
    <x v="0"/>
    <s v="Port Amychester"/>
    <x v="4"/>
    <n v="0.97"/>
    <n v="90"/>
    <x v="4"/>
    <x v="1"/>
    <s v="Germany"/>
    <n v="164"/>
    <s v="Low"/>
    <s v="Excellent"/>
  </r>
  <r>
    <x v="4"/>
    <x v="10"/>
    <x v="1883"/>
    <x v="0"/>
    <s v="Port Scottstad"/>
    <x v="3"/>
    <n v="25"/>
    <n v="81"/>
    <x v="3"/>
    <x v="0"/>
    <s v="Russia, Israel, UK"/>
    <n v="48"/>
    <s v="Medium"/>
    <s v="Good"/>
  </r>
  <r>
    <x v="2"/>
    <x v="2"/>
    <x v="1884"/>
    <x v="1"/>
    <s v="Josephburgh"/>
    <x v="2"/>
    <n v="34.75"/>
    <n v="60"/>
    <x v="3"/>
    <x v="0"/>
    <s v="India, France"/>
    <n v="294"/>
    <s v="Medium"/>
    <s v="Average"/>
  </r>
  <r>
    <x v="4"/>
    <x v="20"/>
    <x v="1885"/>
    <x v="1"/>
    <s v="East Justin"/>
    <x v="3"/>
    <n v="11.71"/>
    <n v="52"/>
    <x v="2"/>
    <x v="2"/>
    <s v="UK"/>
    <n v="114"/>
    <s v="Low"/>
    <s v="Average"/>
  </r>
  <r>
    <x v="7"/>
    <x v="1"/>
    <x v="1886"/>
    <x v="0"/>
    <s v="West Tiffanystad"/>
    <x v="2"/>
    <n v="28.94"/>
    <n v="56"/>
    <x v="1"/>
    <x v="0"/>
    <s v="India, Germany"/>
    <n v="220"/>
    <s v="Medium"/>
    <s v="Average"/>
  </r>
  <r>
    <x v="4"/>
    <x v="5"/>
    <x v="1887"/>
    <x v="0"/>
    <s v="Christinafort"/>
    <x v="4"/>
    <n v="11.56"/>
    <n v="83"/>
    <x v="4"/>
    <x v="0"/>
    <s v="UK"/>
    <n v="242"/>
    <s v="Low"/>
    <s v="Good"/>
  </r>
  <r>
    <x v="6"/>
    <x v="12"/>
    <x v="1888"/>
    <x v="0"/>
    <s v="Lake Thomastown"/>
    <x v="3"/>
    <n v="44.89"/>
    <n v="97"/>
    <x v="3"/>
    <x v="1"/>
    <s v="Japan"/>
    <n v="31"/>
    <s v="High"/>
    <s v="Excellent"/>
  </r>
  <r>
    <x v="2"/>
    <x v="5"/>
    <x v="1889"/>
    <x v="1"/>
    <s v="New Samuelstad"/>
    <x v="2"/>
    <n v="14.95"/>
    <n v="60"/>
    <x v="2"/>
    <x v="0"/>
    <s v="France, Russia"/>
    <n v="58"/>
    <s v="Low"/>
    <s v="Average"/>
  </r>
  <r>
    <x v="2"/>
    <x v="21"/>
    <x v="1890"/>
    <x v="0"/>
    <s v="Jasonmouth"/>
    <x v="3"/>
    <n v="29.59"/>
    <n v="91"/>
    <x v="3"/>
    <x v="0"/>
    <s v="UAE, Israel"/>
    <n v="234"/>
    <s v="Medium"/>
    <s v="Excellent"/>
  </r>
  <r>
    <x v="8"/>
    <x v="2"/>
    <x v="1891"/>
    <x v="0"/>
    <s v="West Benjamin"/>
    <x v="2"/>
    <n v="1.66"/>
    <n v="89"/>
    <x v="2"/>
    <x v="0"/>
    <s v="UK"/>
    <n v="226"/>
    <s v="Low"/>
    <s v="Good"/>
  </r>
  <r>
    <x v="9"/>
    <x v="0"/>
    <x v="1892"/>
    <x v="0"/>
    <s v="Wallshire"/>
    <x v="1"/>
    <n v="38.03"/>
    <n v="60"/>
    <x v="0"/>
    <x v="1"/>
    <s v="Russia, USA"/>
    <n v="85"/>
    <s v="High"/>
    <s v="Average"/>
  </r>
  <r>
    <x v="0"/>
    <x v="5"/>
    <x v="1893"/>
    <x v="1"/>
    <s v="Petersonland"/>
    <x v="2"/>
    <n v="31.16"/>
    <n v="91"/>
    <x v="4"/>
    <x v="1"/>
    <s v="UK"/>
    <n v="176"/>
    <s v="Medium"/>
    <s v="Excellent"/>
  </r>
  <r>
    <x v="0"/>
    <x v="22"/>
    <x v="1894"/>
    <x v="0"/>
    <s v="Lake Charles"/>
    <x v="0"/>
    <n v="18.75"/>
    <n v="73"/>
    <x v="1"/>
    <x v="0"/>
    <s v="UAE, Israel, Russia"/>
    <n v="296"/>
    <s v="Medium"/>
    <s v="Average"/>
  </r>
  <r>
    <x v="7"/>
    <x v="25"/>
    <x v="1895"/>
    <x v="0"/>
    <s v="South Michael"/>
    <x v="3"/>
    <n v="20.36"/>
    <n v="53"/>
    <x v="0"/>
    <x v="2"/>
    <s v="India, Russia"/>
    <n v="165"/>
    <s v="Medium"/>
    <s v="Average"/>
  </r>
  <r>
    <x v="6"/>
    <x v="20"/>
    <x v="1896"/>
    <x v="0"/>
    <s v="Hawkinschester"/>
    <x v="0"/>
    <n v="10.38"/>
    <n v="69"/>
    <x v="4"/>
    <x v="2"/>
    <s v="Germany"/>
    <n v="329"/>
    <s v="Low"/>
    <s v="Average"/>
  </r>
  <r>
    <x v="4"/>
    <x v="20"/>
    <x v="1897"/>
    <x v="1"/>
    <s v="South James"/>
    <x v="0"/>
    <n v="44.71"/>
    <n v="80"/>
    <x v="3"/>
    <x v="2"/>
    <s v="Japan, Germany, USA"/>
    <n v="344"/>
    <s v="High"/>
    <s v="Good"/>
  </r>
  <r>
    <x v="4"/>
    <x v="16"/>
    <x v="1898"/>
    <x v="1"/>
    <s v="Bruceberg"/>
    <x v="3"/>
    <n v="11.79"/>
    <n v="75"/>
    <x v="4"/>
    <x v="0"/>
    <s v="Israel, Japan"/>
    <n v="5"/>
    <s v="Low"/>
    <s v="Good"/>
  </r>
  <r>
    <x v="9"/>
    <x v="16"/>
    <x v="1899"/>
    <x v="0"/>
    <s v="Lake Sara"/>
    <x v="3"/>
    <n v="35.26"/>
    <n v="64"/>
    <x v="3"/>
    <x v="0"/>
    <s v="Israel"/>
    <n v="298"/>
    <s v="High"/>
    <s v="Average"/>
  </r>
  <r>
    <x v="9"/>
    <x v="25"/>
    <x v="1900"/>
    <x v="0"/>
    <s v="Sanchezmouth"/>
    <x v="0"/>
    <n v="2.17"/>
    <n v="83"/>
    <x v="2"/>
    <x v="1"/>
    <s v="UAE, Japan, Germany"/>
    <n v="190"/>
    <s v="Low"/>
    <s v="Good"/>
  </r>
  <r>
    <x v="3"/>
    <x v="21"/>
    <x v="1901"/>
    <x v="1"/>
    <s v="Port Edwardchester"/>
    <x v="1"/>
    <n v="20.65"/>
    <n v="75"/>
    <x v="2"/>
    <x v="0"/>
    <s v="USA, UAE, France"/>
    <n v="23"/>
    <s v="Medium"/>
    <s v="Good"/>
  </r>
  <r>
    <x v="9"/>
    <x v="13"/>
    <x v="1902"/>
    <x v="1"/>
    <s v="Michaelhaven"/>
    <x v="0"/>
    <n v="36.49"/>
    <n v="72"/>
    <x v="0"/>
    <x v="2"/>
    <s v="USA, UK"/>
    <n v="171"/>
    <s v="High"/>
    <s v="Average"/>
  </r>
  <r>
    <x v="8"/>
    <x v="22"/>
    <x v="1903"/>
    <x v="1"/>
    <s v="Kennedymouth"/>
    <x v="0"/>
    <n v="6.1"/>
    <n v="54"/>
    <x v="2"/>
    <x v="2"/>
    <s v="UK, Israel, Russia"/>
    <n v="166"/>
    <s v="Low"/>
    <s v="Average"/>
  </r>
  <r>
    <x v="7"/>
    <x v="22"/>
    <x v="1904"/>
    <x v="1"/>
    <s v="Kaufmanberg"/>
    <x v="0"/>
    <n v="38.01"/>
    <n v="67"/>
    <x v="3"/>
    <x v="2"/>
    <s v="USA"/>
    <n v="244"/>
    <s v="High"/>
    <s v="Average"/>
  </r>
  <r>
    <x v="1"/>
    <x v="2"/>
    <x v="1905"/>
    <x v="1"/>
    <s v="New Jeremyland"/>
    <x v="0"/>
    <n v="41.11"/>
    <n v="75"/>
    <x v="0"/>
    <x v="2"/>
    <s v="China"/>
    <n v="64"/>
    <s v="High"/>
    <s v="Good"/>
  </r>
  <r>
    <x v="0"/>
    <x v="15"/>
    <x v="1906"/>
    <x v="0"/>
    <s v="Briantown"/>
    <x v="4"/>
    <n v="28.2"/>
    <n v="92"/>
    <x v="4"/>
    <x v="0"/>
    <s v="Russia, UK"/>
    <n v="191"/>
    <s v="Medium"/>
    <s v="Excellent"/>
  </r>
  <r>
    <x v="5"/>
    <x v="23"/>
    <x v="1907"/>
    <x v="0"/>
    <s v="Lake Amanda"/>
    <x v="4"/>
    <n v="4.6399999999999997"/>
    <n v="79"/>
    <x v="2"/>
    <x v="2"/>
    <s v="Russia"/>
    <n v="25"/>
    <s v="Low"/>
    <s v="Good"/>
  </r>
  <r>
    <x v="8"/>
    <x v="11"/>
    <x v="1908"/>
    <x v="0"/>
    <s v="Grahamshire"/>
    <x v="4"/>
    <n v="36"/>
    <n v="87"/>
    <x v="0"/>
    <x v="0"/>
    <s v="UAE, India, France"/>
    <n v="282"/>
    <s v="High"/>
    <s v="Good"/>
  </r>
  <r>
    <x v="3"/>
    <x v="14"/>
    <x v="1909"/>
    <x v="1"/>
    <s v="Deckerside"/>
    <x v="1"/>
    <n v="28.41"/>
    <n v="83"/>
    <x v="4"/>
    <x v="2"/>
    <s v="Russia"/>
    <n v="18"/>
    <s v="Medium"/>
    <s v="Good"/>
  </r>
  <r>
    <x v="2"/>
    <x v="8"/>
    <x v="1910"/>
    <x v="1"/>
    <s v="Port Kaylahaven"/>
    <x v="4"/>
    <n v="37.92"/>
    <n v="67"/>
    <x v="2"/>
    <x v="1"/>
    <s v="Germany, India, Japan"/>
    <n v="187"/>
    <s v="High"/>
    <s v="Average"/>
  </r>
  <r>
    <x v="0"/>
    <x v="6"/>
    <x v="1911"/>
    <x v="0"/>
    <s v="South Scottborough"/>
    <x v="0"/>
    <n v="42.16"/>
    <n v="50"/>
    <x v="2"/>
    <x v="2"/>
    <s v="UAE, France"/>
    <n v="299"/>
    <s v="High"/>
    <s v="Average"/>
  </r>
  <r>
    <x v="1"/>
    <x v="22"/>
    <x v="1912"/>
    <x v="0"/>
    <s v="East Veronica"/>
    <x v="4"/>
    <n v="10.5"/>
    <n v="91"/>
    <x v="2"/>
    <x v="2"/>
    <s v="India, UK"/>
    <n v="2"/>
    <s v="Low"/>
    <s v="Excellent"/>
  </r>
  <r>
    <x v="5"/>
    <x v="15"/>
    <x v="1913"/>
    <x v="1"/>
    <s v="South Bobby"/>
    <x v="0"/>
    <n v="16.78"/>
    <n v="66"/>
    <x v="4"/>
    <x v="1"/>
    <s v="USA"/>
    <n v="164"/>
    <s v="Medium"/>
    <s v="Average"/>
  </r>
  <r>
    <x v="0"/>
    <x v="11"/>
    <x v="1914"/>
    <x v="0"/>
    <s v="Clarkport"/>
    <x v="1"/>
    <n v="22.19"/>
    <n v="53"/>
    <x v="2"/>
    <x v="1"/>
    <s v="China, Russia"/>
    <n v="259"/>
    <s v="Medium"/>
    <s v="Average"/>
  </r>
  <r>
    <x v="4"/>
    <x v="25"/>
    <x v="1915"/>
    <x v="1"/>
    <s v="New Stevenshire"/>
    <x v="3"/>
    <n v="29.99"/>
    <n v="61"/>
    <x v="2"/>
    <x v="0"/>
    <s v="UAE, Russia"/>
    <n v="147"/>
    <s v="Medium"/>
    <s v="Average"/>
  </r>
  <r>
    <x v="5"/>
    <x v="8"/>
    <x v="1916"/>
    <x v="0"/>
    <s v="Cuevasland"/>
    <x v="3"/>
    <n v="46.96"/>
    <n v="72"/>
    <x v="3"/>
    <x v="0"/>
    <s v="UAE, Russia, Israel"/>
    <n v="203"/>
    <s v="High"/>
    <s v="Average"/>
  </r>
  <r>
    <x v="3"/>
    <x v="17"/>
    <x v="1917"/>
    <x v="0"/>
    <s v="North Stephanieton"/>
    <x v="3"/>
    <n v="37.78"/>
    <n v="51"/>
    <x v="3"/>
    <x v="2"/>
    <s v="Israel, Germany, UAE"/>
    <n v="40"/>
    <s v="High"/>
    <s v="Average"/>
  </r>
  <r>
    <x v="7"/>
    <x v="22"/>
    <x v="1918"/>
    <x v="0"/>
    <s v="Grahammouth"/>
    <x v="4"/>
    <n v="40.82"/>
    <n v="92"/>
    <x v="2"/>
    <x v="1"/>
    <s v="Russia, France"/>
    <n v="170"/>
    <s v="High"/>
    <s v="Excellent"/>
  </r>
  <r>
    <x v="5"/>
    <x v="15"/>
    <x v="1919"/>
    <x v="1"/>
    <s v="Hoffmanchester"/>
    <x v="4"/>
    <n v="12.84"/>
    <n v="96"/>
    <x v="0"/>
    <x v="2"/>
    <s v="China, France, Germany"/>
    <n v="219"/>
    <s v="Low"/>
    <s v="Excellent"/>
  </r>
  <r>
    <x v="3"/>
    <x v="8"/>
    <x v="1920"/>
    <x v="0"/>
    <s v="New Devontown"/>
    <x v="3"/>
    <n v="14.63"/>
    <n v="53"/>
    <x v="1"/>
    <x v="2"/>
    <s v="Japan, France, UAE"/>
    <n v="202"/>
    <s v="Low"/>
    <s v="Average"/>
  </r>
  <r>
    <x v="4"/>
    <x v="14"/>
    <x v="1921"/>
    <x v="1"/>
    <s v="Beanfurt"/>
    <x v="0"/>
    <n v="1.8"/>
    <n v="87"/>
    <x v="0"/>
    <x v="2"/>
    <s v="India, France, UAE"/>
    <n v="207"/>
    <s v="Low"/>
    <s v="Good"/>
  </r>
  <r>
    <x v="1"/>
    <x v="18"/>
    <x v="1922"/>
    <x v="1"/>
    <s v="New Jamesmouth"/>
    <x v="2"/>
    <n v="9.58"/>
    <n v="56"/>
    <x v="0"/>
    <x v="1"/>
    <s v="USA"/>
    <n v="20"/>
    <s v="Low"/>
    <s v="Average"/>
  </r>
  <r>
    <x v="8"/>
    <x v="11"/>
    <x v="1923"/>
    <x v="1"/>
    <s v="Jenkinsside"/>
    <x v="1"/>
    <n v="34.72"/>
    <n v="51"/>
    <x v="2"/>
    <x v="1"/>
    <s v="Israel"/>
    <n v="164"/>
    <s v="Medium"/>
    <s v="Average"/>
  </r>
  <r>
    <x v="8"/>
    <x v="1"/>
    <x v="1924"/>
    <x v="1"/>
    <s v="East Kayla"/>
    <x v="3"/>
    <n v="22.03"/>
    <n v="52"/>
    <x v="2"/>
    <x v="0"/>
    <s v="Israel, Russia, India"/>
    <n v="159"/>
    <s v="Medium"/>
    <s v="Average"/>
  </r>
  <r>
    <x v="3"/>
    <x v="3"/>
    <x v="1925"/>
    <x v="1"/>
    <s v="Emilychester"/>
    <x v="0"/>
    <n v="46.53"/>
    <n v="79"/>
    <x v="2"/>
    <x v="0"/>
    <s v="UAE"/>
    <n v="55"/>
    <s v="High"/>
    <s v="Good"/>
  </r>
  <r>
    <x v="2"/>
    <x v="20"/>
    <x v="1926"/>
    <x v="0"/>
    <s v="Christopherton"/>
    <x v="0"/>
    <n v="21.05"/>
    <n v="90"/>
    <x v="3"/>
    <x v="2"/>
    <s v="France, UK, USA"/>
    <n v="111"/>
    <s v="Medium"/>
    <s v="Excellent"/>
  </r>
  <r>
    <x v="2"/>
    <x v="6"/>
    <x v="1927"/>
    <x v="0"/>
    <s v="Gregoryburgh"/>
    <x v="3"/>
    <n v="1.61"/>
    <n v="57"/>
    <x v="3"/>
    <x v="2"/>
    <s v="Germany"/>
    <n v="254"/>
    <s v="Low"/>
    <s v="Average"/>
  </r>
  <r>
    <x v="5"/>
    <x v="17"/>
    <x v="1928"/>
    <x v="1"/>
    <s v="Jasonshire"/>
    <x v="3"/>
    <n v="20.37"/>
    <n v="91"/>
    <x v="3"/>
    <x v="0"/>
    <s v="France"/>
    <n v="322"/>
    <s v="Medium"/>
    <s v="Excellent"/>
  </r>
  <r>
    <x v="5"/>
    <x v="25"/>
    <x v="1929"/>
    <x v="0"/>
    <s v="East Johnton"/>
    <x v="2"/>
    <n v="26.84"/>
    <n v="60"/>
    <x v="2"/>
    <x v="0"/>
    <s v="Japan"/>
    <n v="232"/>
    <s v="Medium"/>
    <s v="Average"/>
  </r>
  <r>
    <x v="1"/>
    <x v="17"/>
    <x v="1930"/>
    <x v="1"/>
    <s v="South Ashleyville"/>
    <x v="3"/>
    <n v="21.21"/>
    <n v="68"/>
    <x v="0"/>
    <x v="2"/>
    <s v="China, Japan"/>
    <n v="68"/>
    <s v="Medium"/>
    <s v="Average"/>
  </r>
  <r>
    <x v="5"/>
    <x v="20"/>
    <x v="1931"/>
    <x v="0"/>
    <s v="Bryanfurt"/>
    <x v="0"/>
    <n v="6.13"/>
    <n v="71"/>
    <x v="1"/>
    <x v="0"/>
    <s v="Israel, India"/>
    <n v="327"/>
    <s v="Low"/>
    <s v="Average"/>
  </r>
  <r>
    <x v="8"/>
    <x v="3"/>
    <x v="1932"/>
    <x v="1"/>
    <s v="Port Charles"/>
    <x v="3"/>
    <n v="1.28"/>
    <n v="92"/>
    <x v="3"/>
    <x v="0"/>
    <s v="Israel"/>
    <n v="187"/>
    <s v="Low"/>
    <s v="Excellent"/>
  </r>
  <r>
    <x v="0"/>
    <x v="13"/>
    <x v="1933"/>
    <x v="0"/>
    <s v="West Jamesview"/>
    <x v="4"/>
    <n v="28.64"/>
    <n v="62"/>
    <x v="0"/>
    <x v="0"/>
    <s v="France"/>
    <n v="319"/>
    <s v="Medium"/>
    <s v="Average"/>
  </r>
  <r>
    <x v="8"/>
    <x v="22"/>
    <x v="1934"/>
    <x v="0"/>
    <s v="Lisaport"/>
    <x v="1"/>
    <n v="3.21"/>
    <n v="52"/>
    <x v="3"/>
    <x v="1"/>
    <s v="Germany"/>
    <n v="223"/>
    <s v="Low"/>
    <s v="Average"/>
  </r>
  <r>
    <x v="8"/>
    <x v="9"/>
    <x v="1935"/>
    <x v="0"/>
    <s v="North Steven"/>
    <x v="0"/>
    <n v="32.75"/>
    <n v="81"/>
    <x v="1"/>
    <x v="1"/>
    <s v="Israel, Russia, China"/>
    <n v="148"/>
    <s v="Medium"/>
    <s v="Good"/>
  </r>
  <r>
    <x v="2"/>
    <x v="7"/>
    <x v="1936"/>
    <x v="1"/>
    <s v="Serranobury"/>
    <x v="3"/>
    <n v="9.77"/>
    <n v="54"/>
    <x v="3"/>
    <x v="0"/>
    <s v="Israel, UK, USA"/>
    <n v="37"/>
    <s v="Low"/>
    <s v="Average"/>
  </r>
  <r>
    <x v="2"/>
    <x v="15"/>
    <x v="1937"/>
    <x v="0"/>
    <s v="Danshire"/>
    <x v="1"/>
    <n v="15.79"/>
    <n v="51"/>
    <x v="4"/>
    <x v="0"/>
    <s v="Israel, UK"/>
    <n v="99"/>
    <s v="Medium"/>
    <s v="Average"/>
  </r>
  <r>
    <x v="9"/>
    <x v="12"/>
    <x v="1938"/>
    <x v="0"/>
    <s v="Brittanyfort"/>
    <x v="3"/>
    <n v="42.23"/>
    <n v="70"/>
    <x v="1"/>
    <x v="1"/>
    <s v="Germany"/>
    <n v="274"/>
    <s v="High"/>
    <s v="Average"/>
  </r>
  <r>
    <x v="1"/>
    <x v="10"/>
    <x v="1939"/>
    <x v="0"/>
    <s v="Hatfieldmouth"/>
    <x v="0"/>
    <n v="19.14"/>
    <n v="52"/>
    <x v="0"/>
    <x v="1"/>
    <s v="UAE, Israel, USA"/>
    <n v="313"/>
    <s v="Medium"/>
    <s v="Average"/>
  </r>
  <r>
    <x v="5"/>
    <x v="16"/>
    <x v="1940"/>
    <x v="0"/>
    <s v="West Janetborough"/>
    <x v="0"/>
    <n v="45.69"/>
    <n v="87"/>
    <x v="1"/>
    <x v="1"/>
    <s v="France"/>
    <n v="352"/>
    <s v="High"/>
    <s v="Good"/>
  </r>
  <r>
    <x v="2"/>
    <x v="14"/>
    <x v="1941"/>
    <x v="0"/>
    <s v="South Sandra"/>
    <x v="3"/>
    <n v="42.81"/>
    <n v="67"/>
    <x v="4"/>
    <x v="1"/>
    <s v="UK, USA"/>
    <n v="302"/>
    <s v="High"/>
    <s v="Average"/>
  </r>
  <r>
    <x v="7"/>
    <x v="20"/>
    <x v="1942"/>
    <x v="1"/>
    <s v="South Sandrahaven"/>
    <x v="3"/>
    <n v="42.7"/>
    <n v="86"/>
    <x v="3"/>
    <x v="2"/>
    <s v="Russia"/>
    <n v="318"/>
    <s v="High"/>
    <s v="Good"/>
  </r>
  <r>
    <x v="0"/>
    <x v="9"/>
    <x v="1943"/>
    <x v="0"/>
    <s v="New Josephville"/>
    <x v="3"/>
    <n v="24.66"/>
    <n v="81"/>
    <x v="2"/>
    <x v="0"/>
    <s v="UK, USA"/>
    <n v="315"/>
    <s v="Medium"/>
    <s v="Good"/>
  </r>
  <r>
    <x v="9"/>
    <x v="6"/>
    <x v="1944"/>
    <x v="1"/>
    <s v="Amandachester"/>
    <x v="4"/>
    <n v="44.77"/>
    <n v="74"/>
    <x v="1"/>
    <x v="1"/>
    <s v="China, India, UK"/>
    <n v="250"/>
    <s v="High"/>
    <s v="Average"/>
  </r>
  <r>
    <x v="1"/>
    <x v="10"/>
    <x v="1945"/>
    <x v="0"/>
    <s v="Deleonbury"/>
    <x v="0"/>
    <n v="35.61"/>
    <n v="53"/>
    <x v="4"/>
    <x v="0"/>
    <s v="Germany, India"/>
    <n v="87"/>
    <s v="High"/>
    <s v="Average"/>
  </r>
  <r>
    <x v="6"/>
    <x v="8"/>
    <x v="1946"/>
    <x v="0"/>
    <s v="Carmenberg"/>
    <x v="2"/>
    <n v="5.61"/>
    <n v="82"/>
    <x v="4"/>
    <x v="1"/>
    <s v="China, Russia, India"/>
    <n v="203"/>
    <s v="Low"/>
    <s v="Good"/>
  </r>
  <r>
    <x v="4"/>
    <x v="8"/>
    <x v="1947"/>
    <x v="1"/>
    <s v="Burtonmouth"/>
    <x v="3"/>
    <n v="21.19"/>
    <n v="91"/>
    <x v="2"/>
    <x v="2"/>
    <s v="Japan, Russia, France"/>
    <n v="220"/>
    <s v="Medium"/>
    <s v="Excellent"/>
  </r>
  <r>
    <x v="7"/>
    <x v="20"/>
    <x v="1948"/>
    <x v="0"/>
    <s v="New Debra"/>
    <x v="3"/>
    <n v="32.86"/>
    <n v="77"/>
    <x v="2"/>
    <x v="0"/>
    <s v="UAE, France"/>
    <n v="107"/>
    <s v="Medium"/>
    <s v="Good"/>
  </r>
  <r>
    <x v="8"/>
    <x v="11"/>
    <x v="1949"/>
    <x v="0"/>
    <s v="Sarahbury"/>
    <x v="4"/>
    <n v="24.52"/>
    <n v="77"/>
    <x v="0"/>
    <x v="2"/>
    <s v="China"/>
    <n v="70"/>
    <s v="Medium"/>
    <s v="Good"/>
  </r>
  <r>
    <x v="4"/>
    <x v="19"/>
    <x v="1950"/>
    <x v="1"/>
    <s v="New Mariaport"/>
    <x v="0"/>
    <n v="22.89"/>
    <n v="55"/>
    <x v="2"/>
    <x v="0"/>
    <s v="Israel, UK"/>
    <n v="122"/>
    <s v="Medium"/>
    <s v="Average"/>
  </r>
  <r>
    <x v="8"/>
    <x v="5"/>
    <x v="1951"/>
    <x v="0"/>
    <s v="Coryside"/>
    <x v="3"/>
    <n v="25.63"/>
    <n v="93"/>
    <x v="0"/>
    <x v="1"/>
    <s v="China"/>
    <n v="232"/>
    <s v="Medium"/>
    <s v="Excellent"/>
  </r>
  <r>
    <x v="9"/>
    <x v="12"/>
    <x v="1952"/>
    <x v="0"/>
    <s v="Melissaville"/>
    <x v="3"/>
    <n v="47.4"/>
    <n v="85"/>
    <x v="0"/>
    <x v="2"/>
    <s v="UK, India"/>
    <n v="270"/>
    <s v="High"/>
    <s v="Good"/>
  </r>
  <r>
    <x v="9"/>
    <x v="13"/>
    <x v="1953"/>
    <x v="0"/>
    <s v="East Jessica"/>
    <x v="4"/>
    <n v="33.49"/>
    <n v="92"/>
    <x v="4"/>
    <x v="1"/>
    <s v="India"/>
    <n v="92"/>
    <s v="Medium"/>
    <s v="Excellent"/>
  </r>
  <r>
    <x v="4"/>
    <x v="5"/>
    <x v="1954"/>
    <x v="0"/>
    <s v="Wilsonborough"/>
    <x v="4"/>
    <n v="29.07"/>
    <n v="61"/>
    <x v="1"/>
    <x v="0"/>
    <s v="USA"/>
    <n v="117"/>
    <s v="Medium"/>
    <s v="Average"/>
  </r>
  <r>
    <x v="6"/>
    <x v="14"/>
    <x v="1955"/>
    <x v="0"/>
    <s v="Hughesbury"/>
    <x v="2"/>
    <n v="14.68"/>
    <n v="52"/>
    <x v="0"/>
    <x v="1"/>
    <s v="USA, France"/>
    <n v="201"/>
    <s v="Low"/>
    <s v="Average"/>
  </r>
  <r>
    <x v="9"/>
    <x v="16"/>
    <x v="1956"/>
    <x v="1"/>
    <s v="Huffport"/>
    <x v="0"/>
    <n v="7.06"/>
    <n v="68"/>
    <x v="0"/>
    <x v="2"/>
    <s v="Japan, Germany"/>
    <n v="227"/>
    <s v="Low"/>
    <s v="Average"/>
  </r>
  <r>
    <x v="1"/>
    <x v="11"/>
    <x v="1957"/>
    <x v="1"/>
    <s v="Susanbury"/>
    <x v="4"/>
    <n v="43.5"/>
    <n v="67"/>
    <x v="2"/>
    <x v="1"/>
    <s v="USA, UK"/>
    <n v="200"/>
    <s v="High"/>
    <s v="Average"/>
  </r>
  <r>
    <x v="0"/>
    <x v="8"/>
    <x v="1958"/>
    <x v="1"/>
    <s v="North Williamside"/>
    <x v="2"/>
    <n v="6.22"/>
    <n v="86"/>
    <x v="0"/>
    <x v="1"/>
    <s v="UK, France"/>
    <n v="189"/>
    <s v="Low"/>
    <s v="Good"/>
  </r>
  <r>
    <x v="6"/>
    <x v="21"/>
    <x v="1959"/>
    <x v="0"/>
    <s v="Bonillatown"/>
    <x v="4"/>
    <n v="27.93"/>
    <n v="96"/>
    <x v="0"/>
    <x v="0"/>
    <s v="India"/>
    <n v="365"/>
    <s v="Medium"/>
    <s v="Excellent"/>
  </r>
  <r>
    <x v="9"/>
    <x v="12"/>
    <x v="1960"/>
    <x v="1"/>
    <s v="Port Derekville"/>
    <x v="0"/>
    <n v="8.8800000000000008"/>
    <n v="52"/>
    <x v="0"/>
    <x v="1"/>
    <s v="India"/>
    <n v="229"/>
    <s v="Low"/>
    <s v="Average"/>
  </r>
  <r>
    <x v="6"/>
    <x v="20"/>
    <x v="1961"/>
    <x v="0"/>
    <s v="Andersonchester"/>
    <x v="2"/>
    <n v="18.600000000000001"/>
    <n v="96"/>
    <x v="3"/>
    <x v="0"/>
    <s v="China"/>
    <n v="216"/>
    <s v="Medium"/>
    <s v="Excellent"/>
  </r>
  <r>
    <x v="7"/>
    <x v="1"/>
    <x v="1962"/>
    <x v="0"/>
    <s v="Port Dawnchester"/>
    <x v="0"/>
    <n v="16.93"/>
    <n v="100"/>
    <x v="3"/>
    <x v="1"/>
    <s v="Israel, India, USA"/>
    <n v="208"/>
    <s v="Medium"/>
    <s v="Excellent"/>
  </r>
  <r>
    <x v="9"/>
    <x v="6"/>
    <x v="1963"/>
    <x v="0"/>
    <s v="Ericaport"/>
    <x v="3"/>
    <n v="5.97"/>
    <n v="90"/>
    <x v="0"/>
    <x v="1"/>
    <s v="France, Russia"/>
    <n v="346"/>
    <s v="Low"/>
    <s v="Excellent"/>
  </r>
  <r>
    <x v="7"/>
    <x v="2"/>
    <x v="1964"/>
    <x v="0"/>
    <s v="Ronaldberg"/>
    <x v="2"/>
    <n v="23.59"/>
    <n v="100"/>
    <x v="3"/>
    <x v="2"/>
    <s v="Israel, UAE, China"/>
    <n v="325"/>
    <s v="Medium"/>
    <s v="Excellent"/>
  </r>
  <r>
    <x v="9"/>
    <x v="16"/>
    <x v="1965"/>
    <x v="0"/>
    <s v="South Ashleyville"/>
    <x v="2"/>
    <n v="43.1"/>
    <n v="94"/>
    <x v="4"/>
    <x v="2"/>
    <s v="India, France"/>
    <n v="225"/>
    <s v="High"/>
    <s v="Excellent"/>
  </r>
  <r>
    <x v="6"/>
    <x v="1"/>
    <x v="1966"/>
    <x v="0"/>
    <s v="Lake Williamstad"/>
    <x v="4"/>
    <n v="27.93"/>
    <n v="50"/>
    <x v="2"/>
    <x v="1"/>
    <s v="Germany"/>
    <n v="353"/>
    <s v="Medium"/>
    <s v="Average"/>
  </r>
  <r>
    <x v="3"/>
    <x v="11"/>
    <x v="1967"/>
    <x v="1"/>
    <s v="West Gregoryburgh"/>
    <x v="2"/>
    <n v="18.28"/>
    <n v="50"/>
    <x v="3"/>
    <x v="2"/>
    <s v="Israel, UK, UAE"/>
    <n v="169"/>
    <s v="Medium"/>
    <s v="Average"/>
  </r>
  <r>
    <x v="4"/>
    <x v="16"/>
    <x v="1968"/>
    <x v="1"/>
    <s v="Millerland"/>
    <x v="3"/>
    <n v="13.63"/>
    <n v="87"/>
    <x v="1"/>
    <x v="2"/>
    <s v="Israel, Japan, Germany"/>
    <n v="100"/>
    <s v="Low"/>
    <s v="Good"/>
  </r>
  <r>
    <x v="3"/>
    <x v="22"/>
    <x v="1969"/>
    <x v="1"/>
    <s v="Port Jennifer"/>
    <x v="1"/>
    <n v="18.5"/>
    <n v="68"/>
    <x v="2"/>
    <x v="0"/>
    <s v="Israel"/>
    <n v="288"/>
    <s v="Medium"/>
    <s v="Average"/>
  </r>
  <r>
    <x v="7"/>
    <x v="7"/>
    <x v="1970"/>
    <x v="0"/>
    <s v="South Jessicaton"/>
    <x v="2"/>
    <n v="27.79"/>
    <n v="80"/>
    <x v="2"/>
    <x v="2"/>
    <s v="UAE, USA, Israel"/>
    <n v="307"/>
    <s v="Medium"/>
    <s v="Good"/>
  </r>
  <r>
    <x v="5"/>
    <x v="7"/>
    <x v="1971"/>
    <x v="0"/>
    <s v="Gonzalezhaven"/>
    <x v="0"/>
    <n v="2.72"/>
    <n v="73"/>
    <x v="1"/>
    <x v="2"/>
    <s v="Russia"/>
    <n v="37"/>
    <s v="Low"/>
    <s v="Average"/>
  </r>
  <r>
    <x v="8"/>
    <x v="6"/>
    <x v="1972"/>
    <x v="0"/>
    <s v="North Karenfurt"/>
    <x v="3"/>
    <n v="13.91"/>
    <n v="78"/>
    <x v="3"/>
    <x v="2"/>
    <s v="Israel, France"/>
    <n v="322"/>
    <s v="Low"/>
    <s v="Good"/>
  </r>
  <r>
    <x v="8"/>
    <x v="15"/>
    <x v="1973"/>
    <x v="1"/>
    <s v="Cynthiamouth"/>
    <x v="2"/>
    <n v="43.3"/>
    <n v="50"/>
    <x v="0"/>
    <x v="0"/>
    <s v="UK, UAE"/>
    <n v="22"/>
    <s v="High"/>
    <s v="Average"/>
  </r>
  <r>
    <x v="8"/>
    <x v="14"/>
    <x v="1974"/>
    <x v="0"/>
    <s v="Lake Sandra"/>
    <x v="2"/>
    <n v="42.35"/>
    <n v="78"/>
    <x v="3"/>
    <x v="0"/>
    <s v="China, Israel, Japan"/>
    <n v="306"/>
    <s v="High"/>
    <s v="Good"/>
  </r>
  <r>
    <x v="3"/>
    <x v="0"/>
    <x v="1975"/>
    <x v="1"/>
    <s v="Daviesmouth"/>
    <x v="2"/>
    <n v="33.47"/>
    <n v="80"/>
    <x v="1"/>
    <x v="2"/>
    <s v="UAE, India"/>
    <n v="334"/>
    <s v="Medium"/>
    <s v="Good"/>
  </r>
  <r>
    <x v="7"/>
    <x v="18"/>
    <x v="1976"/>
    <x v="0"/>
    <s v="Port James"/>
    <x v="0"/>
    <n v="37.76"/>
    <n v="66"/>
    <x v="0"/>
    <x v="2"/>
    <s v="Germany"/>
    <n v="73"/>
    <s v="High"/>
    <s v="Average"/>
  </r>
  <r>
    <x v="7"/>
    <x v="21"/>
    <x v="1977"/>
    <x v="1"/>
    <s v="Lake Brett"/>
    <x v="1"/>
    <n v="34.65"/>
    <n v="72"/>
    <x v="4"/>
    <x v="2"/>
    <s v="USA"/>
    <n v="63"/>
    <s v="Medium"/>
    <s v="Average"/>
  </r>
  <r>
    <x v="0"/>
    <x v="11"/>
    <x v="1978"/>
    <x v="0"/>
    <s v="New Matthewport"/>
    <x v="2"/>
    <n v="12.56"/>
    <n v="87"/>
    <x v="1"/>
    <x v="1"/>
    <s v="UK, Russia"/>
    <n v="69"/>
    <s v="Low"/>
    <s v="Good"/>
  </r>
  <r>
    <x v="7"/>
    <x v="3"/>
    <x v="1979"/>
    <x v="0"/>
    <s v="West Lisa"/>
    <x v="1"/>
    <n v="1.46"/>
    <n v="60"/>
    <x v="1"/>
    <x v="2"/>
    <s v="Japan, Russia"/>
    <n v="240"/>
    <s v="Low"/>
    <s v="Average"/>
  </r>
  <r>
    <x v="8"/>
    <x v="24"/>
    <x v="1980"/>
    <x v="1"/>
    <s v="West Cynthia"/>
    <x v="2"/>
    <n v="12.93"/>
    <n v="54"/>
    <x v="3"/>
    <x v="2"/>
    <s v="China, Japan"/>
    <n v="5"/>
    <s v="Low"/>
    <s v="Average"/>
  </r>
  <r>
    <x v="0"/>
    <x v="24"/>
    <x v="1981"/>
    <x v="1"/>
    <s v="New Reneeside"/>
    <x v="0"/>
    <n v="18.13"/>
    <n v="58"/>
    <x v="4"/>
    <x v="0"/>
    <s v="China, Germany"/>
    <n v="40"/>
    <s v="Medium"/>
    <s v="Average"/>
  </r>
  <r>
    <x v="6"/>
    <x v="15"/>
    <x v="1982"/>
    <x v="0"/>
    <s v="Joelville"/>
    <x v="1"/>
    <n v="29.86"/>
    <n v="71"/>
    <x v="3"/>
    <x v="1"/>
    <s v="Russia, Japan, UK"/>
    <n v="181"/>
    <s v="Medium"/>
    <s v="Average"/>
  </r>
  <r>
    <x v="4"/>
    <x v="11"/>
    <x v="1983"/>
    <x v="1"/>
    <s v="Port Tarafort"/>
    <x v="4"/>
    <n v="45.34"/>
    <n v="66"/>
    <x v="0"/>
    <x v="0"/>
    <s v="Israel, Russia, France"/>
    <n v="70"/>
    <s v="High"/>
    <s v="Average"/>
  </r>
  <r>
    <x v="6"/>
    <x v="7"/>
    <x v="1984"/>
    <x v="0"/>
    <s v="West Angel"/>
    <x v="2"/>
    <n v="11.81"/>
    <n v="65"/>
    <x v="1"/>
    <x v="0"/>
    <s v="China, India"/>
    <n v="250"/>
    <s v="Low"/>
    <s v="Average"/>
  </r>
  <r>
    <x v="6"/>
    <x v="21"/>
    <x v="1985"/>
    <x v="0"/>
    <s v="Taylorfort"/>
    <x v="3"/>
    <n v="4.3899999999999997"/>
    <n v="73"/>
    <x v="4"/>
    <x v="1"/>
    <s v="UAE"/>
    <n v="158"/>
    <s v="Low"/>
    <s v="Average"/>
  </r>
  <r>
    <x v="5"/>
    <x v="18"/>
    <x v="1986"/>
    <x v="0"/>
    <s v="New Samanthamouth"/>
    <x v="4"/>
    <n v="11.71"/>
    <n v="100"/>
    <x v="1"/>
    <x v="2"/>
    <s v="UAE, UK"/>
    <n v="61"/>
    <s v="Low"/>
    <s v="Excellent"/>
  </r>
  <r>
    <x v="2"/>
    <x v="9"/>
    <x v="1987"/>
    <x v="0"/>
    <s v="Lindseyburgh"/>
    <x v="3"/>
    <n v="35.229999999999997"/>
    <n v="50"/>
    <x v="1"/>
    <x v="2"/>
    <s v="UAE, Israel"/>
    <n v="238"/>
    <s v="High"/>
    <s v="Average"/>
  </r>
  <r>
    <x v="8"/>
    <x v="18"/>
    <x v="1988"/>
    <x v="0"/>
    <s v="South Susanborough"/>
    <x v="2"/>
    <n v="31.04"/>
    <n v="78"/>
    <x v="1"/>
    <x v="0"/>
    <s v="Israel, France"/>
    <n v="81"/>
    <s v="Medium"/>
    <s v="Good"/>
  </r>
  <r>
    <x v="0"/>
    <x v="23"/>
    <x v="1989"/>
    <x v="0"/>
    <s v="North Adrienneport"/>
    <x v="3"/>
    <n v="2.1"/>
    <n v="86"/>
    <x v="0"/>
    <x v="2"/>
    <s v="India, China"/>
    <n v="80"/>
    <s v="Low"/>
    <s v="Good"/>
  </r>
  <r>
    <x v="5"/>
    <x v="13"/>
    <x v="1990"/>
    <x v="1"/>
    <s v="Port Anthonyland"/>
    <x v="1"/>
    <n v="24.63"/>
    <n v="87"/>
    <x v="2"/>
    <x v="2"/>
    <s v="UK, Japan, Israel"/>
    <n v="330"/>
    <s v="Medium"/>
    <s v="Good"/>
  </r>
  <r>
    <x v="6"/>
    <x v="14"/>
    <x v="1991"/>
    <x v="0"/>
    <s v="New Connie"/>
    <x v="2"/>
    <n v="46.2"/>
    <n v="94"/>
    <x v="3"/>
    <x v="0"/>
    <s v="Russia, UAE"/>
    <n v="249"/>
    <s v="High"/>
    <s v="Excellent"/>
  </r>
  <r>
    <x v="0"/>
    <x v="20"/>
    <x v="1992"/>
    <x v="1"/>
    <s v="East Jennifer"/>
    <x v="0"/>
    <n v="10.18"/>
    <n v="79"/>
    <x v="4"/>
    <x v="2"/>
    <s v="USA, UK, China"/>
    <n v="1"/>
    <s v="Low"/>
    <s v="Good"/>
  </r>
  <r>
    <x v="5"/>
    <x v="22"/>
    <x v="1993"/>
    <x v="1"/>
    <s v="Goodmanberg"/>
    <x v="1"/>
    <n v="25.22"/>
    <n v="92"/>
    <x v="0"/>
    <x v="2"/>
    <s v="USA"/>
    <n v="25"/>
    <s v="Medium"/>
    <s v="Excellent"/>
  </r>
  <r>
    <x v="1"/>
    <x v="10"/>
    <x v="1994"/>
    <x v="0"/>
    <s v="Michaelton"/>
    <x v="0"/>
    <n v="46.08"/>
    <n v="60"/>
    <x v="3"/>
    <x v="0"/>
    <s v="China, Russia, Germany"/>
    <n v="320"/>
    <s v="High"/>
    <s v="Average"/>
  </r>
  <r>
    <x v="4"/>
    <x v="16"/>
    <x v="1995"/>
    <x v="1"/>
    <s v="New Lisa"/>
    <x v="3"/>
    <n v="25.09"/>
    <n v="76"/>
    <x v="1"/>
    <x v="1"/>
    <s v="UAE, France"/>
    <n v="56"/>
    <s v="Medium"/>
    <s v="Good"/>
  </r>
  <r>
    <x v="9"/>
    <x v="2"/>
    <x v="1996"/>
    <x v="1"/>
    <s v="Robertport"/>
    <x v="2"/>
    <n v="1.73"/>
    <n v="78"/>
    <x v="4"/>
    <x v="0"/>
    <s v="Germany, UK, USA"/>
    <n v="243"/>
    <s v="Low"/>
    <s v="Good"/>
  </r>
  <r>
    <x v="2"/>
    <x v="19"/>
    <x v="1997"/>
    <x v="0"/>
    <s v="West Deborahstad"/>
    <x v="2"/>
    <n v="43.28"/>
    <n v="80"/>
    <x v="2"/>
    <x v="1"/>
    <s v="France, USA, Israel"/>
    <n v="240"/>
    <s v="High"/>
    <s v="Good"/>
  </r>
  <r>
    <x v="6"/>
    <x v="10"/>
    <x v="1998"/>
    <x v="0"/>
    <s v="Crystalstad"/>
    <x v="0"/>
    <n v="4.67"/>
    <n v="57"/>
    <x v="0"/>
    <x v="1"/>
    <s v="India, USA"/>
    <n v="239"/>
    <s v="Low"/>
    <s v="Average"/>
  </r>
  <r>
    <x v="6"/>
    <x v="5"/>
    <x v="1999"/>
    <x v="0"/>
    <s v="Suzanneville"/>
    <x v="4"/>
    <n v="9.7200000000000006"/>
    <n v="84"/>
    <x v="3"/>
    <x v="0"/>
    <s v="Russia"/>
    <n v="212"/>
    <s v="Low"/>
    <s v="Good"/>
  </r>
  <r>
    <x v="5"/>
    <x v="25"/>
    <x v="2000"/>
    <x v="0"/>
    <s v="West Williamshire"/>
    <x v="2"/>
    <n v="9.43"/>
    <n v="71"/>
    <x v="3"/>
    <x v="1"/>
    <s v="France"/>
    <n v="132"/>
    <s v="Low"/>
    <s v="Average"/>
  </r>
  <r>
    <x v="8"/>
    <x v="12"/>
    <x v="2001"/>
    <x v="0"/>
    <s v="Michaelstad"/>
    <x v="1"/>
    <n v="49.5"/>
    <n v="93"/>
    <x v="3"/>
    <x v="0"/>
    <s v="UAE"/>
    <n v="197"/>
    <s v="High"/>
    <s v="Excellent"/>
  </r>
  <r>
    <x v="6"/>
    <x v="12"/>
    <x v="2002"/>
    <x v="1"/>
    <s v="Jacksonton"/>
    <x v="4"/>
    <n v="21.2"/>
    <n v="56"/>
    <x v="4"/>
    <x v="1"/>
    <s v="India"/>
    <n v="14"/>
    <s v="Medium"/>
    <s v="Average"/>
  </r>
  <r>
    <x v="6"/>
    <x v="9"/>
    <x v="2003"/>
    <x v="0"/>
    <s v="Port Frances"/>
    <x v="2"/>
    <n v="3.75"/>
    <n v="83"/>
    <x v="3"/>
    <x v="2"/>
    <s v="Germany, China, France"/>
    <n v="17"/>
    <s v="Low"/>
    <s v="Good"/>
  </r>
  <r>
    <x v="3"/>
    <x v="7"/>
    <x v="2004"/>
    <x v="0"/>
    <s v="Gregoryland"/>
    <x v="2"/>
    <n v="18.8"/>
    <n v="68"/>
    <x v="2"/>
    <x v="1"/>
    <s v="India, Israel, USA"/>
    <n v="59"/>
    <s v="Medium"/>
    <s v="Average"/>
  </r>
  <r>
    <x v="9"/>
    <x v="16"/>
    <x v="2005"/>
    <x v="0"/>
    <s v="West Jennifer"/>
    <x v="3"/>
    <n v="15.27"/>
    <n v="70"/>
    <x v="3"/>
    <x v="1"/>
    <s v="USA, India, Japan"/>
    <n v="310"/>
    <s v="Medium"/>
    <s v="Average"/>
  </r>
  <r>
    <x v="0"/>
    <x v="14"/>
    <x v="2006"/>
    <x v="1"/>
    <s v="Warrenburgh"/>
    <x v="2"/>
    <n v="42.33"/>
    <n v="53"/>
    <x v="0"/>
    <x v="2"/>
    <s v="India"/>
    <n v="180"/>
    <s v="High"/>
    <s v="Average"/>
  </r>
  <r>
    <x v="3"/>
    <x v="1"/>
    <x v="2007"/>
    <x v="1"/>
    <s v="North Brian"/>
    <x v="1"/>
    <n v="34.979999999999997"/>
    <n v="59"/>
    <x v="0"/>
    <x v="2"/>
    <s v="India, UAE"/>
    <n v="22"/>
    <s v="Medium"/>
    <s v="Average"/>
  </r>
  <r>
    <x v="3"/>
    <x v="5"/>
    <x v="2008"/>
    <x v="1"/>
    <s v="Lake Sarah"/>
    <x v="0"/>
    <n v="7.34"/>
    <n v="96"/>
    <x v="1"/>
    <x v="1"/>
    <s v="UK, Russia, Japan"/>
    <n v="44"/>
    <s v="Low"/>
    <s v="Excellent"/>
  </r>
  <r>
    <x v="4"/>
    <x v="21"/>
    <x v="2009"/>
    <x v="1"/>
    <s v="New Richardton"/>
    <x v="3"/>
    <n v="42.6"/>
    <n v="81"/>
    <x v="2"/>
    <x v="2"/>
    <s v="France"/>
    <n v="304"/>
    <s v="High"/>
    <s v="Good"/>
  </r>
  <r>
    <x v="3"/>
    <x v="18"/>
    <x v="2010"/>
    <x v="0"/>
    <s v="Nicholeport"/>
    <x v="0"/>
    <n v="24.05"/>
    <n v="100"/>
    <x v="0"/>
    <x v="2"/>
    <s v="UK"/>
    <n v="311"/>
    <s v="Medium"/>
    <s v="Excellent"/>
  </r>
  <r>
    <x v="7"/>
    <x v="2"/>
    <x v="2011"/>
    <x v="1"/>
    <s v="North Diamond"/>
    <x v="1"/>
    <n v="45.1"/>
    <n v="81"/>
    <x v="1"/>
    <x v="0"/>
    <s v="Russia, UK, France"/>
    <n v="355"/>
    <s v="High"/>
    <s v="Good"/>
  </r>
  <r>
    <x v="4"/>
    <x v="2"/>
    <x v="2012"/>
    <x v="0"/>
    <s v="Garciachester"/>
    <x v="0"/>
    <n v="19.78"/>
    <n v="96"/>
    <x v="3"/>
    <x v="0"/>
    <s v="Japan, China, Germany"/>
    <n v="308"/>
    <s v="Medium"/>
    <s v="Excellent"/>
  </r>
  <r>
    <x v="6"/>
    <x v="6"/>
    <x v="2013"/>
    <x v="0"/>
    <s v="Matthewland"/>
    <x v="0"/>
    <n v="17.329999999999998"/>
    <n v="68"/>
    <x v="1"/>
    <x v="0"/>
    <s v="UAE, Israel"/>
    <n v="323"/>
    <s v="Medium"/>
    <s v="Average"/>
  </r>
  <r>
    <x v="9"/>
    <x v="8"/>
    <x v="2014"/>
    <x v="1"/>
    <s v="East Kara"/>
    <x v="0"/>
    <n v="38.94"/>
    <n v="63"/>
    <x v="0"/>
    <x v="1"/>
    <s v="India, Japan, Germany"/>
    <n v="76"/>
    <s v="High"/>
    <s v="Average"/>
  </r>
  <r>
    <x v="8"/>
    <x v="4"/>
    <x v="2015"/>
    <x v="1"/>
    <s v="Kimberlyhaven"/>
    <x v="3"/>
    <n v="18.03"/>
    <n v="81"/>
    <x v="0"/>
    <x v="2"/>
    <s v="China"/>
    <n v="188"/>
    <s v="Medium"/>
    <s v="Good"/>
  </r>
  <r>
    <x v="2"/>
    <x v="15"/>
    <x v="2016"/>
    <x v="0"/>
    <s v="Bowersshire"/>
    <x v="1"/>
    <n v="16.98"/>
    <n v="72"/>
    <x v="4"/>
    <x v="2"/>
    <s v="France"/>
    <n v="237"/>
    <s v="Medium"/>
    <s v="Average"/>
  </r>
  <r>
    <x v="2"/>
    <x v="23"/>
    <x v="2017"/>
    <x v="0"/>
    <s v="Kathrynview"/>
    <x v="0"/>
    <n v="12.94"/>
    <n v="83"/>
    <x v="2"/>
    <x v="1"/>
    <s v="USA, Israel"/>
    <n v="249"/>
    <s v="Low"/>
    <s v="Good"/>
  </r>
  <r>
    <x v="1"/>
    <x v="2"/>
    <x v="2018"/>
    <x v="1"/>
    <s v="East Angela"/>
    <x v="3"/>
    <n v="45.63"/>
    <n v="91"/>
    <x v="4"/>
    <x v="0"/>
    <s v="Japan, USA"/>
    <n v="205"/>
    <s v="High"/>
    <s v="Excellent"/>
  </r>
  <r>
    <x v="6"/>
    <x v="25"/>
    <x v="2019"/>
    <x v="1"/>
    <s v="Keithshire"/>
    <x v="4"/>
    <n v="24.42"/>
    <n v="61"/>
    <x v="1"/>
    <x v="1"/>
    <s v="Japan"/>
    <n v="288"/>
    <s v="Medium"/>
    <s v="Average"/>
  </r>
  <r>
    <x v="8"/>
    <x v="20"/>
    <x v="2020"/>
    <x v="0"/>
    <s v="Port Jennifer"/>
    <x v="1"/>
    <n v="4.0199999999999996"/>
    <n v="98"/>
    <x v="4"/>
    <x v="2"/>
    <s v="China"/>
    <n v="236"/>
    <s v="Low"/>
    <s v="Excellent"/>
  </r>
  <r>
    <x v="3"/>
    <x v="8"/>
    <x v="2021"/>
    <x v="1"/>
    <s v="Grahammouth"/>
    <x v="3"/>
    <n v="49.1"/>
    <n v="57"/>
    <x v="3"/>
    <x v="2"/>
    <s v="India"/>
    <n v="330"/>
    <s v="High"/>
    <s v="Average"/>
  </r>
  <r>
    <x v="7"/>
    <x v="15"/>
    <x v="2022"/>
    <x v="0"/>
    <s v="Brownland"/>
    <x v="1"/>
    <n v="44.64"/>
    <n v="100"/>
    <x v="0"/>
    <x v="1"/>
    <s v="India, USA, France"/>
    <n v="305"/>
    <s v="High"/>
    <s v="Excellent"/>
  </r>
  <r>
    <x v="8"/>
    <x v="13"/>
    <x v="2023"/>
    <x v="0"/>
    <s v="Port Christian"/>
    <x v="4"/>
    <n v="45.65"/>
    <n v="97"/>
    <x v="1"/>
    <x v="1"/>
    <s v="India, Russia"/>
    <n v="121"/>
    <s v="High"/>
    <s v="Excellent"/>
  </r>
  <r>
    <x v="9"/>
    <x v="10"/>
    <x v="2024"/>
    <x v="1"/>
    <s v="Port Jasonton"/>
    <x v="3"/>
    <n v="11.82"/>
    <n v="54"/>
    <x v="4"/>
    <x v="1"/>
    <s v="China"/>
    <n v="364"/>
    <s v="Low"/>
    <s v="Average"/>
  </r>
  <r>
    <x v="4"/>
    <x v="5"/>
    <x v="2025"/>
    <x v="0"/>
    <s v="Stephenston"/>
    <x v="4"/>
    <n v="21.67"/>
    <n v="94"/>
    <x v="2"/>
    <x v="0"/>
    <s v="Russia, USA, China"/>
    <n v="311"/>
    <s v="Medium"/>
    <s v="Excellent"/>
  </r>
  <r>
    <x v="5"/>
    <x v="17"/>
    <x v="2026"/>
    <x v="1"/>
    <s v="Thomasmouth"/>
    <x v="4"/>
    <n v="47.53"/>
    <n v="71"/>
    <x v="1"/>
    <x v="1"/>
    <s v="Germany, France"/>
    <n v="345"/>
    <s v="High"/>
    <s v="Average"/>
  </r>
  <r>
    <x v="8"/>
    <x v="22"/>
    <x v="2027"/>
    <x v="0"/>
    <s v="Jacquelinemouth"/>
    <x v="3"/>
    <n v="10.99"/>
    <n v="68"/>
    <x v="4"/>
    <x v="2"/>
    <s v="UK, Israel, Germany"/>
    <n v="84"/>
    <s v="Low"/>
    <s v="Average"/>
  </r>
  <r>
    <x v="2"/>
    <x v="10"/>
    <x v="2028"/>
    <x v="1"/>
    <s v="West Trevorhaven"/>
    <x v="3"/>
    <n v="16.260000000000002"/>
    <n v="71"/>
    <x v="1"/>
    <x v="2"/>
    <s v="Russia, Israel"/>
    <n v="167"/>
    <s v="Medium"/>
    <s v="Average"/>
  </r>
  <r>
    <x v="0"/>
    <x v="14"/>
    <x v="2029"/>
    <x v="0"/>
    <s v="Port Tammymouth"/>
    <x v="3"/>
    <n v="7.5"/>
    <n v="99"/>
    <x v="0"/>
    <x v="1"/>
    <s v="Japan, France"/>
    <n v="130"/>
    <s v="Low"/>
    <s v="Excellent"/>
  </r>
  <r>
    <x v="5"/>
    <x v="4"/>
    <x v="2030"/>
    <x v="1"/>
    <s v="Ianburgh"/>
    <x v="2"/>
    <n v="5.93"/>
    <n v="58"/>
    <x v="2"/>
    <x v="2"/>
    <s v="Russia, UK, Japan"/>
    <n v="111"/>
    <s v="Low"/>
    <s v="Average"/>
  </r>
  <r>
    <x v="3"/>
    <x v="19"/>
    <x v="2031"/>
    <x v="1"/>
    <s v="Patrickshire"/>
    <x v="2"/>
    <n v="16.510000000000002"/>
    <n v="69"/>
    <x v="1"/>
    <x v="0"/>
    <s v="USA, Russia"/>
    <n v="347"/>
    <s v="Medium"/>
    <s v="Average"/>
  </r>
  <r>
    <x v="4"/>
    <x v="3"/>
    <x v="2032"/>
    <x v="0"/>
    <s v="Williamsport"/>
    <x v="4"/>
    <n v="37.71"/>
    <n v="61"/>
    <x v="3"/>
    <x v="0"/>
    <s v="Russia, UK, France"/>
    <n v="45"/>
    <s v="High"/>
    <s v="Average"/>
  </r>
  <r>
    <x v="7"/>
    <x v="14"/>
    <x v="2033"/>
    <x v="0"/>
    <s v="South Misty"/>
    <x v="0"/>
    <n v="5.56"/>
    <n v="54"/>
    <x v="4"/>
    <x v="1"/>
    <s v="India, Japan, Germany"/>
    <n v="343"/>
    <s v="Low"/>
    <s v="Average"/>
  </r>
  <r>
    <x v="0"/>
    <x v="11"/>
    <x v="2034"/>
    <x v="1"/>
    <s v="Lake Richard"/>
    <x v="2"/>
    <n v="45.58"/>
    <n v="67"/>
    <x v="1"/>
    <x v="2"/>
    <s v="India, UK, China"/>
    <n v="262"/>
    <s v="High"/>
    <s v="Average"/>
  </r>
  <r>
    <x v="5"/>
    <x v="3"/>
    <x v="2035"/>
    <x v="0"/>
    <s v="Danielleshire"/>
    <x v="1"/>
    <n v="14.86"/>
    <n v="70"/>
    <x v="0"/>
    <x v="1"/>
    <s v="India"/>
    <n v="365"/>
    <s v="Low"/>
    <s v="Average"/>
  </r>
  <r>
    <x v="8"/>
    <x v="16"/>
    <x v="2036"/>
    <x v="1"/>
    <s v="Bowersfurt"/>
    <x v="2"/>
    <n v="45.47"/>
    <n v="58"/>
    <x v="4"/>
    <x v="0"/>
    <s v="France, India"/>
    <n v="274"/>
    <s v="High"/>
    <s v="Average"/>
  </r>
  <r>
    <x v="0"/>
    <x v="6"/>
    <x v="2037"/>
    <x v="0"/>
    <s v="Clarkestad"/>
    <x v="4"/>
    <n v="44.64"/>
    <n v="95"/>
    <x v="1"/>
    <x v="2"/>
    <s v="Germany, Israel, India"/>
    <n v="221"/>
    <s v="High"/>
    <s v="Excellent"/>
  </r>
  <r>
    <x v="7"/>
    <x v="6"/>
    <x v="2038"/>
    <x v="0"/>
    <s v="East Erin"/>
    <x v="4"/>
    <n v="25.79"/>
    <n v="91"/>
    <x v="0"/>
    <x v="1"/>
    <s v="Russia, China"/>
    <n v="251"/>
    <s v="Medium"/>
    <s v="Excellent"/>
  </r>
  <r>
    <x v="0"/>
    <x v="21"/>
    <x v="2039"/>
    <x v="0"/>
    <s v="West Joshua"/>
    <x v="2"/>
    <n v="31.97"/>
    <n v="69"/>
    <x v="3"/>
    <x v="0"/>
    <s v="UK, India"/>
    <n v="206"/>
    <s v="Medium"/>
    <s v="Average"/>
  </r>
  <r>
    <x v="8"/>
    <x v="2"/>
    <x v="2040"/>
    <x v="1"/>
    <s v="Lake Ernestport"/>
    <x v="3"/>
    <n v="23.78"/>
    <n v="54"/>
    <x v="3"/>
    <x v="0"/>
    <s v="Japan"/>
    <n v="59"/>
    <s v="Medium"/>
    <s v="Average"/>
  </r>
  <r>
    <x v="6"/>
    <x v="0"/>
    <x v="2041"/>
    <x v="1"/>
    <s v="New James"/>
    <x v="3"/>
    <n v="30.96"/>
    <n v="76"/>
    <x v="4"/>
    <x v="1"/>
    <s v="Japan"/>
    <n v="212"/>
    <s v="Medium"/>
    <s v="Good"/>
  </r>
  <r>
    <x v="4"/>
    <x v="25"/>
    <x v="2042"/>
    <x v="1"/>
    <s v="Tinastad"/>
    <x v="4"/>
    <n v="30.85"/>
    <n v="89"/>
    <x v="2"/>
    <x v="1"/>
    <s v="Japan"/>
    <n v="332"/>
    <s v="Medium"/>
    <s v="Good"/>
  </r>
  <r>
    <x v="7"/>
    <x v="23"/>
    <x v="2043"/>
    <x v="1"/>
    <s v="West Veronica"/>
    <x v="1"/>
    <n v="8.9600000000000009"/>
    <n v="73"/>
    <x v="0"/>
    <x v="2"/>
    <s v="India"/>
    <n v="280"/>
    <s v="Low"/>
    <s v="Average"/>
  </r>
  <r>
    <x v="0"/>
    <x v="0"/>
    <x v="2044"/>
    <x v="1"/>
    <s v="Jordanburgh"/>
    <x v="0"/>
    <n v="8.86"/>
    <n v="57"/>
    <x v="0"/>
    <x v="1"/>
    <s v="UK, Japan, Israel"/>
    <n v="110"/>
    <s v="Low"/>
    <s v="Average"/>
  </r>
  <r>
    <x v="4"/>
    <x v="21"/>
    <x v="2045"/>
    <x v="0"/>
    <s v="Belltown"/>
    <x v="2"/>
    <n v="28.27"/>
    <n v="70"/>
    <x v="4"/>
    <x v="2"/>
    <s v="USA, Germany, China"/>
    <n v="78"/>
    <s v="Medium"/>
    <s v="Average"/>
  </r>
  <r>
    <x v="0"/>
    <x v="7"/>
    <x v="2046"/>
    <x v="1"/>
    <s v="North Bailey"/>
    <x v="0"/>
    <n v="42.48"/>
    <n v="81"/>
    <x v="2"/>
    <x v="1"/>
    <s v="UK, Russia, UAE"/>
    <n v="339"/>
    <s v="High"/>
    <s v="Good"/>
  </r>
  <r>
    <x v="7"/>
    <x v="14"/>
    <x v="2047"/>
    <x v="1"/>
    <s v="Carlamouth"/>
    <x v="0"/>
    <n v="11.14"/>
    <n v="62"/>
    <x v="1"/>
    <x v="0"/>
    <s v="Germany"/>
    <n v="61"/>
    <s v="Low"/>
    <s v="Average"/>
  </r>
  <r>
    <x v="9"/>
    <x v="9"/>
    <x v="2048"/>
    <x v="0"/>
    <s v="Hernandezchester"/>
    <x v="0"/>
    <n v="7.45"/>
    <n v="56"/>
    <x v="4"/>
    <x v="2"/>
    <s v="Russia"/>
    <n v="287"/>
    <s v="Low"/>
    <s v="Average"/>
  </r>
  <r>
    <x v="4"/>
    <x v="16"/>
    <x v="2049"/>
    <x v="1"/>
    <s v="Collierview"/>
    <x v="3"/>
    <n v="32.19"/>
    <n v="59"/>
    <x v="0"/>
    <x v="2"/>
    <s v="Russia, Israel, UAE"/>
    <n v="31"/>
    <s v="Medium"/>
    <s v="Average"/>
  </r>
  <r>
    <x v="3"/>
    <x v="5"/>
    <x v="2050"/>
    <x v="0"/>
    <s v="Duncanland"/>
    <x v="2"/>
    <n v="16.010000000000002"/>
    <n v="79"/>
    <x v="3"/>
    <x v="0"/>
    <s v="UAE"/>
    <n v="47"/>
    <s v="Medium"/>
    <s v="Good"/>
  </r>
  <r>
    <x v="0"/>
    <x v="3"/>
    <x v="2051"/>
    <x v="0"/>
    <s v="West Tim"/>
    <x v="2"/>
    <n v="32.67"/>
    <n v="61"/>
    <x v="4"/>
    <x v="1"/>
    <s v="Germany"/>
    <n v="137"/>
    <s v="Medium"/>
    <s v="Average"/>
  </r>
  <r>
    <x v="0"/>
    <x v="17"/>
    <x v="2052"/>
    <x v="0"/>
    <s v="Williambury"/>
    <x v="0"/>
    <n v="26.76"/>
    <n v="75"/>
    <x v="3"/>
    <x v="1"/>
    <s v="UAE"/>
    <n v="136"/>
    <s v="Medium"/>
    <s v="Good"/>
  </r>
  <r>
    <x v="3"/>
    <x v="12"/>
    <x v="2053"/>
    <x v="0"/>
    <s v="Lake Joseph"/>
    <x v="1"/>
    <n v="44.34"/>
    <n v="50"/>
    <x v="3"/>
    <x v="1"/>
    <s v="China, India"/>
    <n v="101"/>
    <s v="High"/>
    <s v="Average"/>
  </r>
  <r>
    <x v="1"/>
    <x v="7"/>
    <x v="2054"/>
    <x v="0"/>
    <s v="South Ashley"/>
    <x v="1"/>
    <n v="45.07"/>
    <n v="78"/>
    <x v="1"/>
    <x v="0"/>
    <s v="India"/>
    <n v="297"/>
    <s v="High"/>
    <s v="Good"/>
  </r>
  <r>
    <x v="0"/>
    <x v="20"/>
    <x v="2055"/>
    <x v="0"/>
    <s v="New Jamie"/>
    <x v="2"/>
    <n v="2.48"/>
    <n v="72"/>
    <x v="3"/>
    <x v="0"/>
    <s v="Russia"/>
    <n v="364"/>
    <s v="Low"/>
    <s v="Average"/>
  </r>
  <r>
    <x v="0"/>
    <x v="20"/>
    <x v="2056"/>
    <x v="0"/>
    <s v="New Tina"/>
    <x v="0"/>
    <n v="29.2"/>
    <n v="92"/>
    <x v="4"/>
    <x v="2"/>
    <s v="Russia, UK, Germany"/>
    <n v="225"/>
    <s v="Medium"/>
    <s v="Excellent"/>
  </r>
  <r>
    <x v="7"/>
    <x v="10"/>
    <x v="2057"/>
    <x v="0"/>
    <s v="Jamesberg"/>
    <x v="3"/>
    <n v="34.17"/>
    <n v="63"/>
    <x v="3"/>
    <x v="1"/>
    <s v="Israel, UK"/>
    <n v="125"/>
    <s v="Medium"/>
    <s v="Average"/>
  </r>
  <r>
    <x v="9"/>
    <x v="17"/>
    <x v="2058"/>
    <x v="1"/>
    <s v="East Mark"/>
    <x v="0"/>
    <n v="9.2100000000000009"/>
    <n v="67"/>
    <x v="4"/>
    <x v="2"/>
    <s v="UAE"/>
    <n v="247"/>
    <s v="Low"/>
    <s v="Average"/>
  </r>
  <r>
    <x v="1"/>
    <x v="13"/>
    <x v="2059"/>
    <x v="1"/>
    <s v="East Rickshire"/>
    <x v="4"/>
    <n v="30.28"/>
    <n v="52"/>
    <x v="0"/>
    <x v="0"/>
    <s v="UAE, USA, Japan"/>
    <n v="246"/>
    <s v="Medium"/>
    <s v="Average"/>
  </r>
  <r>
    <x v="2"/>
    <x v="5"/>
    <x v="2060"/>
    <x v="0"/>
    <s v="Leefort"/>
    <x v="0"/>
    <n v="35.630000000000003"/>
    <n v="72"/>
    <x v="0"/>
    <x v="1"/>
    <s v="UK, France"/>
    <n v="226"/>
    <s v="High"/>
    <s v="Average"/>
  </r>
  <r>
    <x v="3"/>
    <x v="20"/>
    <x v="2061"/>
    <x v="0"/>
    <s v="West Jamesview"/>
    <x v="3"/>
    <n v="32.22"/>
    <n v="64"/>
    <x v="4"/>
    <x v="0"/>
    <s v="Israel, France, UAE"/>
    <n v="258"/>
    <s v="Medium"/>
    <s v="Average"/>
  </r>
  <r>
    <x v="8"/>
    <x v="7"/>
    <x v="2062"/>
    <x v="0"/>
    <s v="Kathrynshire"/>
    <x v="4"/>
    <n v="18.95"/>
    <n v="66"/>
    <x v="2"/>
    <x v="0"/>
    <s v="Germany, UAE"/>
    <n v="80"/>
    <s v="Medium"/>
    <s v="Average"/>
  </r>
  <r>
    <x v="7"/>
    <x v="6"/>
    <x v="2063"/>
    <x v="0"/>
    <s v="Jameschester"/>
    <x v="4"/>
    <n v="40.85"/>
    <n v="65"/>
    <x v="2"/>
    <x v="0"/>
    <s v="USA, UAE, Germany"/>
    <n v="345"/>
    <s v="High"/>
    <s v="Average"/>
  </r>
  <r>
    <x v="1"/>
    <x v="9"/>
    <x v="2064"/>
    <x v="1"/>
    <s v="Isabelberg"/>
    <x v="4"/>
    <n v="5.41"/>
    <n v="80"/>
    <x v="2"/>
    <x v="1"/>
    <s v="UAE"/>
    <n v="358"/>
    <s v="Low"/>
    <s v="Good"/>
  </r>
  <r>
    <x v="8"/>
    <x v="24"/>
    <x v="2065"/>
    <x v="0"/>
    <s v="Victortown"/>
    <x v="1"/>
    <n v="36.82"/>
    <n v="92"/>
    <x v="3"/>
    <x v="0"/>
    <s v="USA, UK, Russia"/>
    <n v="40"/>
    <s v="High"/>
    <s v="Excellent"/>
  </r>
  <r>
    <x v="0"/>
    <x v="22"/>
    <x v="2066"/>
    <x v="1"/>
    <s v="Daisyport"/>
    <x v="4"/>
    <n v="43.6"/>
    <n v="61"/>
    <x v="2"/>
    <x v="2"/>
    <s v="Israel"/>
    <n v="149"/>
    <s v="High"/>
    <s v="Average"/>
  </r>
  <r>
    <x v="7"/>
    <x v="24"/>
    <x v="2067"/>
    <x v="1"/>
    <s v="East Bruce"/>
    <x v="1"/>
    <n v="17.25"/>
    <n v="73"/>
    <x v="2"/>
    <x v="0"/>
    <s v="USA"/>
    <n v="157"/>
    <s v="Medium"/>
    <s v="Average"/>
  </r>
  <r>
    <x v="6"/>
    <x v="25"/>
    <x v="2068"/>
    <x v="0"/>
    <s v="Darrylborough"/>
    <x v="4"/>
    <n v="27.73"/>
    <n v="80"/>
    <x v="2"/>
    <x v="1"/>
    <s v="Israel"/>
    <n v="340"/>
    <s v="Medium"/>
    <s v="Good"/>
  </r>
  <r>
    <x v="9"/>
    <x v="6"/>
    <x v="2069"/>
    <x v="0"/>
    <s v="West John"/>
    <x v="4"/>
    <n v="31.7"/>
    <n v="65"/>
    <x v="4"/>
    <x v="1"/>
    <s v="France"/>
    <n v="61"/>
    <s v="Medium"/>
    <s v="Average"/>
  </r>
  <r>
    <x v="9"/>
    <x v="6"/>
    <x v="2070"/>
    <x v="0"/>
    <s v="Kaylaview"/>
    <x v="1"/>
    <n v="8.32"/>
    <n v="84"/>
    <x v="4"/>
    <x v="1"/>
    <s v="Russia"/>
    <n v="172"/>
    <s v="Low"/>
    <s v="Good"/>
  </r>
  <r>
    <x v="1"/>
    <x v="18"/>
    <x v="2071"/>
    <x v="1"/>
    <s v="Port Megan"/>
    <x v="1"/>
    <n v="13.88"/>
    <n v="62"/>
    <x v="4"/>
    <x v="2"/>
    <s v="India, Russia"/>
    <n v="189"/>
    <s v="Low"/>
    <s v="Average"/>
  </r>
  <r>
    <x v="5"/>
    <x v="21"/>
    <x v="2072"/>
    <x v="0"/>
    <s v="Robbinsstad"/>
    <x v="2"/>
    <n v="6.82"/>
    <n v="79"/>
    <x v="3"/>
    <x v="2"/>
    <s v="Japan"/>
    <n v="60"/>
    <s v="Low"/>
    <s v="Good"/>
  </r>
  <r>
    <x v="2"/>
    <x v="12"/>
    <x v="2073"/>
    <x v="0"/>
    <s v="Port Stephen"/>
    <x v="2"/>
    <n v="0.96"/>
    <n v="90"/>
    <x v="2"/>
    <x v="1"/>
    <s v="China, Russia, UK"/>
    <n v="225"/>
    <s v="Low"/>
    <s v="Excellent"/>
  </r>
  <r>
    <x v="6"/>
    <x v="0"/>
    <x v="2074"/>
    <x v="1"/>
    <s v="Gardnerside"/>
    <x v="0"/>
    <n v="36.17"/>
    <n v="93"/>
    <x v="1"/>
    <x v="1"/>
    <s v="UK, China, UAE"/>
    <n v="101"/>
    <s v="High"/>
    <s v="Excellent"/>
  </r>
  <r>
    <x v="0"/>
    <x v="13"/>
    <x v="2075"/>
    <x v="1"/>
    <s v="West Cory"/>
    <x v="2"/>
    <n v="29.7"/>
    <n v="99"/>
    <x v="2"/>
    <x v="0"/>
    <s v="USA"/>
    <n v="100"/>
    <s v="Medium"/>
    <s v="Excellent"/>
  </r>
  <r>
    <x v="6"/>
    <x v="9"/>
    <x v="2076"/>
    <x v="0"/>
    <s v="Youngfort"/>
    <x v="1"/>
    <n v="9.58"/>
    <n v="95"/>
    <x v="0"/>
    <x v="2"/>
    <s v="USA, Japan"/>
    <n v="56"/>
    <s v="Low"/>
    <s v="Excellent"/>
  </r>
  <r>
    <x v="2"/>
    <x v="15"/>
    <x v="2077"/>
    <x v="0"/>
    <s v="New Steven"/>
    <x v="1"/>
    <n v="29.84"/>
    <n v="52"/>
    <x v="3"/>
    <x v="0"/>
    <s v="India, UK"/>
    <n v="270"/>
    <s v="Medium"/>
    <s v="Average"/>
  </r>
  <r>
    <x v="7"/>
    <x v="12"/>
    <x v="2078"/>
    <x v="0"/>
    <s v="Savannahchester"/>
    <x v="4"/>
    <n v="8.34"/>
    <n v="60"/>
    <x v="3"/>
    <x v="0"/>
    <s v="UK, India"/>
    <n v="206"/>
    <s v="Low"/>
    <s v="Average"/>
  </r>
  <r>
    <x v="9"/>
    <x v="12"/>
    <x v="2079"/>
    <x v="0"/>
    <s v="Rubenmouth"/>
    <x v="4"/>
    <n v="48.37"/>
    <n v="73"/>
    <x v="3"/>
    <x v="0"/>
    <s v="China, UK"/>
    <n v="279"/>
    <s v="High"/>
    <s v="Average"/>
  </r>
  <r>
    <x v="2"/>
    <x v="20"/>
    <x v="2080"/>
    <x v="0"/>
    <s v="Skinnerstad"/>
    <x v="4"/>
    <n v="19.600000000000001"/>
    <n v="52"/>
    <x v="1"/>
    <x v="2"/>
    <s v="Japan"/>
    <n v="233"/>
    <s v="Medium"/>
    <s v="Average"/>
  </r>
  <r>
    <x v="0"/>
    <x v="0"/>
    <x v="2081"/>
    <x v="0"/>
    <s v="Foxton"/>
    <x v="0"/>
    <n v="39.549999999999997"/>
    <n v="86"/>
    <x v="0"/>
    <x v="0"/>
    <s v="Germany, USA"/>
    <n v="238"/>
    <s v="High"/>
    <s v="Good"/>
  </r>
  <r>
    <x v="4"/>
    <x v="13"/>
    <x v="2082"/>
    <x v="1"/>
    <s v="Port Danielberg"/>
    <x v="4"/>
    <n v="26.83"/>
    <n v="89"/>
    <x v="2"/>
    <x v="1"/>
    <s v="Japan, USA"/>
    <n v="72"/>
    <s v="Medium"/>
    <s v="Good"/>
  </r>
  <r>
    <x v="6"/>
    <x v="15"/>
    <x v="2083"/>
    <x v="0"/>
    <s v="East Sheila"/>
    <x v="3"/>
    <n v="13.52"/>
    <n v="100"/>
    <x v="0"/>
    <x v="1"/>
    <s v="USA, UAE"/>
    <n v="180"/>
    <s v="Low"/>
    <s v="Excellent"/>
  </r>
  <r>
    <x v="7"/>
    <x v="9"/>
    <x v="2084"/>
    <x v="0"/>
    <s v="West Brandonfurt"/>
    <x v="0"/>
    <n v="3.29"/>
    <n v="70"/>
    <x v="3"/>
    <x v="0"/>
    <s v="UK, Germany"/>
    <n v="116"/>
    <s v="Low"/>
    <s v="Average"/>
  </r>
  <r>
    <x v="8"/>
    <x v="14"/>
    <x v="2085"/>
    <x v="1"/>
    <s v="South Edwardton"/>
    <x v="0"/>
    <n v="28.69"/>
    <n v="91"/>
    <x v="4"/>
    <x v="0"/>
    <s v="Israel, UK, USA"/>
    <n v="128"/>
    <s v="Medium"/>
    <s v="Excellent"/>
  </r>
  <r>
    <x v="9"/>
    <x v="1"/>
    <x v="2086"/>
    <x v="0"/>
    <s v="Barronberg"/>
    <x v="2"/>
    <n v="26.38"/>
    <n v="89"/>
    <x v="0"/>
    <x v="1"/>
    <s v="Israel, USA, UK"/>
    <n v="229"/>
    <s v="Medium"/>
    <s v="Good"/>
  </r>
  <r>
    <x v="5"/>
    <x v="23"/>
    <x v="2087"/>
    <x v="1"/>
    <s v="Scottshire"/>
    <x v="3"/>
    <n v="45.89"/>
    <n v="91"/>
    <x v="2"/>
    <x v="1"/>
    <s v="Japan, India, France"/>
    <n v="220"/>
    <s v="High"/>
    <s v="Excellent"/>
  </r>
  <r>
    <x v="7"/>
    <x v="24"/>
    <x v="2088"/>
    <x v="0"/>
    <s v="North Shanemouth"/>
    <x v="2"/>
    <n v="40.89"/>
    <n v="90"/>
    <x v="1"/>
    <x v="1"/>
    <s v="UAE, Russia"/>
    <n v="63"/>
    <s v="High"/>
    <s v="Excellent"/>
  </r>
  <r>
    <x v="0"/>
    <x v="11"/>
    <x v="2089"/>
    <x v="1"/>
    <s v="Port Damonfort"/>
    <x v="3"/>
    <n v="19.649999999999999"/>
    <n v="72"/>
    <x v="2"/>
    <x v="0"/>
    <s v="India, UAE"/>
    <n v="22"/>
    <s v="Medium"/>
    <s v="Average"/>
  </r>
  <r>
    <x v="3"/>
    <x v="20"/>
    <x v="2090"/>
    <x v="1"/>
    <s v="North Dillon"/>
    <x v="0"/>
    <n v="38.5"/>
    <n v="89"/>
    <x v="4"/>
    <x v="2"/>
    <s v="Russia, Japan"/>
    <n v="71"/>
    <s v="High"/>
    <s v="Good"/>
  </r>
  <r>
    <x v="3"/>
    <x v="7"/>
    <x v="2091"/>
    <x v="1"/>
    <s v="Blackland"/>
    <x v="1"/>
    <n v="41.3"/>
    <n v="97"/>
    <x v="2"/>
    <x v="0"/>
    <s v="Israel, India, France"/>
    <n v="297"/>
    <s v="High"/>
    <s v="Excellent"/>
  </r>
  <r>
    <x v="8"/>
    <x v="17"/>
    <x v="2092"/>
    <x v="0"/>
    <s v="New Brett"/>
    <x v="1"/>
    <n v="45.47"/>
    <n v="90"/>
    <x v="1"/>
    <x v="0"/>
    <s v="India, Japan, UK"/>
    <n v="267"/>
    <s v="High"/>
    <s v="Excellent"/>
  </r>
  <r>
    <x v="4"/>
    <x v="17"/>
    <x v="2093"/>
    <x v="1"/>
    <s v="West Jeffreyport"/>
    <x v="2"/>
    <n v="29.73"/>
    <n v="92"/>
    <x v="3"/>
    <x v="0"/>
    <s v="India, Japan"/>
    <n v="17"/>
    <s v="Medium"/>
    <s v="Excellent"/>
  </r>
  <r>
    <x v="4"/>
    <x v="9"/>
    <x v="2094"/>
    <x v="0"/>
    <s v="Grahamland"/>
    <x v="1"/>
    <n v="49.15"/>
    <n v="57"/>
    <x v="0"/>
    <x v="1"/>
    <s v="Germany, UAE, Israel"/>
    <n v="304"/>
    <s v="High"/>
    <s v="Average"/>
  </r>
  <r>
    <x v="5"/>
    <x v="1"/>
    <x v="2095"/>
    <x v="0"/>
    <s v="New Jackchester"/>
    <x v="3"/>
    <n v="44.14"/>
    <n v="68"/>
    <x v="1"/>
    <x v="2"/>
    <s v="India, China"/>
    <n v="48"/>
    <s v="High"/>
    <s v="Average"/>
  </r>
  <r>
    <x v="8"/>
    <x v="9"/>
    <x v="2096"/>
    <x v="0"/>
    <s v="Port Cody"/>
    <x v="2"/>
    <n v="9.33"/>
    <n v="93"/>
    <x v="3"/>
    <x v="0"/>
    <s v="Japan, Israel, France"/>
    <n v="80"/>
    <s v="Low"/>
    <s v="Excellent"/>
  </r>
  <r>
    <x v="4"/>
    <x v="20"/>
    <x v="2097"/>
    <x v="1"/>
    <s v="South Nicholas"/>
    <x v="0"/>
    <n v="49.75"/>
    <n v="90"/>
    <x v="4"/>
    <x v="1"/>
    <s v="Russia"/>
    <n v="314"/>
    <s v="High"/>
    <s v="Excellent"/>
  </r>
  <r>
    <x v="5"/>
    <x v="2"/>
    <x v="2098"/>
    <x v="0"/>
    <s v="New Bob"/>
    <x v="2"/>
    <n v="28.1"/>
    <n v="64"/>
    <x v="4"/>
    <x v="1"/>
    <s v="UAE"/>
    <n v="258"/>
    <s v="Medium"/>
    <s v="Average"/>
  </r>
  <r>
    <x v="0"/>
    <x v="2"/>
    <x v="2099"/>
    <x v="0"/>
    <s v="Bradfordside"/>
    <x v="1"/>
    <n v="10.130000000000001"/>
    <n v="77"/>
    <x v="0"/>
    <x v="0"/>
    <s v="Japan"/>
    <n v="145"/>
    <s v="Low"/>
    <s v="Good"/>
  </r>
  <r>
    <x v="0"/>
    <x v="18"/>
    <x v="2100"/>
    <x v="1"/>
    <s v="Lake Anneberg"/>
    <x v="2"/>
    <n v="11.86"/>
    <n v="94"/>
    <x v="0"/>
    <x v="1"/>
    <s v="UK, Russia"/>
    <n v="233"/>
    <s v="Low"/>
    <s v="Excellent"/>
  </r>
  <r>
    <x v="7"/>
    <x v="0"/>
    <x v="2101"/>
    <x v="1"/>
    <s v="Christinabury"/>
    <x v="2"/>
    <n v="26.4"/>
    <n v="59"/>
    <x v="2"/>
    <x v="2"/>
    <s v="Russia"/>
    <n v="133"/>
    <s v="Medium"/>
    <s v="Average"/>
  </r>
  <r>
    <x v="3"/>
    <x v="4"/>
    <x v="2102"/>
    <x v="0"/>
    <s v="Knightshire"/>
    <x v="0"/>
    <n v="24.09"/>
    <n v="83"/>
    <x v="3"/>
    <x v="2"/>
    <s v="China, Japan, USA"/>
    <n v="50"/>
    <s v="Medium"/>
    <s v="Good"/>
  </r>
  <r>
    <x v="1"/>
    <x v="22"/>
    <x v="2103"/>
    <x v="1"/>
    <s v="Rodriguezbury"/>
    <x v="1"/>
    <n v="29.95"/>
    <n v="57"/>
    <x v="4"/>
    <x v="1"/>
    <s v="Germany"/>
    <n v="303"/>
    <s v="Medium"/>
    <s v="Average"/>
  </r>
  <r>
    <x v="2"/>
    <x v="9"/>
    <x v="2104"/>
    <x v="1"/>
    <s v="Sabrinamouth"/>
    <x v="4"/>
    <n v="36.090000000000003"/>
    <n v="98"/>
    <x v="2"/>
    <x v="0"/>
    <s v="India"/>
    <n v="197"/>
    <s v="High"/>
    <s v="Excellent"/>
  </r>
  <r>
    <x v="2"/>
    <x v="16"/>
    <x v="2105"/>
    <x v="0"/>
    <s v="Stephanieside"/>
    <x v="3"/>
    <n v="19.829999999999998"/>
    <n v="59"/>
    <x v="4"/>
    <x v="1"/>
    <s v="UAE"/>
    <n v="85"/>
    <s v="Medium"/>
    <s v="Average"/>
  </r>
  <r>
    <x v="2"/>
    <x v="23"/>
    <x v="2106"/>
    <x v="1"/>
    <s v="Warrenton"/>
    <x v="4"/>
    <n v="18.2"/>
    <n v="63"/>
    <x v="1"/>
    <x v="0"/>
    <s v="China"/>
    <n v="9"/>
    <s v="Medium"/>
    <s v="Average"/>
  </r>
  <r>
    <x v="9"/>
    <x v="15"/>
    <x v="2107"/>
    <x v="1"/>
    <s v="Ayersmouth"/>
    <x v="1"/>
    <n v="40.47"/>
    <n v="56"/>
    <x v="0"/>
    <x v="1"/>
    <s v="Russia"/>
    <n v="122"/>
    <s v="High"/>
    <s v="Average"/>
  </r>
  <r>
    <x v="3"/>
    <x v="20"/>
    <x v="2108"/>
    <x v="1"/>
    <s v="Lake Davidstad"/>
    <x v="4"/>
    <n v="6.87"/>
    <n v="50"/>
    <x v="0"/>
    <x v="0"/>
    <s v="China"/>
    <n v="126"/>
    <s v="Low"/>
    <s v="Average"/>
  </r>
  <r>
    <x v="2"/>
    <x v="21"/>
    <x v="2109"/>
    <x v="1"/>
    <s v="Port Roy"/>
    <x v="2"/>
    <n v="26.89"/>
    <n v="67"/>
    <x v="1"/>
    <x v="0"/>
    <s v="India, China"/>
    <n v="327"/>
    <s v="Medium"/>
    <s v="Average"/>
  </r>
  <r>
    <x v="3"/>
    <x v="5"/>
    <x v="2110"/>
    <x v="1"/>
    <s v="Lindsayfurt"/>
    <x v="3"/>
    <n v="31.99"/>
    <n v="83"/>
    <x v="4"/>
    <x v="2"/>
    <s v="UAE, Russia"/>
    <n v="186"/>
    <s v="Medium"/>
    <s v="Good"/>
  </r>
  <r>
    <x v="1"/>
    <x v="11"/>
    <x v="2111"/>
    <x v="1"/>
    <s v="Grantberg"/>
    <x v="0"/>
    <n v="13.49"/>
    <n v="70"/>
    <x v="3"/>
    <x v="2"/>
    <s v="Israel, Germany"/>
    <n v="82"/>
    <s v="Low"/>
    <s v="Average"/>
  </r>
  <r>
    <x v="4"/>
    <x v="12"/>
    <x v="2112"/>
    <x v="0"/>
    <s v="South Dennismouth"/>
    <x v="4"/>
    <n v="32.14"/>
    <n v="98"/>
    <x v="1"/>
    <x v="0"/>
    <s v="Japan, UK"/>
    <n v="342"/>
    <s v="Medium"/>
    <s v="Excellent"/>
  </r>
  <r>
    <x v="1"/>
    <x v="10"/>
    <x v="2113"/>
    <x v="1"/>
    <s v="Thomasside"/>
    <x v="3"/>
    <n v="5.68"/>
    <n v="80"/>
    <x v="3"/>
    <x v="1"/>
    <s v="UAE"/>
    <n v="285"/>
    <s v="Low"/>
    <s v="Good"/>
  </r>
  <r>
    <x v="8"/>
    <x v="9"/>
    <x v="2114"/>
    <x v="1"/>
    <s v="North Danielleland"/>
    <x v="3"/>
    <n v="37.11"/>
    <n v="89"/>
    <x v="2"/>
    <x v="1"/>
    <s v="China"/>
    <n v="157"/>
    <s v="High"/>
    <s v="Good"/>
  </r>
  <r>
    <x v="9"/>
    <x v="7"/>
    <x v="2115"/>
    <x v="0"/>
    <s v="Jamesshire"/>
    <x v="4"/>
    <n v="43.6"/>
    <n v="96"/>
    <x v="3"/>
    <x v="2"/>
    <s v="Japan, India, Israel"/>
    <n v="247"/>
    <s v="High"/>
    <s v="Excellent"/>
  </r>
  <r>
    <x v="1"/>
    <x v="12"/>
    <x v="2116"/>
    <x v="1"/>
    <s v="Joshuaside"/>
    <x v="4"/>
    <n v="30.59"/>
    <n v="96"/>
    <x v="2"/>
    <x v="2"/>
    <s v="Germany"/>
    <n v="21"/>
    <s v="Medium"/>
    <s v="Excellent"/>
  </r>
  <r>
    <x v="8"/>
    <x v="2"/>
    <x v="2117"/>
    <x v="0"/>
    <s v="Holdentown"/>
    <x v="0"/>
    <n v="16.329999999999998"/>
    <n v="68"/>
    <x v="1"/>
    <x v="2"/>
    <s v="India"/>
    <n v="329"/>
    <s v="Medium"/>
    <s v="Average"/>
  </r>
  <r>
    <x v="1"/>
    <x v="2"/>
    <x v="2118"/>
    <x v="0"/>
    <s v="South Davidton"/>
    <x v="0"/>
    <n v="33.659999999999997"/>
    <n v="58"/>
    <x v="4"/>
    <x v="2"/>
    <s v="Japan"/>
    <n v="150"/>
    <s v="Medium"/>
    <s v="Average"/>
  </r>
  <r>
    <x v="7"/>
    <x v="11"/>
    <x v="2119"/>
    <x v="1"/>
    <s v="Nicholsberg"/>
    <x v="2"/>
    <n v="47.48"/>
    <n v="91"/>
    <x v="2"/>
    <x v="1"/>
    <s v="Japan"/>
    <n v="8"/>
    <s v="High"/>
    <s v="Excellent"/>
  </r>
  <r>
    <x v="5"/>
    <x v="17"/>
    <x v="2120"/>
    <x v="0"/>
    <s v="Palmerburgh"/>
    <x v="0"/>
    <n v="5.84"/>
    <n v="81"/>
    <x v="0"/>
    <x v="2"/>
    <s v="Germany"/>
    <n v="160"/>
    <s v="Low"/>
    <s v="Good"/>
  </r>
  <r>
    <x v="1"/>
    <x v="21"/>
    <x v="2121"/>
    <x v="1"/>
    <s v="Sanchezburgh"/>
    <x v="4"/>
    <n v="28.2"/>
    <n v="85"/>
    <x v="0"/>
    <x v="0"/>
    <s v="UK"/>
    <n v="243"/>
    <s v="Medium"/>
    <s v="Good"/>
  </r>
  <r>
    <x v="2"/>
    <x v="1"/>
    <x v="2122"/>
    <x v="1"/>
    <s v="Brittanyfort"/>
    <x v="1"/>
    <n v="17.93"/>
    <n v="68"/>
    <x v="0"/>
    <x v="0"/>
    <s v="UK, Japan"/>
    <n v="21"/>
    <s v="Medium"/>
    <s v="Average"/>
  </r>
  <r>
    <x v="7"/>
    <x v="13"/>
    <x v="2123"/>
    <x v="0"/>
    <s v="New Justin"/>
    <x v="1"/>
    <n v="9.6999999999999993"/>
    <n v="70"/>
    <x v="2"/>
    <x v="0"/>
    <s v="Japan, Russia"/>
    <n v="224"/>
    <s v="Low"/>
    <s v="Average"/>
  </r>
  <r>
    <x v="1"/>
    <x v="23"/>
    <x v="2124"/>
    <x v="1"/>
    <s v="Lake Christopherview"/>
    <x v="4"/>
    <n v="20.51"/>
    <n v="69"/>
    <x v="3"/>
    <x v="0"/>
    <s v="India, Germany"/>
    <n v="284"/>
    <s v="Medium"/>
    <s v="Average"/>
  </r>
  <r>
    <x v="0"/>
    <x v="17"/>
    <x v="2125"/>
    <x v="1"/>
    <s v="New Austinfurt"/>
    <x v="0"/>
    <n v="4.59"/>
    <n v="52"/>
    <x v="3"/>
    <x v="0"/>
    <s v="India"/>
    <n v="140"/>
    <s v="Low"/>
    <s v="Average"/>
  </r>
  <r>
    <x v="9"/>
    <x v="17"/>
    <x v="2126"/>
    <x v="0"/>
    <s v="Franciscostad"/>
    <x v="3"/>
    <n v="28.36"/>
    <n v="70"/>
    <x v="3"/>
    <x v="1"/>
    <s v="UAE"/>
    <n v="307"/>
    <s v="Medium"/>
    <s v="Average"/>
  </r>
  <r>
    <x v="0"/>
    <x v="8"/>
    <x v="2127"/>
    <x v="1"/>
    <s v="West Shannonview"/>
    <x v="1"/>
    <n v="3.6"/>
    <n v="87"/>
    <x v="1"/>
    <x v="0"/>
    <s v="Russia"/>
    <n v="76"/>
    <s v="Low"/>
    <s v="Good"/>
  </r>
  <r>
    <x v="3"/>
    <x v="8"/>
    <x v="2128"/>
    <x v="1"/>
    <s v="South Jasontown"/>
    <x v="4"/>
    <n v="25.36"/>
    <n v="85"/>
    <x v="3"/>
    <x v="0"/>
    <s v="Israel, Russia"/>
    <n v="302"/>
    <s v="Medium"/>
    <s v="Good"/>
  </r>
  <r>
    <x v="0"/>
    <x v="4"/>
    <x v="2129"/>
    <x v="1"/>
    <s v="Port Michael"/>
    <x v="1"/>
    <n v="46.7"/>
    <n v="97"/>
    <x v="1"/>
    <x v="2"/>
    <s v="Russia, France"/>
    <n v="213"/>
    <s v="High"/>
    <s v="Excellent"/>
  </r>
  <r>
    <x v="6"/>
    <x v="21"/>
    <x v="2130"/>
    <x v="1"/>
    <s v="Normanfort"/>
    <x v="4"/>
    <n v="1.1000000000000001"/>
    <n v="93"/>
    <x v="3"/>
    <x v="2"/>
    <s v="UAE, UK, Israel"/>
    <n v="12"/>
    <s v="Low"/>
    <s v="Excellent"/>
  </r>
  <r>
    <x v="3"/>
    <x v="5"/>
    <x v="2131"/>
    <x v="1"/>
    <s v="Port Sarah"/>
    <x v="2"/>
    <n v="12.63"/>
    <n v="96"/>
    <x v="1"/>
    <x v="2"/>
    <s v="Germany"/>
    <n v="123"/>
    <s v="Low"/>
    <s v="Excellent"/>
  </r>
  <r>
    <x v="6"/>
    <x v="25"/>
    <x v="2132"/>
    <x v="0"/>
    <s v="Port Brittany"/>
    <x v="0"/>
    <n v="41.37"/>
    <n v="87"/>
    <x v="0"/>
    <x v="1"/>
    <s v="China"/>
    <n v="344"/>
    <s v="High"/>
    <s v="Good"/>
  </r>
  <r>
    <x v="7"/>
    <x v="22"/>
    <x v="2133"/>
    <x v="1"/>
    <s v="New Cheryl"/>
    <x v="2"/>
    <n v="30.85"/>
    <n v="89"/>
    <x v="3"/>
    <x v="0"/>
    <s v="Germany"/>
    <n v="105"/>
    <s v="Medium"/>
    <s v="Good"/>
  </r>
  <r>
    <x v="7"/>
    <x v="19"/>
    <x v="1913"/>
    <x v="0"/>
    <s v="Port Christopher"/>
    <x v="0"/>
    <n v="8.73"/>
    <n v="54"/>
    <x v="2"/>
    <x v="0"/>
    <s v="Germany"/>
    <n v="145"/>
    <s v="Low"/>
    <s v="Average"/>
  </r>
  <r>
    <x v="6"/>
    <x v="12"/>
    <x v="2134"/>
    <x v="0"/>
    <s v="Wrightshire"/>
    <x v="2"/>
    <n v="42.92"/>
    <n v="100"/>
    <x v="4"/>
    <x v="2"/>
    <s v="Russia, UAE, China"/>
    <n v="218"/>
    <s v="High"/>
    <s v="Excellent"/>
  </r>
  <r>
    <x v="6"/>
    <x v="21"/>
    <x v="2135"/>
    <x v="0"/>
    <s v="Carterbury"/>
    <x v="2"/>
    <n v="2.2799999999999998"/>
    <n v="88"/>
    <x v="3"/>
    <x v="1"/>
    <s v="Russia"/>
    <n v="317"/>
    <s v="Low"/>
    <s v="Good"/>
  </r>
  <r>
    <x v="9"/>
    <x v="8"/>
    <x v="2136"/>
    <x v="1"/>
    <s v="Richardfort"/>
    <x v="1"/>
    <n v="3.82"/>
    <n v="69"/>
    <x v="1"/>
    <x v="2"/>
    <s v="Israel, UAE, France"/>
    <n v="203"/>
    <s v="Low"/>
    <s v="Average"/>
  </r>
  <r>
    <x v="4"/>
    <x v="25"/>
    <x v="2137"/>
    <x v="0"/>
    <s v="West Tammy"/>
    <x v="3"/>
    <n v="25.5"/>
    <n v="89"/>
    <x v="4"/>
    <x v="2"/>
    <s v="China, Japan"/>
    <n v="234"/>
    <s v="Medium"/>
    <s v="Good"/>
  </r>
  <r>
    <x v="5"/>
    <x v="24"/>
    <x v="2138"/>
    <x v="0"/>
    <s v="Garciaport"/>
    <x v="1"/>
    <n v="41.16"/>
    <n v="63"/>
    <x v="0"/>
    <x v="0"/>
    <s v="Russia, Israel, Japan"/>
    <n v="180"/>
    <s v="High"/>
    <s v="Average"/>
  </r>
  <r>
    <x v="8"/>
    <x v="18"/>
    <x v="2139"/>
    <x v="0"/>
    <s v="South Matthew"/>
    <x v="3"/>
    <n v="4.29"/>
    <n v="81"/>
    <x v="2"/>
    <x v="0"/>
    <s v="Israel, China, UK"/>
    <n v="241"/>
    <s v="Low"/>
    <s v="Good"/>
  </r>
  <r>
    <x v="7"/>
    <x v="17"/>
    <x v="2140"/>
    <x v="1"/>
    <s v="Davidtown"/>
    <x v="2"/>
    <n v="4.83"/>
    <n v="83"/>
    <x v="4"/>
    <x v="0"/>
    <s v="UK, USA"/>
    <n v="114"/>
    <s v="Low"/>
    <s v="Good"/>
  </r>
  <r>
    <x v="9"/>
    <x v="20"/>
    <x v="2141"/>
    <x v="1"/>
    <s v="East Haleymouth"/>
    <x v="3"/>
    <n v="23.08"/>
    <n v="52"/>
    <x v="2"/>
    <x v="1"/>
    <s v="Russia, UK"/>
    <n v="357"/>
    <s v="Medium"/>
    <s v="Average"/>
  </r>
  <r>
    <x v="1"/>
    <x v="17"/>
    <x v="2142"/>
    <x v="0"/>
    <s v="South Karen"/>
    <x v="2"/>
    <n v="8"/>
    <n v="94"/>
    <x v="4"/>
    <x v="0"/>
    <s v="Russia, France, Japan"/>
    <n v="300"/>
    <s v="Low"/>
    <s v="Excellent"/>
  </r>
  <r>
    <x v="4"/>
    <x v="23"/>
    <x v="2143"/>
    <x v="0"/>
    <s v="Carrieland"/>
    <x v="3"/>
    <n v="11.67"/>
    <n v="78"/>
    <x v="0"/>
    <x v="1"/>
    <s v="Japan"/>
    <n v="180"/>
    <s v="Low"/>
    <s v="Good"/>
  </r>
  <r>
    <x v="0"/>
    <x v="22"/>
    <x v="2144"/>
    <x v="0"/>
    <s v="Lake Crystal"/>
    <x v="0"/>
    <n v="43.17"/>
    <n v="62"/>
    <x v="4"/>
    <x v="1"/>
    <s v="Germany, Japan"/>
    <n v="306"/>
    <s v="High"/>
    <s v="Average"/>
  </r>
  <r>
    <x v="2"/>
    <x v="25"/>
    <x v="2145"/>
    <x v="0"/>
    <s v="South Kyleborough"/>
    <x v="4"/>
    <n v="6.13"/>
    <n v="98"/>
    <x v="3"/>
    <x v="1"/>
    <s v="UAE, India, USA"/>
    <n v="162"/>
    <s v="Low"/>
    <s v="Excellent"/>
  </r>
  <r>
    <x v="0"/>
    <x v="19"/>
    <x v="2146"/>
    <x v="0"/>
    <s v="Jacobview"/>
    <x v="3"/>
    <n v="27"/>
    <n v="77"/>
    <x v="4"/>
    <x v="2"/>
    <s v="China, USA"/>
    <n v="307"/>
    <s v="Medium"/>
    <s v="Good"/>
  </r>
  <r>
    <x v="4"/>
    <x v="4"/>
    <x v="2147"/>
    <x v="0"/>
    <s v="Lake Wendymouth"/>
    <x v="0"/>
    <n v="27.75"/>
    <n v="90"/>
    <x v="4"/>
    <x v="2"/>
    <s v="China, Israel"/>
    <n v="69"/>
    <s v="Medium"/>
    <s v="Excellent"/>
  </r>
  <r>
    <x v="9"/>
    <x v="21"/>
    <x v="2148"/>
    <x v="0"/>
    <s v="North Theresamouth"/>
    <x v="1"/>
    <n v="36.090000000000003"/>
    <n v="83"/>
    <x v="4"/>
    <x v="0"/>
    <s v="France"/>
    <n v="94"/>
    <s v="High"/>
    <s v="Good"/>
  </r>
  <r>
    <x v="1"/>
    <x v="8"/>
    <x v="2149"/>
    <x v="1"/>
    <s v="Lake Adam"/>
    <x v="3"/>
    <n v="16.77"/>
    <n v="61"/>
    <x v="0"/>
    <x v="0"/>
    <s v="Japan"/>
    <n v="148"/>
    <s v="Medium"/>
    <s v="Average"/>
  </r>
  <r>
    <x v="9"/>
    <x v="4"/>
    <x v="2150"/>
    <x v="1"/>
    <s v="West Leslie"/>
    <x v="4"/>
    <n v="24.17"/>
    <n v="83"/>
    <x v="1"/>
    <x v="2"/>
    <s v="Japan"/>
    <n v="279"/>
    <s v="Medium"/>
    <s v="Good"/>
  </r>
  <r>
    <x v="7"/>
    <x v="0"/>
    <x v="2151"/>
    <x v="1"/>
    <s v="North Tyler"/>
    <x v="2"/>
    <n v="34.5"/>
    <n v="59"/>
    <x v="4"/>
    <x v="1"/>
    <s v="UAE, Russia, UK"/>
    <n v="215"/>
    <s v="Medium"/>
    <s v="Average"/>
  </r>
  <r>
    <x v="8"/>
    <x v="4"/>
    <x v="2152"/>
    <x v="0"/>
    <s v="Harrisfurt"/>
    <x v="1"/>
    <n v="11.94"/>
    <n v="78"/>
    <x v="4"/>
    <x v="1"/>
    <s v="Russia"/>
    <n v="338"/>
    <s v="Low"/>
    <s v="Good"/>
  </r>
  <r>
    <x v="2"/>
    <x v="4"/>
    <x v="2153"/>
    <x v="0"/>
    <s v="Johnland"/>
    <x v="0"/>
    <n v="16.09"/>
    <n v="57"/>
    <x v="2"/>
    <x v="0"/>
    <s v="Israel"/>
    <n v="74"/>
    <s v="Medium"/>
    <s v="Average"/>
  </r>
  <r>
    <x v="5"/>
    <x v="16"/>
    <x v="2154"/>
    <x v="0"/>
    <s v="Thomashaven"/>
    <x v="1"/>
    <n v="15.9"/>
    <n v="86"/>
    <x v="1"/>
    <x v="2"/>
    <s v="Israel, Japan, UK"/>
    <n v="257"/>
    <s v="Medium"/>
    <s v="Good"/>
  </r>
  <r>
    <x v="0"/>
    <x v="15"/>
    <x v="2155"/>
    <x v="1"/>
    <s v="Williamsside"/>
    <x v="4"/>
    <n v="17.39"/>
    <n v="79"/>
    <x v="3"/>
    <x v="1"/>
    <s v="UK"/>
    <n v="123"/>
    <s v="Medium"/>
    <s v="Good"/>
  </r>
  <r>
    <x v="2"/>
    <x v="9"/>
    <x v="2156"/>
    <x v="1"/>
    <s v="Bishopside"/>
    <x v="2"/>
    <n v="29.09"/>
    <n v="63"/>
    <x v="2"/>
    <x v="1"/>
    <s v="Russia, India, USA"/>
    <n v="327"/>
    <s v="Medium"/>
    <s v="Average"/>
  </r>
  <r>
    <x v="5"/>
    <x v="12"/>
    <x v="2157"/>
    <x v="0"/>
    <s v="Lake Mandymouth"/>
    <x v="2"/>
    <n v="48.57"/>
    <n v="56"/>
    <x v="1"/>
    <x v="1"/>
    <s v="China"/>
    <n v="233"/>
    <s v="High"/>
    <s v="Average"/>
  </r>
  <r>
    <x v="3"/>
    <x v="13"/>
    <x v="2158"/>
    <x v="0"/>
    <s v="South Richard"/>
    <x v="3"/>
    <n v="40.42"/>
    <n v="89"/>
    <x v="2"/>
    <x v="2"/>
    <s v="Israel"/>
    <n v="56"/>
    <s v="High"/>
    <s v="Good"/>
  </r>
  <r>
    <x v="7"/>
    <x v="15"/>
    <x v="2159"/>
    <x v="0"/>
    <s v="Lake Briannahaven"/>
    <x v="2"/>
    <n v="7.43"/>
    <n v="52"/>
    <x v="2"/>
    <x v="0"/>
    <s v="France, India, Germany"/>
    <n v="109"/>
    <s v="Low"/>
    <s v="Average"/>
  </r>
  <r>
    <x v="0"/>
    <x v="3"/>
    <x v="2160"/>
    <x v="0"/>
    <s v="East Karen"/>
    <x v="4"/>
    <n v="6.47"/>
    <n v="52"/>
    <x v="3"/>
    <x v="0"/>
    <s v="Russia"/>
    <n v="297"/>
    <s v="Low"/>
    <s v="Average"/>
  </r>
  <r>
    <x v="8"/>
    <x v="12"/>
    <x v="2161"/>
    <x v="1"/>
    <s v="New Rebeccaview"/>
    <x v="1"/>
    <n v="25.84"/>
    <n v="50"/>
    <x v="1"/>
    <x v="2"/>
    <s v="Russia, USA"/>
    <n v="122"/>
    <s v="Medium"/>
    <s v="Average"/>
  </r>
  <r>
    <x v="3"/>
    <x v="23"/>
    <x v="2162"/>
    <x v="1"/>
    <s v="North Sarahbury"/>
    <x v="0"/>
    <n v="20.3"/>
    <n v="100"/>
    <x v="2"/>
    <x v="2"/>
    <s v="USA, UAE, Russia"/>
    <n v="4"/>
    <s v="Medium"/>
    <s v="Excellent"/>
  </r>
  <r>
    <x v="7"/>
    <x v="13"/>
    <x v="2163"/>
    <x v="1"/>
    <s v="Carrollfurt"/>
    <x v="1"/>
    <n v="45.54"/>
    <n v="59"/>
    <x v="3"/>
    <x v="1"/>
    <s v="Russia, USA, China"/>
    <n v="184"/>
    <s v="High"/>
    <s v="Average"/>
  </r>
  <r>
    <x v="6"/>
    <x v="10"/>
    <x v="2164"/>
    <x v="1"/>
    <s v="Smithchester"/>
    <x v="3"/>
    <n v="23.87"/>
    <n v="84"/>
    <x v="3"/>
    <x v="0"/>
    <s v="Japan, Germany, Israel"/>
    <n v="213"/>
    <s v="Medium"/>
    <s v="Good"/>
  </r>
  <r>
    <x v="7"/>
    <x v="8"/>
    <x v="2165"/>
    <x v="0"/>
    <s v="Lorimouth"/>
    <x v="3"/>
    <n v="15.64"/>
    <n v="81"/>
    <x v="1"/>
    <x v="1"/>
    <s v="Russia, China"/>
    <n v="57"/>
    <s v="Medium"/>
    <s v="Good"/>
  </r>
  <r>
    <x v="7"/>
    <x v="8"/>
    <x v="2166"/>
    <x v="0"/>
    <s v="Lopezshire"/>
    <x v="2"/>
    <n v="15.39"/>
    <n v="79"/>
    <x v="0"/>
    <x v="0"/>
    <s v="China, India"/>
    <n v="100"/>
    <s v="Medium"/>
    <s v="Good"/>
  </r>
  <r>
    <x v="4"/>
    <x v="7"/>
    <x v="2167"/>
    <x v="1"/>
    <s v="Lake Austin"/>
    <x v="1"/>
    <n v="34.979999999999997"/>
    <n v="94"/>
    <x v="4"/>
    <x v="1"/>
    <s v="Germany, Japan, UK"/>
    <n v="335"/>
    <s v="Medium"/>
    <s v="Excellent"/>
  </r>
  <r>
    <x v="2"/>
    <x v="23"/>
    <x v="2168"/>
    <x v="1"/>
    <s v="North Curtisland"/>
    <x v="4"/>
    <n v="37.07"/>
    <n v="78"/>
    <x v="3"/>
    <x v="2"/>
    <s v="Japan, Germany, Russia"/>
    <n v="324"/>
    <s v="High"/>
    <s v="Good"/>
  </r>
  <r>
    <x v="2"/>
    <x v="24"/>
    <x v="2169"/>
    <x v="1"/>
    <s v="Port Angelica"/>
    <x v="2"/>
    <n v="41.08"/>
    <n v="62"/>
    <x v="1"/>
    <x v="0"/>
    <s v="Japan, USA"/>
    <n v="353"/>
    <s v="High"/>
    <s v="Average"/>
  </r>
  <r>
    <x v="6"/>
    <x v="4"/>
    <x v="2170"/>
    <x v="1"/>
    <s v="Newmanhaven"/>
    <x v="2"/>
    <n v="9.3699999999999992"/>
    <n v="99"/>
    <x v="2"/>
    <x v="1"/>
    <s v="China, Israel"/>
    <n v="65"/>
    <s v="Low"/>
    <s v="Excellent"/>
  </r>
  <r>
    <x v="2"/>
    <x v="19"/>
    <x v="2171"/>
    <x v="1"/>
    <s v="North Jeremy"/>
    <x v="4"/>
    <n v="18.52"/>
    <n v="84"/>
    <x v="4"/>
    <x v="2"/>
    <s v="Israel, India, Russia"/>
    <n v="252"/>
    <s v="Medium"/>
    <s v="Good"/>
  </r>
  <r>
    <x v="1"/>
    <x v="20"/>
    <x v="2172"/>
    <x v="0"/>
    <s v="Buckleymouth"/>
    <x v="4"/>
    <n v="16.940000000000001"/>
    <n v="97"/>
    <x v="4"/>
    <x v="1"/>
    <s v="Germany, France"/>
    <n v="223"/>
    <s v="Medium"/>
    <s v="Excellent"/>
  </r>
  <r>
    <x v="8"/>
    <x v="19"/>
    <x v="2173"/>
    <x v="0"/>
    <s v="Taylorfort"/>
    <x v="4"/>
    <n v="39.79"/>
    <n v="83"/>
    <x v="3"/>
    <x v="0"/>
    <s v="Israel"/>
    <n v="182"/>
    <s v="High"/>
    <s v="Good"/>
  </r>
  <r>
    <x v="4"/>
    <x v="18"/>
    <x v="2174"/>
    <x v="1"/>
    <s v="Port Justinbury"/>
    <x v="0"/>
    <n v="12.64"/>
    <n v="82"/>
    <x v="4"/>
    <x v="0"/>
    <s v="China"/>
    <n v="85"/>
    <s v="Low"/>
    <s v="Good"/>
  </r>
  <r>
    <x v="9"/>
    <x v="22"/>
    <x v="2175"/>
    <x v="0"/>
    <s v="North Michael"/>
    <x v="0"/>
    <n v="6.68"/>
    <n v="65"/>
    <x v="0"/>
    <x v="0"/>
    <s v="Germany, UAE"/>
    <n v="69"/>
    <s v="Low"/>
    <s v="Average"/>
  </r>
  <r>
    <x v="1"/>
    <x v="14"/>
    <x v="2176"/>
    <x v="1"/>
    <s v="Michaelton"/>
    <x v="4"/>
    <n v="31.13"/>
    <n v="61"/>
    <x v="4"/>
    <x v="0"/>
    <s v="UK, India"/>
    <n v="32"/>
    <s v="Medium"/>
    <s v="Average"/>
  </r>
  <r>
    <x v="8"/>
    <x v="10"/>
    <x v="2177"/>
    <x v="0"/>
    <s v="Walkerchester"/>
    <x v="4"/>
    <n v="11.69"/>
    <n v="88"/>
    <x v="2"/>
    <x v="0"/>
    <s v="USA, India, UK"/>
    <n v="296"/>
    <s v="Low"/>
    <s v="Good"/>
  </r>
  <r>
    <x v="8"/>
    <x v="8"/>
    <x v="2178"/>
    <x v="0"/>
    <s v="Singletonport"/>
    <x v="3"/>
    <n v="2.78"/>
    <n v="76"/>
    <x v="2"/>
    <x v="0"/>
    <s v="UK"/>
    <n v="218"/>
    <s v="Low"/>
    <s v="Good"/>
  </r>
  <r>
    <x v="3"/>
    <x v="0"/>
    <x v="2179"/>
    <x v="1"/>
    <s v="Jamesburgh"/>
    <x v="2"/>
    <n v="4.09"/>
    <n v="79"/>
    <x v="1"/>
    <x v="0"/>
    <s v="India"/>
    <n v="124"/>
    <s v="Low"/>
    <s v="Good"/>
  </r>
  <r>
    <x v="0"/>
    <x v="2"/>
    <x v="2180"/>
    <x v="0"/>
    <s v="Scottberg"/>
    <x v="4"/>
    <n v="11.51"/>
    <n v="89"/>
    <x v="4"/>
    <x v="2"/>
    <s v="China, Japan, UAE"/>
    <n v="26"/>
    <s v="Low"/>
    <s v="Good"/>
  </r>
  <r>
    <x v="9"/>
    <x v="9"/>
    <x v="2181"/>
    <x v="1"/>
    <s v="Donaldchester"/>
    <x v="2"/>
    <n v="21.29"/>
    <n v="72"/>
    <x v="1"/>
    <x v="1"/>
    <s v="China, France, USA"/>
    <n v="314"/>
    <s v="Medium"/>
    <s v="Average"/>
  </r>
  <r>
    <x v="3"/>
    <x v="5"/>
    <x v="2182"/>
    <x v="0"/>
    <s v="South Kyletown"/>
    <x v="3"/>
    <n v="44.66"/>
    <n v="67"/>
    <x v="2"/>
    <x v="0"/>
    <s v="France, Germany"/>
    <n v="324"/>
    <s v="High"/>
    <s v="Average"/>
  </r>
  <r>
    <x v="8"/>
    <x v="7"/>
    <x v="2183"/>
    <x v="1"/>
    <s v="Sandraberg"/>
    <x v="1"/>
    <n v="39.770000000000003"/>
    <n v="76"/>
    <x v="3"/>
    <x v="0"/>
    <s v="France, China"/>
    <n v="67"/>
    <s v="High"/>
    <s v="Good"/>
  </r>
  <r>
    <x v="9"/>
    <x v="21"/>
    <x v="2184"/>
    <x v="0"/>
    <s v="Lake Austinmouth"/>
    <x v="4"/>
    <n v="4.45"/>
    <n v="61"/>
    <x v="4"/>
    <x v="1"/>
    <s v="Russia"/>
    <n v="122"/>
    <s v="Low"/>
    <s v="Average"/>
  </r>
  <r>
    <x v="2"/>
    <x v="18"/>
    <x v="2185"/>
    <x v="1"/>
    <s v="Reedhaven"/>
    <x v="1"/>
    <n v="12.3"/>
    <n v="57"/>
    <x v="1"/>
    <x v="2"/>
    <s v="UK"/>
    <n v="334"/>
    <s v="Low"/>
    <s v="Average"/>
  </r>
  <r>
    <x v="0"/>
    <x v="11"/>
    <x v="2186"/>
    <x v="0"/>
    <s v="Morsehaven"/>
    <x v="3"/>
    <n v="42.51"/>
    <n v="59"/>
    <x v="3"/>
    <x v="1"/>
    <s v="Germany, Russia, USA"/>
    <n v="344"/>
    <s v="High"/>
    <s v="Average"/>
  </r>
  <r>
    <x v="7"/>
    <x v="22"/>
    <x v="2187"/>
    <x v="1"/>
    <s v="Port Steven"/>
    <x v="2"/>
    <n v="46.44"/>
    <n v="54"/>
    <x v="2"/>
    <x v="0"/>
    <s v="Russia, Israel, USA"/>
    <n v="324"/>
    <s v="High"/>
    <s v="Average"/>
  </r>
  <r>
    <x v="0"/>
    <x v="20"/>
    <x v="2188"/>
    <x v="0"/>
    <s v="Clarkeburgh"/>
    <x v="4"/>
    <n v="49.97"/>
    <n v="55"/>
    <x v="3"/>
    <x v="2"/>
    <s v="Germany, Israel"/>
    <n v="328"/>
    <s v="High"/>
    <s v="Average"/>
  </r>
  <r>
    <x v="9"/>
    <x v="9"/>
    <x v="2189"/>
    <x v="0"/>
    <s v="Jasonberg"/>
    <x v="1"/>
    <n v="23.79"/>
    <n v="94"/>
    <x v="1"/>
    <x v="2"/>
    <s v="China"/>
    <n v="212"/>
    <s v="Medium"/>
    <s v="Excellent"/>
  </r>
  <r>
    <x v="2"/>
    <x v="3"/>
    <x v="2190"/>
    <x v="0"/>
    <s v="Wendybury"/>
    <x v="3"/>
    <n v="2.54"/>
    <n v="51"/>
    <x v="1"/>
    <x v="1"/>
    <s v="USA, China, Germany"/>
    <n v="195"/>
    <s v="Low"/>
    <s v="Average"/>
  </r>
  <r>
    <x v="3"/>
    <x v="11"/>
    <x v="2191"/>
    <x v="1"/>
    <s v="Aimeemouth"/>
    <x v="0"/>
    <n v="14.3"/>
    <n v="50"/>
    <x v="1"/>
    <x v="1"/>
    <s v="France, UK, India"/>
    <n v="297"/>
    <s v="Low"/>
    <s v="Average"/>
  </r>
  <r>
    <x v="4"/>
    <x v="17"/>
    <x v="2192"/>
    <x v="1"/>
    <s v="East John"/>
    <x v="4"/>
    <n v="11.37"/>
    <n v="95"/>
    <x v="0"/>
    <x v="2"/>
    <s v="Japan, UAE, France"/>
    <n v="153"/>
    <s v="Low"/>
    <s v="Excellent"/>
  </r>
  <r>
    <x v="8"/>
    <x v="18"/>
    <x v="2193"/>
    <x v="1"/>
    <s v="South Brenda"/>
    <x v="3"/>
    <n v="17.829999999999998"/>
    <n v="88"/>
    <x v="2"/>
    <x v="1"/>
    <s v="Russia, UK"/>
    <n v="106"/>
    <s v="Medium"/>
    <s v="Good"/>
  </r>
  <r>
    <x v="9"/>
    <x v="2"/>
    <x v="2194"/>
    <x v="0"/>
    <s v="West Michaelhaven"/>
    <x v="3"/>
    <n v="33.1"/>
    <n v="70"/>
    <x v="2"/>
    <x v="0"/>
    <s v="Germany, China, India"/>
    <n v="114"/>
    <s v="Medium"/>
    <s v="Average"/>
  </r>
  <r>
    <x v="0"/>
    <x v="24"/>
    <x v="2195"/>
    <x v="1"/>
    <s v="South Nicole"/>
    <x v="2"/>
    <n v="27.53"/>
    <n v="100"/>
    <x v="4"/>
    <x v="0"/>
    <s v="India, China, France"/>
    <n v="249"/>
    <s v="Medium"/>
    <s v="Excellent"/>
  </r>
  <r>
    <x v="7"/>
    <x v="14"/>
    <x v="2196"/>
    <x v="1"/>
    <s v="Johnburgh"/>
    <x v="2"/>
    <n v="33.840000000000003"/>
    <n v="64"/>
    <x v="0"/>
    <x v="1"/>
    <s v="France"/>
    <n v="162"/>
    <s v="Medium"/>
    <s v="Average"/>
  </r>
  <r>
    <x v="3"/>
    <x v="19"/>
    <x v="2197"/>
    <x v="1"/>
    <s v="Wyattbury"/>
    <x v="4"/>
    <n v="17.98"/>
    <n v="53"/>
    <x v="0"/>
    <x v="2"/>
    <s v="Russia"/>
    <n v="170"/>
    <s v="Medium"/>
    <s v="Average"/>
  </r>
  <r>
    <x v="8"/>
    <x v="20"/>
    <x v="2198"/>
    <x v="0"/>
    <s v="South Emily"/>
    <x v="0"/>
    <n v="18.27"/>
    <n v="83"/>
    <x v="0"/>
    <x v="0"/>
    <s v="Germany"/>
    <n v="225"/>
    <s v="Medium"/>
    <s v="Good"/>
  </r>
  <r>
    <x v="3"/>
    <x v="13"/>
    <x v="2199"/>
    <x v="0"/>
    <s v="East Jane"/>
    <x v="1"/>
    <n v="16.809999999999999"/>
    <n v="53"/>
    <x v="2"/>
    <x v="2"/>
    <s v="Germany"/>
    <n v="256"/>
    <s v="Medium"/>
    <s v="Average"/>
  </r>
  <r>
    <x v="4"/>
    <x v="5"/>
    <x v="2200"/>
    <x v="0"/>
    <s v="Stephenland"/>
    <x v="4"/>
    <n v="13.67"/>
    <n v="94"/>
    <x v="4"/>
    <x v="0"/>
    <s v="India, USA, Germany"/>
    <n v="277"/>
    <s v="Low"/>
    <s v="Excellent"/>
  </r>
  <r>
    <x v="8"/>
    <x v="25"/>
    <x v="2201"/>
    <x v="1"/>
    <s v="West Morgan"/>
    <x v="1"/>
    <n v="16.45"/>
    <n v="94"/>
    <x v="4"/>
    <x v="2"/>
    <s v="Russia"/>
    <n v="1"/>
    <s v="Medium"/>
    <s v="Excellent"/>
  </r>
  <r>
    <x v="2"/>
    <x v="13"/>
    <x v="2202"/>
    <x v="0"/>
    <s v="West William"/>
    <x v="1"/>
    <n v="40.49"/>
    <n v="51"/>
    <x v="4"/>
    <x v="1"/>
    <s v="Japan, USA, Israel"/>
    <n v="294"/>
    <s v="High"/>
    <s v="Average"/>
  </r>
  <r>
    <x v="6"/>
    <x v="17"/>
    <x v="2203"/>
    <x v="1"/>
    <s v="Erictown"/>
    <x v="2"/>
    <n v="6.06"/>
    <n v="100"/>
    <x v="2"/>
    <x v="1"/>
    <s v="USA, France, Germany"/>
    <n v="85"/>
    <s v="Low"/>
    <s v="Excellent"/>
  </r>
  <r>
    <x v="2"/>
    <x v="22"/>
    <x v="2204"/>
    <x v="0"/>
    <s v="South Scottbury"/>
    <x v="4"/>
    <n v="40.65"/>
    <n v="87"/>
    <x v="2"/>
    <x v="2"/>
    <s v="UAE"/>
    <n v="350"/>
    <s v="High"/>
    <s v="Good"/>
  </r>
  <r>
    <x v="2"/>
    <x v="15"/>
    <x v="2205"/>
    <x v="1"/>
    <s v="South Nathan"/>
    <x v="3"/>
    <n v="10.92"/>
    <n v="96"/>
    <x v="3"/>
    <x v="0"/>
    <s v="China"/>
    <n v="248"/>
    <s v="Low"/>
    <s v="Excellent"/>
  </r>
  <r>
    <x v="7"/>
    <x v="21"/>
    <x v="2206"/>
    <x v="1"/>
    <s v="West Miguelbury"/>
    <x v="2"/>
    <n v="21.81"/>
    <n v="66"/>
    <x v="4"/>
    <x v="2"/>
    <s v="UAE, France"/>
    <n v="33"/>
    <s v="Medium"/>
    <s v="Average"/>
  </r>
  <r>
    <x v="8"/>
    <x v="22"/>
    <x v="2207"/>
    <x v="1"/>
    <s v="South Monicashire"/>
    <x v="3"/>
    <n v="30.79"/>
    <n v="91"/>
    <x v="0"/>
    <x v="2"/>
    <s v="France, USA"/>
    <n v="239"/>
    <s v="Medium"/>
    <s v="Excellent"/>
  </r>
  <r>
    <x v="0"/>
    <x v="7"/>
    <x v="2208"/>
    <x v="1"/>
    <s v="Brettport"/>
    <x v="2"/>
    <n v="27.25"/>
    <n v="58"/>
    <x v="3"/>
    <x v="0"/>
    <s v="UAE"/>
    <n v="319"/>
    <s v="Medium"/>
    <s v="Average"/>
  </r>
  <r>
    <x v="7"/>
    <x v="15"/>
    <x v="2209"/>
    <x v="1"/>
    <s v="Thomasborough"/>
    <x v="2"/>
    <n v="5.18"/>
    <n v="78"/>
    <x v="0"/>
    <x v="1"/>
    <s v="Germany, UAE"/>
    <n v="150"/>
    <s v="Low"/>
    <s v="Good"/>
  </r>
  <r>
    <x v="2"/>
    <x v="12"/>
    <x v="2210"/>
    <x v="0"/>
    <s v="South Allison"/>
    <x v="1"/>
    <n v="39.65"/>
    <n v="78"/>
    <x v="0"/>
    <x v="0"/>
    <s v="Israel"/>
    <n v="5"/>
    <s v="High"/>
    <s v="Good"/>
  </r>
  <r>
    <x v="8"/>
    <x v="11"/>
    <x v="2211"/>
    <x v="1"/>
    <s v="Millerport"/>
    <x v="2"/>
    <n v="9.58"/>
    <n v="100"/>
    <x v="3"/>
    <x v="0"/>
    <s v="China"/>
    <n v="166"/>
    <s v="Low"/>
    <s v="Excellent"/>
  </r>
  <r>
    <x v="9"/>
    <x v="2"/>
    <x v="2212"/>
    <x v="0"/>
    <s v="New Joseland"/>
    <x v="2"/>
    <n v="6.68"/>
    <n v="89"/>
    <x v="1"/>
    <x v="2"/>
    <s v="China, Russia, Germany"/>
    <n v="234"/>
    <s v="Low"/>
    <s v="Good"/>
  </r>
  <r>
    <x v="8"/>
    <x v="10"/>
    <x v="2213"/>
    <x v="0"/>
    <s v="West Zoemouth"/>
    <x v="2"/>
    <n v="31.38"/>
    <n v="90"/>
    <x v="0"/>
    <x v="0"/>
    <s v="Israel"/>
    <n v="9"/>
    <s v="Medium"/>
    <s v="Excellent"/>
  </r>
  <r>
    <x v="0"/>
    <x v="23"/>
    <x v="2214"/>
    <x v="1"/>
    <s v="South Matthewfort"/>
    <x v="0"/>
    <n v="48.08"/>
    <n v="59"/>
    <x v="4"/>
    <x v="2"/>
    <s v="Germany"/>
    <n v="283"/>
    <s v="High"/>
    <s v="Average"/>
  </r>
  <r>
    <x v="3"/>
    <x v="12"/>
    <x v="2215"/>
    <x v="1"/>
    <s v="East Jessicashire"/>
    <x v="3"/>
    <n v="10.87"/>
    <n v="78"/>
    <x v="1"/>
    <x v="2"/>
    <s v="Japan, UAE"/>
    <n v="54"/>
    <s v="Low"/>
    <s v="Good"/>
  </r>
  <r>
    <x v="5"/>
    <x v="11"/>
    <x v="2216"/>
    <x v="0"/>
    <s v="Vaughnhaven"/>
    <x v="2"/>
    <n v="28.37"/>
    <n v="51"/>
    <x v="2"/>
    <x v="1"/>
    <s v="Germany"/>
    <n v="336"/>
    <s v="Medium"/>
    <s v="Average"/>
  </r>
  <r>
    <x v="0"/>
    <x v="18"/>
    <x v="2217"/>
    <x v="0"/>
    <s v="North Danamouth"/>
    <x v="3"/>
    <n v="39.33"/>
    <n v="88"/>
    <x v="4"/>
    <x v="1"/>
    <s v="Russia"/>
    <n v="197"/>
    <s v="High"/>
    <s v="Good"/>
  </r>
  <r>
    <x v="3"/>
    <x v="13"/>
    <x v="2218"/>
    <x v="1"/>
    <s v="North Ariana"/>
    <x v="1"/>
    <n v="22.29"/>
    <n v="98"/>
    <x v="0"/>
    <x v="0"/>
    <s v="France"/>
    <n v="50"/>
    <s v="Medium"/>
    <s v="Excellent"/>
  </r>
  <r>
    <x v="1"/>
    <x v="14"/>
    <x v="2219"/>
    <x v="0"/>
    <s v="South Emily"/>
    <x v="0"/>
    <n v="18.440000000000001"/>
    <n v="91"/>
    <x v="4"/>
    <x v="1"/>
    <s v="UK"/>
    <n v="176"/>
    <s v="Medium"/>
    <s v="Excellent"/>
  </r>
  <r>
    <x v="0"/>
    <x v="1"/>
    <x v="2220"/>
    <x v="1"/>
    <s v="East Christopherbury"/>
    <x v="1"/>
    <n v="24.11"/>
    <n v="65"/>
    <x v="1"/>
    <x v="0"/>
    <s v="France, Israel, Russia"/>
    <n v="153"/>
    <s v="Medium"/>
    <s v="Average"/>
  </r>
  <r>
    <x v="2"/>
    <x v="23"/>
    <x v="2221"/>
    <x v="1"/>
    <s v="Aaronmouth"/>
    <x v="1"/>
    <n v="12.25"/>
    <n v="98"/>
    <x v="1"/>
    <x v="2"/>
    <s v="China, UK, India"/>
    <n v="221"/>
    <s v="Low"/>
    <s v="Excellent"/>
  </r>
  <r>
    <x v="5"/>
    <x v="25"/>
    <x v="2222"/>
    <x v="1"/>
    <s v="Port Beth"/>
    <x v="1"/>
    <n v="31"/>
    <n v="64"/>
    <x v="3"/>
    <x v="1"/>
    <s v="France, UAE"/>
    <n v="189"/>
    <s v="Medium"/>
    <s v="Average"/>
  </r>
  <r>
    <x v="8"/>
    <x v="3"/>
    <x v="2223"/>
    <x v="1"/>
    <s v="South Michaeltown"/>
    <x v="3"/>
    <n v="13.79"/>
    <n v="72"/>
    <x v="3"/>
    <x v="1"/>
    <s v="Russia, India, China"/>
    <n v="46"/>
    <s v="Low"/>
    <s v="Average"/>
  </r>
  <r>
    <x v="6"/>
    <x v="15"/>
    <x v="2224"/>
    <x v="1"/>
    <s v="Lake Jasonfort"/>
    <x v="4"/>
    <n v="38.33"/>
    <n v="100"/>
    <x v="3"/>
    <x v="0"/>
    <s v="UK, UAE"/>
    <n v="148"/>
    <s v="High"/>
    <s v="Excellent"/>
  </r>
  <r>
    <x v="9"/>
    <x v="25"/>
    <x v="2225"/>
    <x v="1"/>
    <s v="Jasmineport"/>
    <x v="3"/>
    <n v="39.270000000000003"/>
    <n v="64"/>
    <x v="0"/>
    <x v="0"/>
    <s v="Germany"/>
    <n v="127"/>
    <s v="High"/>
    <s v="Average"/>
  </r>
  <r>
    <x v="1"/>
    <x v="6"/>
    <x v="2226"/>
    <x v="1"/>
    <s v="Taylorhaven"/>
    <x v="3"/>
    <n v="38.99"/>
    <n v="72"/>
    <x v="4"/>
    <x v="2"/>
    <s v="UK, Germany, Russia"/>
    <n v="284"/>
    <s v="High"/>
    <s v="Average"/>
  </r>
  <r>
    <x v="6"/>
    <x v="15"/>
    <x v="2227"/>
    <x v="0"/>
    <s v="Gibsonhaven"/>
    <x v="4"/>
    <n v="27.82"/>
    <n v="95"/>
    <x v="1"/>
    <x v="2"/>
    <s v="Germany, China, India"/>
    <n v="320"/>
    <s v="Medium"/>
    <s v="Excellent"/>
  </r>
  <r>
    <x v="8"/>
    <x v="25"/>
    <x v="2228"/>
    <x v="1"/>
    <s v="New Stacey"/>
    <x v="2"/>
    <n v="0.96"/>
    <n v="71"/>
    <x v="0"/>
    <x v="2"/>
    <s v="UK, Russia, India"/>
    <n v="141"/>
    <s v="Low"/>
    <s v="Average"/>
  </r>
  <r>
    <x v="1"/>
    <x v="21"/>
    <x v="2229"/>
    <x v="1"/>
    <s v="Port Teresa"/>
    <x v="0"/>
    <n v="18.09"/>
    <n v="65"/>
    <x v="2"/>
    <x v="2"/>
    <s v="Russia"/>
    <n v="36"/>
    <s v="Medium"/>
    <s v="Average"/>
  </r>
  <r>
    <x v="3"/>
    <x v="14"/>
    <x v="2230"/>
    <x v="1"/>
    <s v="Murraybury"/>
    <x v="2"/>
    <n v="41.32"/>
    <n v="94"/>
    <x v="3"/>
    <x v="2"/>
    <s v="Israel"/>
    <n v="345"/>
    <s v="High"/>
    <s v="Excellent"/>
  </r>
  <r>
    <x v="6"/>
    <x v="24"/>
    <x v="2231"/>
    <x v="1"/>
    <s v="East Ronald"/>
    <x v="1"/>
    <n v="22.69"/>
    <n v="83"/>
    <x v="0"/>
    <x v="1"/>
    <s v="Japan, China"/>
    <n v="258"/>
    <s v="Medium"/>
    <s v="Good"/>
  </r>
  <r>
    <x v="7"/>
    <x v="1"/>
    <x v="2232"/>
    <x v="1"/>
    <s v="Sydneymouth"/>
    <x v="2"/>
    <n v="35.880000000000003"/>
    <n v="60"/>
    <x v="4"/>
    <x v="2"/>
    <s v="UK, USA"/>
    <n v="112"/>
    <s v="High"/>
    <s v="Average"/>
  </r>
  <r>
    <x v="4"/>
    <x v="24"/>
    <x v="2233"/>
    <x v="1"/>
    <s v="Scottstad"/>
    <x v="0"/>
    <n v="46.86"/>
    <n v="65"/>
    <x v="4"/>
    <x v="1"/>
    <s v="Germany"/>
    <n v="204"/>
    <s v="High"/>
    <s v="Average"/>
  </r>
  <r>
    <x v="5"/>
    <x v="9"/>
    <x v="2234"/>
    <x v="1"/>
    <s v="East Kristy"/>
    <x v="0"/>
    <n v="29.9"/>
    <n v="65"/>
    <x v="2"/>
    <x v="2"/>
    <s v="India"/>
    <n v="294"/>
    <s v="Medium"/>
    <s v="Average"/>
  </r>
  <r>
    <x v="0"/>
    <x v="16"/>
    <x v="2235"/>
    <x v="1"/>
    <s v="Julietown"/>
    <x v="4"/>
    <n v="25.1"/>
    <n v="98"/>
    <x v="0"/>
    <x v="1"/>
    <s v="UAE, Germany, France"/>
    <n v="210"/>
    <s v="Medium"/>
    <s v="Excellent"/>
  </r>
  <r>
    <x v="5"/>
    <x v="5"/>
    <x v="2236"/>
    <x v="1"/>
    <s v="Tapiamouth"/>
    <x v="3"/>
    <n v="36.06"/>
    <n v="98"/>
    <x v="1"/>
    <x v="2"/>
    <s v="Russia"/>
    <n v="143"/>
    <s v="High"/>
    <s v="Excellent"/>
  </r>
  <r>
    <x v="5"/>
    <x v="23"/>
    <x v="2237"/>
    <x v="0"/>
    <s v="Lake Kelly"/>
    <x v="0"/>
    <n v="33.57"/>
    <n v="78"/>
    <x v="3"/>
    <x v="1"/>
    <s v="Russia, USA"/>
    <n v="120"/>
    <s v="Medium"/>
    <s v="Good"/>
  </r>
  <r>
    <x v="4"/>
    <x v="24"/>
    <x v="2238"/>
    <x v="1"/>
    <s v="Eileenview"/>
    <x v="2"/>
    <n v="4.24"/>
    <n v="53"/>
    <x v="3"/>
    <x v="0"/>
    <s v="UAE"/>
    <n v="67"/>
    <s v="Low"/>
    <s v="Average"/>
  </r>
  <r>
    <x v="4"/>
    <x v="25"/>
    <x v="2239"/>
    <x v="0"/>
    <s v="Ricktown"/>
    <x v="4"/>
    <n v="30.59"/>
    <n v="78"/>
    <x v="4"/>
    <x v="2"/>
    <s v="India, UK"/>
    <n v="337"/>
    <s v="Medium"/>
    <s v="Good"/>
  </r>
  <r>
    <x v="1"/>
    <x v="20"/>
    <x v="2240"/>
    <x v="0"/>
    <s v="Louisshire"/>
    <x v="4"/>
    <n v="45.73"/>
    <n v="68"/>
    <x v="1"/>
    <x v="0"/>
    <s v="Germany, India"/>
    <n v="259"/>
    <s v="High"/>
    <s v="Average"/>
  </r>
  <r>
    <x v="1"/>
    <x v="5"/>
    <x v="2241"/>
    <x v="1"/>
    <s v="Port Andrewville"/>
    <x v="3"/>
    <n v="8.6999999999999993"/>
    <n v="98"/>
    <x v="2"/>
    <x v="1"/>
    <s v="Israel"/>
    <n v="306"/>
    <s v="Low"/>
    <s v="Excellent"/>
  </r>
  <r>
    <x v="4"/>
    <x v="20"/>
    <x v="2242"/>
    <x v="1"/>
    <s v="North Susan"/>
    <x v="4"/>
    <n v="42.22"/>
    <n v="65"/>
    <x v="2"/>
    <x v="0"/>
    <s v="France, UK"/>
    <n v="149"/>
    <s v="High"/>
    <s v="Average"/>
  </r>
  <r>
    <x v="9"/>
    <x v="25"/>
    <x v="2243"/>
    <x v="0"/>
    <s v="Jensenbury"/>
    <x v="1"/>
    <n v="41.47"/>
    <n v="69"/>
    <x v="4"/>
    <x v="0"/>
    <s v="Russia, Israel"/>
    <n v="88"/>
    <s v="High"/>
    <s v="Average"/>
  </r>
  <r>
    <x v="8"/>
    <x v="1"/>
    <x v="2244"/>
    <x v="1"/>
    <s v="Alejandromouth"/>
    <x v="2"/>
    <n v="41.93"/>
    <n v="63"/>
    <x v="1"/>
    <x v="1"/>
    <s v="France, Japan"/>
    <n v="236"/>
    <s v="High"/>
    <s v="Average"/>
  </r>
  <r>
    <x v="7"/>
    <x v="24"/>
    <x v="2245"/>
    <x v="1"/>
    <s v="Natalieshire"/>
    <x v="4"/>
    <n v="16.05"/>
    <n v="80"/>
    <x v="1"/>
    <x v="1"/>
    <s v="UK"/>
    <n v="356"/>
    <s v="Medium"/>
    <s v="Good"/>
  </r>
  <r>
    <x v="9"/>
    <x v="6"/>
    <x v="2246"/>
    <x v="0"/>
    <s v="North Johnside"/>
    <x v="2"/>
    <n v="35.89"/>
    <n v="62"/>
    <x v="1"/>
    <x v="1"/>
    <s v="Israel, France, UAE"/>
    <n v="124"/>
    <s v="High"/>
    <s v="Average"/>
  </r>
  <r>
    <x v="2"/>
    <x v="3"/>
    <x v="2247"/>
    <x v="0"/>
    <s v="Tranton"/>
    <x v="0"/>
    <n v="41.4"/>
    <n v="95"/>
    <x v="1"/>
    <x v="2"/>
    <s v="Germany, UAE"/>
    <n v="224"/>
    <s v="High"/>
    <s v="Excellent"/>
  </r>
  <r>
    <x v="7"/>
    <x v="0"/>
    <x v="2248"/>
    <x v="0"/>
    <s v="Port Emily"/>
    <x v="1"/>
    <n v="47.5"/>
    <n v="97"/>
    <x v="0"/>
    <x v="0"/>
    <s v="Russia"/>
    <n v="144"/>
    <s v="High"/>
    <s v="Excellent"/>
  </r>
  <r>
    <x v="8"/>
    <x v="1"/>
    <x v="2249"/>
    <x v="0"/>
    <s v="North Stephanietown"/>
    <x v="2"/>
    <n v="10.130000000000001"/>
    <n v="53"/>
    <x v="4"/>
    <x v="1"/>
    <s v="UK, Israel, India"/>
    <n v="176"/>
    <s v="Low"/>
    <s v="Average"/>
  </r>
  <r>
    <x v="4"/>
    <x v="5"/>
    <x v="2250"/>
    <x v="0"/>
    <s v="Michaelfurt"/>
    <x v="3"/>
    <n v="37.270000000000003"/>
    <n v="94"/>
    <x v="1"/>
    <x v="2"/>
    <s v="Israel, France"/>
    <n v="7"/>
    <s v="High"/>
    <s v="Excellent"/>
  </r>
  <r>
    <x v="4"/>
    <x v="22"/>
    <x v="2251"/>
    <x v="1"/>
    <s v="Quinnberg"/>
    <x v="0"/>
    <n v="17.27"/>
    <n v="90"/>
    <x v="2"/>
    <x v="0"/>
    <s v="UAE, Japan, France"/>
    <n v="229"/>
    <s v="Medium"/>
    <s v="Excellent"/>
  </r>
  <r>
    <x v="2"/>
    <x v="22"/>
    <x v="2252"/>
    <x v="1"/>
    <s v="North Gabrielleton"/>
    <x v="1"/>
    <n v="27.59"/>
    <n v="86"/>
    <x v="3"/>
    <x v="1"/>
    <s v="China, UAE, UK"/>
    <n v="115"/>
    <s v="Medium"/>
    <s v="Good"/>
  </r>
  <r>
    <x v="5"/>
    <x v="2"/>
    <x v="2253"/>
    <x v="1"/>
    <s v="South Jimmyville"/>
    <x v="4"/>
    <n v="36.450000000000003"/>
    <n v="62"/>
    <x v="3"/>
    <x v="0"/>
    <s v="Russia, India"/>
    <n v="226"/>
    <s v="High"/>
    <s v="Average"/>
  </r>
  <r>
    <x v="8"/>
    <x v="5"/>
    <x v="2254"/>
    <x v="0"/>
    <s v="Jasonshire"/>
    <x v="0"/>
    <n v="8"/>
    <n v="75"/>
    <x v="1"/>
    <x v="1"/>
    <s v="France, India, Germany"/>
    <n v="277"/>
    <s v="Low"/>
    <s v="Good"/>
  </r>
  <r>
    <x v="0"/>
    <x v="18"/>
    <x v="2255"/>
    <x v="1"/>
    <s v="Mcgrathport"/>
    <x v="3"/>
    <n v="3.76"/>
    <n v="95"/>
    <x v="2"/>
    <x v="2"/>
    <s v="UK"/>
    <n v="328"/>
    <s v="Low"/>
    <s v="Excellent"/>
  </r>
  <r>
    <x v="7"/>
    <x v="8"/>
    <x v="2256"/>
    <x v="0"/>
    <s v="South Taylorton"/>
    <x v="1"/>
    <n v="30.55"/>
    <n v="62"/>
    <x v="1"/>
    <x v="2"/>
    <s v="China"/>
    <n v="69"/>
    <s v="Medium"/>
    <s v="Average"/>
  </r>
  <r>
    <x v="5"/>
    <x v="21"/>
    <x v="2257"/>
    <x v="1"/>
    <s v="South Peggy"/>
    <x v="3"/>
    <n v="19.149999999999999"/>
    <n v="56"/>
    <x v="3"/>
    <x v="2"/>
    <s v="Japan, UK"/>
    <n v="3"/>
    <s v="Medium"/>
    <s v="Average"/>
  </r>
  <r>
    <x v="7"/>
    <x v="0"/>
    <x v="2258"/>
    <x v="0"/>
    <s v="West Jeremyville"/>
    <x v="2"/>
    <n v="15.25"/>
    <n v="84"/>
    <x v="3"/>
    <x v="1"/>
    <s v="USA"/>
    <n v="221"/>
    <s v="Medium"/>
    <s v="Good"/>
  </r>
  <r>
    <x v="3"/>
    <x v="18"/>
    <x v="2259"/>
    <x v="1"/>
    <s v="Port Richard"/>
    <x v="3"/>
    <n v="6.98"/>
    <n v="78"/>
    <x v="4"/>
    <x v="1"/>
    <s v="Germany, Japan, Russia"/>
    <n v="51"/>
    <s v="Low"/>
    <s v="Good"/>
  </r>
  <r>
    <x v="7"/>
    <x v="12"/>
    <x v="2260"/>
    <x v="0"/>
    <s v="South Timothy"/>
    <x v="2"/>
    <n v="12.19"/>
    <n v="60"/>
    <x v="1"/>
    <x v="1"/>
    <s v="China, USA"/>
    <n v="113"/>
    <s v="Low"/>
    <s v="Average"/>
  </r>
  <r>
    <x v="5"/>
    <x v="2"/>
    <x v="2261"/>
    <x v="1"/>
    <s v="Nathanmouth"/>
    <x v="2"/>
    <n v="5.05"/>
    <n v="62"/>
    <x v="2"/>
    <x v="2"/>
    <s v="Russia"/>
    <n v="272"/>
    <s v="Low"/>
    <s v="Average"/>
  </r>
  <r>
    <x v="2"/>
    <x v="25"/>
    <x v="2262"/>
    <x v="1"/>
    <s v="Austinton"/>
    <x v="0"/>
    <n v="19.420000000000002"/>
    <n v="69"/>
    <x v="3"/>
    <x v="1"/>
    <s v="USA, France, UAE"/>
    <n v="225"/>
    <s v="Medium"/>
    <s v="Average"/>
  </r>
  <r>
    <x v="6"/>
    <x v="19"/>
    <x v="2263"/>
    <x v="0"/>
    <s v="Harrisonside"/>
    <x v="0"/>
    <n v="8.14"/>
    <n v="89"/>
    <x v="4"/>
    <x v="0"/>
    <s v="India, China, Germany"/>
    <n v="159"/>
    <s v="Low"/>
    <s v="Good"/>
  </r>
  <r>
    <x v="8"/>
    <x v="17"/>
    <x v="2264"/>
    <x v="0"/>
    <s v="New Connie"/>
    <x v="3"/>
    <n v="9.44"/>
    <n v="80"/>
    <x v="1"/>
    <x v="2"/>
    <s v="Israel, USA, UAE"/>
    <n v="103"/>
    <s v="Low"/>
    <s v="Good"/>
  </r>
  <r>
    <x v="4"/>
    <x v="18"/>
    <x v="2265"/>
    <x v="1"/>
    <s v="South Olivia"/>
    <x v="4"/>
    <n v="9.74"/>
    <n v="55"/>
    <x v="1"/>
    <x v="0"/>
    <s v="Russia"/>
    <n v="94"/>
    <s v="Low"/>
    <s v="Average"/>
  </r>
  <r>
    <x v="4"/>
    <x v="9"/>
    <x v="2266"/>
    <x v="0"/>
    <s v="East Travisfort"/>
    <x v="4"/>
    <n v="44.84"/>
    <n v="82"/>
    <x v="0"/>
    <x v="2"/>
    <s v="Russia, UK, UAE"/>
    <n v="335"/>
    <s v="High"/>
    <s v="Good"/>
  </r>
  <r>
    <x v="6"/>
    <x v="25"/>
    <x v="2267"/>
    <x v="0"/>
    <s v="Davisshire"/>
    <x v="4"/>
    <n v="9.86"/>
    <n v="85"/>
    <x v="1"/>
    <x v="0"/>
    <s v="USA"/>
    <n v="222"/>
    <s v="Low"/>
    <s v="Good"/>
  </r>
  <r>
    <x v="8"/>
    <x v="1"/>
    <x v="2268"/>
    <x v="0"/>
    <s v="West Scottville"/>
    <x v="3"/>
    <n v="37.54"/>
    <n v="59"/>
    <x v="2"/>
    <x v="2"/>
    <s v="Germany, Russia, Israel"/>
    <n v="306"/>
    <s v="High"/>
    <s v="Average"/>
  </r>
  <r>
    <x v="8"/>
    <x v="11"/>
    <x v="2269"/>
    <x v="1"/>
    <s v="Donnaport"/>
    <x v="2"/>
    <n v="34.81"/>
    <n v="82"/>
    <x v="3"/>
    <x v="0"/>
    <s v="Germany, UAE, UK"/>
    <n v="210"/>
    <s v="Medium"/>
    <s v="Good"/>
  </r>
  <r>
    <x v="6"/>
    <x v="15"/>
    <x v="2270"/>
    <x v="1"/>
    <s v="South Stephaniefurt"/>
    <x v="1"/>
    <n v="17.57"/>
    <n v="60"/>
    <x v="1"/>
    <x v="2"/>
    <s v="UK"/>
    <n v="285"/>
    <s v="Medium"/>
    <s v="Average"/>
  </r>
  <r>
    <x v="4"/>
    <x v="22"/>
    <x v="2271"/>
    <x v="1"/>
    <s v="Sarahmouth"/>
    <x v="2"/>
    <n v="22.34"/>
    <n v="97"/>
    <x v="3"/>
    <x v="1"/>
    <s v="Russia, India"/>
    <n v="10"/>
    <s v="Medium"/>
    <s v="Excellent"/>
  </r>
  <r>
    <x v="3"/>
    <x v="9"/>
    <x v="2272"/>
    <x v="0"/>
    <s v="Justinburgh"/>
    <x v="2"/>
    <n v="24.02"/>
    <n v="90"/>
    <x v="2"/>
    <x v="2"/>
    <s v="China"/>
    <n v="244"/>
    <s v="Medium"/>
    <s v="Excellent"/>
  </r>
  <r>
    <x v="5"/>
    <x v="17"/>
    <x v="2273"/>
    <x v="0"/>
    <s v="Codyfort"/>
    <x v="3"/>
    <n v="29.03"/>
    <n v="77"/>
    <x v="0"/>
    <x v="2"/>
    <s v="USA"/>
    <n v="298"/>
    <s v="Medium"/>
    <s v="Good"/>
  </r>
  <r>
    <x v="6"/>
    <x v="1"/>
    <x v="2274"/>
    <x v="1"/>
    <s v="Bobbyview"/>
    <x v="4"/>
    <n v="33.119999999999997"/>
    <n v="63"/>
    <x v="4"/>
    <x v="2"/>
    <s v="USA, India, UAE"/>
    <n v="312"/>
    <s v="Medium"/>
    <s v="Average"/>
  </r>
  <r>
    <x v="9"/>
    <x v="5"/>
    <x v="2275"/>
    <x v="0"/>
    <s v="Davidport"/>
    <x v="0"/>
    <n v="1.08"/>
    <n v="57"/>
    <x v="1"/>
    <x v="0"/>
    <s v="Israel"/>
    <n v="77"/>
    <s v="Low"/>
    <s v="Average"/>
  </r>
  <r>
    <x v="9"/>
    <x v="17"/>
    <x v="2276"/>
    <x v="1"/>
    <s v="Garnermouth"/>
    <x v="1"/>
    <n v="48.28"/>
    <n v="88"/>
    <x v="1"/>
    <x v="1"/>
    <s v="Germany, China"/>
    <n v="51"/>
    <s v="High"/>
    <s v="Good"/>
  </r>
  <r>
    <x v="6"/>
    <x v="4"/>
    <x v="2277"/>
    <x v="1"/>
    <s v="Amyview"/>
    <x v="4"/>
    <n v="13.93"/>
    <n v="52"/>
    <x v="3"/>
    <x v="2"/>
    <s v="UK, Japan, China"/>
    <n v="58"/>
    <s v="Low"/>
    <s v="Average"/>
  </r>
  <r>
    <x v="0"/>
    <x v="23"/>
    <x v="2278"/>
    <x v="1"/>
    <s v="Barronview"/>
    <x v="2"/>
    <n v="41.15"/>
    <n v="91"/>
    <x v="0"/>
    <x v="2"/>
    <s v="UAE, France, China"/>
    <n v="240"/>
    <s v="High"/>
    <s v="Excellent"/>
  </r>
  <r>
    <x v="7"/>
    <x v="17"/>
    <x v="2279"/>
    <x v="1"/>
    <s v="West Carlosbury"/>
    <x v="2"/>
    <n v="12.73"/>
    <n v="66"/>
    <x v="2"/>
    <x v="0"/>
    <s v="India, USA"/>
    <n v="124"/>
    <s v="Low"/>
    <s v="Average"/>
  </r>
  <r>
    <x v="1"/>
    <x v="22"/>
    <x v="2280"/>
    <x v="1"/>
    <s v="Rebeccaberg"/>
    <x v="4"/>
    <n v="5.61"/>
    <n v="73"/>
    <x v="2"/>
    <x v="2"/>
    <s v="UAE, Russia, Japan"/>
    <n v="28"/>
    <s v="Low"/>
    <s v="Average"/>
  </r>
  <r>
    <x v="9"/>
    <x v="15"/>
    <x v="2281"/>
    <x v="0"/>
    <s v="New Anthonyfurt"/>
    <x v="0"/>
    <n v="38.270000000000003"/>
    <n v="55"/>
    <x v="1"/>
    <x v="1"/>
    <s v="UK, UAE, Russia"/>
    <n v="292"/>
    <s v="High"/>
    <s v="Average"/>
  </r>
  <r>
    <x v="0"/>
    <x v="4"/>
    <x v="2282"/>
    <x v="1"/>
    <s v="Port Stephanieview"/>
    <x v="1"/>
    <n v="20.440000000000001"/>
    <n v="72"/>
    <x v="1"/>
    <x v="1"/>
    <s v="USA, India"/>
    <n v="13"/>
    <s v="Medium"/>
    <s v="Average"/>
  </r>
  <r>
    <x v="1"/>
    <x v="2"/>
    <x v="2283"/>
    <x v="0"/>
    <s v="South Kathleen"/>
    <x v="0"/>
    <n v="29.41"/>
    <n v="69"/>
    <x v="1"/>
    <x v="2"/>
    <s v="Germany, India, Japan"/>
    <n v="222"/>
    <s v="Medium"/>
    <s v="Average"/>
  </r>
  <r>
    <x v="5"/>
    <x v="23"/>
    <x v="2284"/>
    <x v="1"/>
    <s v="Adamfort"/>
    <x v="1"/>
    <n v="21.7"/>
    <n v="90"/>
    <x v="3"/>
    <x v="0"/>
    <s v="Israel"/>
    <n v="283"/>
    <s v="Medium"/>
    <s v="Excellent"/>
  </r>
  <r>
    <x v="2"/>
    <x v="5"/>
    <x v="2285"/>
    <x v="1"/>
    <s v="Port Lisaborough"/>
    <x v="1"/>
    <n v="49.39"/>
    <n v="68"/>
    <x v="3"/>
    <x v="2"/>
    <s v="India, Israel"/>
    <n v="217"/>
    <s v="High"/>
    <s v="Average"/>
  </r>
  <r>
    <x v="6"/>
    <x v="17"/>
    <x v="2286"/>
    <x v="1"/>
    <s v="Lake Josephburgh"/>
    <x v="0"/>
    <n v="47.6"/>
    <n v="56"/>
    <x v="0"/>
    <x v="0"/>
    <s v="UAE, India, Germany"/>
    <n v="277"/>
    <s v="High"/>
    <s v="Average"/>
  </r>
  <r>
    <x v="4"/>
    <x v="25"/>
    <x v="2287"/>
    <x v="0"/>
    <s v="New Maryfurt"/>
    <x v="1"/>
    <n v="28.43"/>
    <n v="92"/>
    <x v="2"/>
    <x v="0"/>
    <s v="UAE"/>
    <n v="102"/>
    <s v="Medium"/>
    <s v="Excellent"/>
  </r>
  <r>
    <x v="6"/>
    <x v="25"/>
    <x v="2288"/>
    <x v="1"/>
    <s v="Danielsmouth"/>
    <x v="4"/>
    <n v="1.48"/>
    <n v="77"/>
    <x v="3"/>
    <x v="2"/>
    <s v="UAE, Russia, Germany"/>
    <n v="42"/>
    <s v="Low"/>
    <s v="Good"/>
  </r>
  <r>
    <x v="0"/>
    <x v="18"/>
    <x v="2289"/>
    <x v="1"/>
    <s v="South Trevorport"/>
    <x v="0"/>
    <n v="4.79"/>
    <n v="88"/>
    <x v="4"/>
    <x v="2"/>
    <s v="Germany, China"/>
    <n v="322"/>
    <s v="Low"/>
    <s v="Good"/>
  </r>
  <r>
    <x v="8"/>
    <x v="14"/>
    <x v="2290"/>
    <x v="1"/>
    <s v="Armstrongside"/>
    <x v="2"/>
    <n v="45.85"/>
    <n v="91"/>
    <x v="0"/>
    <x v="1"/>
    <s v="Japan, Germany, Israel"/>
    <n v="176"/>
    <s v="High"/>
    <s v="Excellent"/>
  </r>
  <r>
    <x v="7"/>
    <x v="8"/>
    <x v="2291"/>
    <x v="0"/>
    <s v="South Suzannebury"/>
    <x v="1"/>
    <n v="37.78"/>
    <n v="94"/>
    <x v="4"/>
    <x v="2"/>
    <s v="UK, UAE, Israel"/>
    <n v="241"/>
    <s v="High"/>
    <s v="Excellent"/>
  </r>
  <r>
    <x v="5"/>
    <x v="19"/>
    <x v="2292"/>
    <x v="0"/>
    <s v="South Angelafurt"/>
    <x v="0"/>
    <n v="39.840000000000003"/>
    <n v="54"/>
    <x v="1"/>
    <x v="0"/>
    <s v="China"/>
    <n v="24"/>
    <s v="High"/>
    <s v="Average"/>
  </r>
  <r>
    <x v="8"/>
    <x v="13"/>
    <x v="2293"/>
    <x v="1"/>
    <s v="Port Georgetown"/>
    <x v="2"/>
    <n v="5.81"/>
    <n v="95"/>
    <x v="4"/>
    <x v="0"/>
    <s v="Israel"/>
    <n v="158"/>
    <s v="Low"/>
    <s v="Excellent"/>
  </r>
  <r>
    <x v="8"/>
    <x v="17"/>
    <x v="2294"/>
    <x v="1"/>
    <s v="West Jordanberg"/>
    <x v="3"/>
    <n v="11.08"/>
    <n v="65"/>
    <x v="1"/>
    <x v="0"/>
    <s v="France, Japan, Russia"/>
    <n v="172"/>
    <s v="Low"/>
    <s v="Average"/>
  </r>
  <r>
    <x v="1"/>
    <x v="12"/>
    <x v="2295"/>
    <x v="0"/>
    <s v="Lake Markberg"/>
    <x v="1"/>
    <n v="37.950000000000003"/>
    <n v="90"/>
    <x v="2"/>
    <x v="2"/>
    <s v="UAE, Germany, Russia"/>
    <n v="265"/>
    <s v="High"/>
    <s v="Excellent"/>
  </r>
  <r>
    <x v="2"/>
    <x v="17"/>
    <x v="2296"/>
    <x v="1"/>
    <s v="Andreaside"/>
    <x v="3"/>
    <n v="13.75"/>
    <n v="68"/>
    <x v="1"/>
    <x v="0"/>
    <s v="India, France"/>
    <n v="150"/>
    <s v="Low"/>
    <s v="Average"/>
  </r>
  <r>
    <x v="7"/>
    <x v="15"/>
    <x v="2297"/>
    <x v="1"/>
    <s v="South Williamville"/>
    <x v="4"/>
    <n v="15.02"/>
    <n v="92"/>
    <x v="2"/>
    <x v="1"/>
    <s v="Russia, Germany, Israel"/>
    <n v="199"/>
    <s v="Medium"/>
    <s v="Excellent"/>
  </r>
  <r>
    <x v="1"/>
    <x v="23"/>
    <x v="2298"/>
    <x v="0"/>
    <s v="Reginaland"/>
    <x v="0"/>
    <n v="12.33"/>
    <n v="54"/>
    <x v="1"/>
    <x v="0"/>
    <s v="UAE, USA, Japan"/>
    <n v="67"/>
    <s v="Low"/>
    <s v="Average"/>
  </r>
  <r>
    <x v="3"/>
    <x v="15"/>
    <x v="2299"/>
    <x v="1"/>
    <s v="East Mollyhaven"/>
    <x v="1"/>
    <n v="15.42"/>
    <n v="65"/>
    <x v="3"/>
    <x v="1"/>
    <s v="USA, UAE"/>
    <n v="62"/>
    <s v="Medium"/>
    <s v="Average"/>
  </r>
  <r>
    <x v="7"/>
    <x v="21"/>
    <x v="2300"/>
    <x v="1"/>
    <s v="Patrickchester"/>
    <x v="0"/>
    <n v="32.33"/>
    <n v="86"/>
    <x v="0"/>
    <x v="2"/>
    <s v="Japan"/>
    <n v="78"/>
    <s v="Medium"/>
    <s v="Good"/>
  </r>
  <r>
    <x v="4"/>
    <x v="1"/>
    <x v="2301"/>
    <x v="1"/>
    <s v="Perezview"/>
    <x v="3"/>
    <n v="26.64"/>
    <n v="58"/>
    <x v="2"/>
    <x v="2"/>
    <s v="Russia"/>
    <n v="353"/>
    <s v="Medium"/>
    <s v="Average"/>
  </r>
  <r>
    <x v="1"/>
    <x v="11"/>
    <x v="2302"/>
    <x v="0"/>
    <s v="South Kathrynland"/>
    <x v="0"/>
    <n v="21.94"/>
    <n v="93"/>
    <x v="0"/>
    <x v="0"/>
    <s v="UK, Germany"/>
    <n v="243"/>
    <s v="Medium"/>
    <s v="Excellent"/>
  </r>
  <r>
    <x v="8"/>
    <x v="19"/>
    <x v="2303"/>
    <x v="1"/>
    <s v="Lake Raymond"/>
    <x v="3"/>
    <n v="1.83"/>
    <n v="73"/>
    <x v="0"/>
    <x v="2"/>
    <s v="France, Russia, USA"/>
    <n v="315"/>
    <s v="Low"/>
    <s v="Average"/>
  </r>
  <r>
    <x v="8"/>
    <x v="10"/>
    <x v="2304"/>
    <x v="0"/>
    <s v="Christinamouth"/>
    <x v="1"/>
    <n v="46.98"/>
    <n v="65"/>
    <x v="1"/>
    <x v="2"/>
    <s v="Germany"/>
    <n v="311"/>
    <s v="High"/>
    <s v="Average"/>
  </r>
  <r>
    <x v="9"/>
    <x v="13"/>
    <x v="2305"/>
    <x v="0"/>
    <s v="Port Anthony"/>
    <x v="3"/>
    <n v="36.28"/>
    <n v="76"/>
    <x v="2"/>
    <x v="1"/>
    <s v="India"/>
    <n v="289"/>
    <s v="High"/>
    <s v="Good"/>
  </r>
  <r>
    <x v="8"/>
    <x v="1"/>
    <x v="2306"/>
    <x v="1"/>
    <s v="Jamesfort"/>
    <x v="2"/>
    <n v="6.06"/>
    <n v="57"/>
    <x v="4"/>
    <x v="0"/>
    <s v="USA"/>
    <n v="273"/>
    <s v="Low"/>
    <s v="Average"/>
  </r>
  <r>
    <x v="9"/>
    <x v="4"/>
    <x v="2307"/>
    <x v="1"/>
    <s v="Port Stephenbury"/>
    <x v="1"/>
    <n v="12.71"/>
    <n v="77"/>
    <x v="4"/>
    <x v="0"/>
    <s v="India"/>
    <n v="353"/>
    <s v="Low"/>
    <s v="Good"/>
  </r>
  <r>
    <x v="9"/>
    <x v="18"/>
    <x v="2308"/>
    <x v="0"/>
    <s v="New Kathleenport"/>
    <x v="0"/>
    <n v="11.18"/>
    <n v="57"/>
    <x v="0"/>
    <x v="0"/>
    <s v="Russia, Japan, Germany"/>
    <n v="220"/>
    <s v="Low"/>
    <s v="Average"/>
  </r>
  <r>
    <x v="8"/>
    <x v="9"/>
    <x v="2309"/>
    <x v="1"/>
    <s v="West Shannon"/>
    <x v="3"/>
    <n v="19.420000000000002"/>
    <n v="90"/>
    <x v="2"/>
    <x v="1"/>
    <s v="China"/>
    <n v="329"/>
    <s v="Medium"/>
    <s v="Excellent"/>
  </r>
  <r>
    <x v="2"/>
    <x v="8"/>
    <x v="2310"/>
    <x v="0"/>
    <s v="West Margaret"/>
    <x v="1"/>
    <n v="42.96"/>
    <n v="75"/>
    <x v="3"/>
    <x v="2"/>
    <s v="Japan"/>
    <n v="202"/>
    <s v="High"/>
    <s v="Good"/>
  </r>
  <r>
    <x v="4"/>
    <x v="10"/>
    <x v="2311"/>
    <x v="0"/>
    <s v="Tatestad"/>
    <x v="1"/>
    <n v="19.11"/>
    <n v="54"/>
    <x v="3"/>
    <x v="1"/>
    <s v="Germany, Russia"/>
    <n v="70"/>
    <s v="Medium"/>
    <s v="Average"/>
  </r>
  <r>
    <x v="5"/>
    <x v="10"/>
    <x v="2312"/>
    <x v="0"/>
    <s v="New Tonyafurt"/>
    <x v="1"/>
    <n v="35.86"/>
    <n v="99"/>
    <x v="0"/>
    <x v="0"/>
    <s v="Japan, Russia, UK"/>
    <n v="362"/>
    <s v="High"/>
    <s v="Excellent"/>
  </r>
  <r>
    <x v="9"/>
    <x v="15"/>
    <x v="2313"/>
    <x v="0"/>
    <s v="East Emily"/>
    <x v="1"/>
    <n v="17.93"/>
    <n v="92"/>
    <x v="3"/>
    <x v="0"/>
    <s v="Japan, Germany"/>
    <n v="24"/>
    <s v="Medium"/>
    <s v="Excellent"/>
  </r>
  <r>
    <x v="3"/>
    <x v="6"/>
    <x v="2314"/>
    <x v="1"/>
    <s v="South Jacob"/>
    <x v="0"/>
    <n v="47.72"/>
    <n v="72"/>
    <x v="2"/>
    <x v="2"/>
    <s v="UK, China, Russia"/>
    <n v="183"/>
    <s v="High"/>
    <s v="Average"/>
  </r>
  <r>
    <x v="2"/>
    <x v="19"/>
    <x v="2315"/>
    <x v="1"/>
    <s v="Lake Rebeccafurt"/>
    <x v="4"/>
    <n v="8.9"/>
    <n v="54"/>
    <x v="1"/>
    <x v="0"/>
    <s v="France, UAE"/>
    <n v="177"/>
    <s v="Low"/>
    <s v="Average"/>
  </r>
  <r>
    <x v="5"/>
    <x v="10"/>
    <x v="2316"/>
    <x v="1"/>
    <s v="Lambland"/>
    <x v="1"/>
    <n v="35.549999999999997"/>
    <n v="68"/>
    <x v="1"/>
    <x v="0"/>
    <s v="USA, UK, Israel"/>
    <n v="104"/>
    <s v="High"/>
    <s v="Average"/>
  </r>
  <r>
    <x v="6"/>
    <x v="15"/>
    <x v="2317"/>
    <x v="0"/>
    <s v="Johnstad"/>
    <x v="1"/>
    <n v="16.02"/>
    <n v="90"/>
    <x v="3"/>
    <x v="0"/>
    <s v="Germany, Israel"/>
    <n v="77"/>
    <s v="Medium"/>
    <s v="Excellent"/>
  </r>
  <r>
    <x v="0"/>
    <x v="5"/>
    <x v="2318"/>
    <x v="0"/>
    <s v="Briannamouth"/>
    <x v="2"/>
    <n v="34.04"/>
    <n v="53"/>
    <x v="3"/>
    <x v="2"/>
    <s v="UK, Japan"/>
    <n v="158"/>
    <s v="Medium"/>
    <s v="Average"/>
  </r>
  <r>
    <x v="6"/>
    <x v="2"/>
    <x v="2319"/>
    <x v="1"/>
    <s v="Marshalltown"/>
    <x v="1"/>
    <n v="30.38"/>
    <n v="65"/>
    <x v="2"/>
    <x v="1"/>
    <s v="UAE, China"/>
    <n v="35"/>
    <s v="Medium"/>
    <s v="Average"/>
  </r>
  <r>
    <x v="1"/>
    <x v="22"/>
    <x v="2320"/>
    <x v="1"/>
    <s v="South Amandashire"/>
    <x v="1"/>
    <n v="13.08"/>
    <n v="85"/>
    <x v="2"/>
    <x v="2"/>
    <s v="UAE, Israel"/>
    <n v="336"/>
    <s v="Low"/>
    <s v="Good"/>
  </r>
  <r>
    <x v="1"/>
    <x v="14"/>
    <x v="2321"/>
    <x v="0"/>
    <s v="South Carolfort"/>
    <x v="1"/>
    <n v="16.170000000000002"/>
    <n v="94"/>
    <x v="2"/>
    <x v="1"/>
    <s v="UK"/>
    <n v="43"/>
    <s v="Medium"/>
    <s v="Excellent"/>
  </r>
  <r>
    <x v="3"/>
    <x v="22"/>
    <x v="2322"/>
    <x v="0"/>
    <s v="Yorkbury"/>
    <x v="0"/>
    <n v="12.2"/>
    <n v="81"/>
    <x v="1"/>
    <x v="0"/>
    <s v="Germany"/>
    <n v="310"/>
    <s v="Low"/>
    <s v="Good"/>
  </r>
  <r>
    <x v="1"/>
    <x v="21"/>
    <x v="2323"/>
    <x v="0"/>
    <s v="East Nicoleside"/>
    <x v="1"/>
    <n v="2.5099999999999998"/>
    <n v="86"/>
    <x v="1"/>
    <x v="2"/>
    <s v="UK"/>
    <n v="78"/>
    <s v="Low"/>
    <s v="Good"/>
  </r>
  <r>
    <x v="0"/>
    <x v="17"/>
    <x v="2324"/>
    <x v="0"/>
    <s v="Nealmouth"/>
    <x v="3"/>
    <n v="41.83"/>
    <n v="66"/>
    <x v="4"/>
    <x v="2"/>
    <s v="Germany, Israel"/>
    <n v="288"/>
    <s v="High"/>
    <s v="Average"/>
  </r>
  <r>
    <x v="6"/>
    <x v="6"/>
    <x v="2325"/>
    <x v="1"/>
    <s v="South Kathryn"/>
    <x v="3"/>
    <n v="21.46"/>
    <n v="95"/>
    <x v="3"/>
    <x v="0"/>
    <s v="USA, India, UK"/>
    <n v="300"/>
    <s v="Medium"/>
    <s v="Excellent"/>
  </r>
  <r>
    <x v="5"/>
    <x v="20"/>
    <x v="2326"/>
    <x v="0"/>
    <s v="Lake Jennystad"/>
    <x v="4"/>
    <n v="12.39"/>
    <n v="91"/>
    <x v="2"/>
    <x v="0"/>
    <s v="USA, Germany"/>
    <n v="127"/>
    <s v="Low"/>
    <s v="Excellent"/>
  </r>
  <r>
    <x v="7"/>
    <x v="25"/>
    <x v="2327"/>
    <x v="0"/>
    <s v="North Connorton"/>
    <x v="1"/>
    <n v="3.02"/>
    <n v="52"/>
    <x v="3"/>
    <x v="0"/>
    <s v="Germany, France, Russia"/>
    <n v="17"/>
    <s v="Low"/>
    <s v="Average"/>
  </r>
  <r>
    <x v="3"/>
    <x v="6"/>
    <x v="2328"/>
    <x v="1"/>
    <s v="Jonesside"/>
    <x v="0"/>
    <n v="38.51"/>
    <n v="59"/>
    <x v="4"/>
    <x v="0"/>
    <s v="USA, China"/>
    <n v="115"/>
    <s v="High"/>
    <s v="Average"/>
  </r>
  <r>
    <x v="4"/>
    <x v="9"/>
    <x v="2329"/>
    <x v="1"/>
    <s v="Royside"/>
    <x v="0"/>
    <n v="7.88"/>
    <n v="85"/>
    <x v="1"/>
    <x v="0"/>
    <s v="China"/>
    <n v="249"/>
    <s v="Low"/>
    <s v="Good"/>
  </r>
  <r>
    <x v="2"/>
    <x v="17"/>
    <x v="2330"/>
    <x v="1"/>
    <s v="Flemingshire"/>
    <x v="3"/>
    <n v="45.43"/>
    <n v="50"/>
    <x v="1"/>
    <x v="0"/>
    <s v="USA"/>
    <n v="23"/>
    <s v="High"/>
    <s v="Average"/>
  </r>
  <r>
    <x v="8"/>
    <x v="2"/>
    <x v="2331"/>
    <x v="1"/>
    <s v="Richardside"/>
    <x v="0"/>
    <n v="17.739999999999998"/>
    <n v="84"/>
    <x v="3"/>
    <x v="0"/>
    <s v="Japan"/>
    <n v="280"/>
    <s v="Medium"/>
    <s v="Good"/>
  </r>
  <r>
    <x v="0"/>
    <x v="11"/>
    <x v="2332"/>
    <x v="0"/>
    <s v="Donaldbury"/>
    <x v="4"/>
    <n v="10.84"/>
    <n v="91"/>
    <x v="2"/>
    <x v="2"/>
    <s v="Russia, USA"/>
    <n v="38"/>
    <s v="Low"/>
    <s v="Excellent"/>
  </r>
  <r>
    <x v="1"/>
    <x v="19"/>
    <x v="2333"/>
    <x v="0"/>
    <s v="Lake Amberburgh"/>
    <x v="1"/>
    <n v="3.63"/>
    <n v="74"/>
    <x v="1"/>
    <x v="1"/>
    <s v="USA, France"/>
    <n v="332"/>
    <s v="Low"/>
    <s v="Average"/>
  </r>
  <r>
    <x v="6"/>
    <x v="17"/>
    <x v="2334"/>
    <x v="0"/>
    <s v="East Stephanie"/>
    <x v="1"/>
    <n v="23.55"/>
    <n v="60"/>
    <x v="0"/>
    <x v="2"/>
    <s v="Germany"/>
    <n v="353"/>
    <s v="Medium"/>
    <s v="Average"/>
  </r>
  <r>
    <x v="4"/>
    <x v="0"/>
    <x v="2335"/>
    <x v="1"/>
    <s v="Benjaminborough"/>
    <x v="4"/>
    <n v="24.74"/>
    <n v="55"/>
    <x v="3"/>
    <x v="0"/>
    <s v="India, Germany"/>
    <n v="211"/>
    <s v="Medium"/>
    <s v="Average"/>
  </r>
  <r>
    <x v="2"/>
    <x v="13"/>
    <x v="2336"/>
    <x v="0"/>
    <s v="New Jeffrey"/>
    <x v="3"/>
    <n v="0.88"/>
    <n v="85"/>
    <x v="3"/>
    <x v="1"/>
    <s v="Russia"/>
    <n v="101"/>
    <s v="Low"/>
    <s v="Good"/>
  </r>
  <r>
    <x v="7"/>
    <x v="20"/>
    <x v="2337"/>
    <x v="0"/>
    <s v="Lake Juliestad"/>
    <x v="4"/>
    <n v="49.22"/>
    <n v="85"/>
    <x v="3"/>
    <x v="0"/>
    <s v="USA, Japan"/>
    <n v="307"/>
    <s v="High"/>
    <s v="Good"/>
  </r>
  <r>
    <x v="7"/>
    <x v="15"/>
    <x v="2338"/>
    <x v="1"/>
    <s v="Margaretborough"/>
    <x v="1"/>
    <n v="28.47"/>
    <n v="58"/>
    <x v="3"/>
    <x v="2"/>
    <s v="Israel"/>
    <n v="231"/>
    <s v="Medium"/>
    <s v="Average"/>
  </r>
  <r>
    <x v="6"/>
    <x v="4"/>
    <x v="2339"/>
    <x v="0"/>
    <s v="South Sherylview"/>
    <x v="2"/>
    <n v="29.53"/>
    <n v="72"/>
    <x v="1"/>
    <x v="1"/>
    <s v="Germany"/>
    <n v="137"/>
    <s v="Medium"/>
    <s v="Average"/>
  </r>
  <r>
    <x v="1"/>
    <x v="11"/>
    <x v="2340"/>
    <x v="0"/>
    <s v="Nguyenburgh"/>
    <x v="2"/>
    <n v="20.05"/>
    <n v="69"/>
    <x v="0"/>
    <x v="0"/>
    <s v="Germany, UAE"/>
    <n v="359"/>
    <s v="Medium"/>
    <s v="Average"/>
  </r>
  <r>
    <x v="5"/>
    <x v="4"/>
    <x v="2341"/>
    <x v="0"/>
    <s v="Benjaminfurt"/>
    <x v="4"/>
    <n v="1.58"/>
    <n v="70"/>
    <x v="0"/>
    <x v="2"/>
    <s v="UK"/>
    <n v="19"/>
    <s v="Low"/>
    <s v="Average"/>
  </r>
  <r>
    <x v="9"/>
    <x v="13"/>
    <x v="2342"/>
    <x v="0"/>
    <s v="Hartchester"/>
    <x v="0"/>
    <n v="47.75"/>
    <n v="57"/>
    <x v="3"/>
    <x v="1"/>
    <s v="UAE, Russia"/>
    <n v="305"/>
    <s v="High"/>
    <s v="Average"/>
  </r>
  <r>
    <x v="2"/>
    <x v="5"/>
    <x v="2343"/>
    <x v="0"/>
    <s v="Michaelside"/>
    <x v="1"/>
    <n v="39.15"/>
    <n v="93"/>
    <x v="3"/>
    <x v="0"/>
    <s v="Israel, Germany"/>
    <n v="95"/>
    <s v="High"/>
    <s v="Excellent"/>
  </r>
  <r>
    <x v="3"/>
    <x v="9"/>
    <x v="2344"/>
    <x v="0"/>
    <s v="Jeffreymouth"/>
    <x v="1"/>
    <n v="39.65"/>
    <n v="51"/>
    <x v="0"/>
    <x v="0"/>
    <s v="Russia, Germany"/>
    <n v="200"/>
    <s v="High"/>
    <s v="Average"/>
  </r>
  <r>
    <x v="8"/>
    <x v="19"/>
    <x v="2345"/>
    <x v="1"/>
    <s v="Gardnerville"/>
    <x v="1"/>
    <n v="6.07"/>
    <n v="93"/>
    <x v="4"/>
    <x v="2"/>
    <s v="Israel"/>
    <n v="114"/>
    <s v="Low"/>
    <s v="Excellent"/>
  </r>
  <r>
    <x v="7"/>
    <x v="9"/>
    <x v="2346"/>
    <x v="0"/>
    <s v="Port Mary"/>
    <x v="4"/>
    <n v="28.04"/>
    <n v="54"/>
    <x v="1"/>
    <x v="1"/>
    <s v="France, India, Japan"/>
    <n v="315"/>
    <s v="Medium"/>
    <s v="Average"/>
  </r>
  <r>
    <x v="6"/>
    <x v="17"/>
    <x v="2347"/>
    <x v="0"/>
    <s v="New Michael"/>
    <x v="0"/>
    <n v="2.38"/>
    <n v="84"/>
    <x v="1"/>
    <x v="0"/>
    <s v="USA, Russia"/>
    <n v="69"/>
    <s v="Low"/>
    <s v="Good"/>
  </r>
  <r>
    <x v="9"/>
    <x v="4"/>
    <x v="2348"/>
    <x v="1"/>
    <s v="Margaretfurt"/>
    <x v="2"/>
    <n v="25.44"/>
    <n v="99"/>
    <x v="3"/>
    <x v="0"/>
    <s v="UAE, UK, India"/>
    <n v="231"/>
    <s v="Medium"/>
    <s v="Excellent"/>
  </r>
  <r>
    <x v="7"/>
    <x v="8"/>
    <x v="2349"/>
    <x v="0"/>
    <s v="Jamestown"/>
    <x v="3"/>
    <n v="41.42"/>
    <n v="90"/>
    <x v="1"/>
    <x v="2"/>
    <s v="Russia, Israel"/>
    <n v="45"/>
    <s v="High"/>
    <s v="Excellent"/>
  </r>
  <r>
    <x v="1"/>
    <x v="8"/>
    <x v="2350"/>
    <x v="1"/>
    <s v="Robinsonville"/>
    <x v="3"/>
    <n v="40.82"/>
    <n v="86"/>
    <x v="0"/>
    <x v="2"/>
    <s v="USA, Japan, France"/>
    <n v="39"/>
    <s v="High"/>
    <s v="Good"/>
  </r>
  <r>
    <x v="3"/>
    <x v="8"/>
    <x v="2351"/>
    <x v="1"/>
    <s v="Ortegaport"/>
    <x v="2"/>
    <n v="41.97"/>
    <n v="67"/>
    <x v="2"/>
    <x v="1"/>
    <s v="Germany, UK, China"/>
    <n v="42"/>
    <s v="High"/>
    <s v="Average"/>
  </r>
  <r>
    <x v="7"/>
    <x v="24"/>
    <x v="2352"/>
    <x v="1"/>
    <s v="Richardsfort"/>
    <x v="1"/>
    <n v="9.24"/>
    <n v="100"/>
    <x v="2"/>
    <x v="0"/>
    <s v="USA, India, China"/>
    <n v="71"/>
    <s v="Low"/>
    <s v="Excellent"/>
  </r>
  <r>
    <x v="9"/>
    <x v="19"/>
    <x v="2353"/>
    <x v="0"/>
    <s v="Briannafurt"/>
    <x v="2"/>
    <n v="13.92"/>
    <n v="96"/>
    <x v="2"/>
    <x v="2"/>
    <s v="India, USA, Israel"/>
    <n v="111"/>
    <s v="Low"/>
    <s v="Excellent"/>
  </r>
  <r>
    <x v="7"/>
    <x v="25"/>
    <x v="2354"/>
    <x v="1"/>
    <s v="Maryfurt"/>
    <x v="0"/>
    <n v="40.159999999999997"/>
    <n v="65"/>
    <x v="1"/>
    <x v="1"/>
    <s v="USA"/>
    <n v="191"/>
    <s v="High"/>
    <s v="Average"/>
  </r>
  <r>
    <x v="1"/>
    <x v="24"/>
    <x v="2355"/>
    <x v="1"/>
    <s v="Melanieport"/>
    <x v="1"/>
    <n v="29"/>
    <n v="74"/>
    <x v="2"/>
    <x v="0"/>
    <s v="UAE, UK"/>
    <n v="177"/>
    <s v="Medium"/>
    <s v="Average"/>
  </r>
  <r>
    <x v="3"/>
    <x v="18"/>
    <x v="2356"/>
    <x v="1"/>
    <s v="South Samuel"/>
    <x v="1"/>
    <n v="44.31"/>
    <n v="57"/>
    <x v="0"/>
    <x v="2"/>
    <s v="USA, China"/>
    <n v="164"/>
    <s v="High"/>
    <s v="Average"/>
  </r>
  <r>
    <x v="6"/>
    <x v="0"/>
    <x v="2357"/>
    <x v="0"/>
    <s v="North Shelly"/>
    <x v="2"/>
    <n v="6.32"/>
    <n v="55"/>
    <x v="1"/>
    <x v="1"/>
    <s v="UAE"/>
    <n v="344"/>
    <s v="Low"/>
    <s v="Average"/>
  </r>
  <r>
    <x v="0"/>
    <x v="3"/>
    <x v="2358"/>
    <x v="1"/>
    <s v="Schneiderchester"/>
    <x v="1"/>
    <n v="33.56"/>
    <n v="81"/>
    <x v="1"/>
    <x v="2"/>
    <s v="UAE, India, Russia"/>
    <n v="241"/>
    <s v="Medium"/>
    <s v="Good"/>
  </r>
  <r>
    <x v="6"/>
    <x v="13"/>
    <x v="2359"/>
    <x v="1"/>
    <s v="Port Douglasburgh"/>
    <x v="3"/>
    <n v="11.43"/>
    <n v="85"/>
    <x v="0"/>
    <x v="1"/>
    <s v="UK, Germany"/>
    <n v="342"/>
    <s v="Low"/>
    <s v="Good"/>
  </r>
  <r>
    <x v="3"/>
    <x v="0"/>
    <x v="2360"/>
    <x v="1"/>
    <s v="Carrieport"/>
    <x v="1"/>
    <n v="8.42"/>
    <n v="51"/>
    <x v="1"/>
    <x v="1"/>
    <s v="Germany, Japan"/>
    <n v="15"/>
    <s v="Low"/>
    <s v="Average"/>
  </r>
  <r>
    <x v="3"/>
    <x v="23"/>
    <x v="2361"/>
    <x v="1"/>
    <s v="New Jennifer"/>
    <x v="4"/>
    <n v="45.37"/>
    <n v="85"/>
    <x v="4"/>
    <x v="0"/>
    <s v="UAE, China"/>
    <n v="116"/>
    <s v="High"/>
    <s v="Good"/>
  </r>
  <r>
    <x v="2"/>
    <x v="19"/>
    <x v="2362"/>
    <x v="1"/>
    <s v="Paulaview"/>
    <x v="0"/>
    <n v="23.2"/>
    <n v="90"/>
    <x v="1"/>
    <x v="1"/>
    <s v="Japan, UK, Russia"/>
    <n v="84"/>
    <s v="Medium"/>
    <s v="Excellent"/>
  </r>
  <r>
    <x v="9"/>
    <x v="25"/>
    <x v="2363"/>
    <x v="1"/>
    <s v="Snyderfort"/>
    <x v="4"/>
    <n v="43.9"/>
    <n v="87"/>
    <x v="3"/>
    <x v="1"/>
    <s v="Russia"/>
    <n v="255"/>
    <s v="High"/>
    <s v="Good"/>
  </r>
  <r>
    <x v="5"/>
    <x v="14"/>
    <x v="2364"/>
    <x v="1"/>
    <s v="South Kimberlyfort"/>
    <x v="4"/>
    <n v="8.4"/>
    <n v="95"/>
    <x v="1"/>
    <x v="0"/>
    <s v="Russia"/>
    <n v="247"/>
    <s v="Low"/>
    <s v="Excellent"/>
  </r>
  <r>
    <x v="5"/>
    <x v="25"/>
    <x v="2365"/>
    <x v="0"/>
    <s v="West Kirkburgh"/>
    <x v="4"/>
    <n v="46.94"/>
    <n v="85"/>
    <x v="4"/>
    <x v="0"/>
    <s v="Russia, UAE"/>
    <n v="162"/>
    <s v="High"/>
    <s v="Good"/>
  </r>
  <r>
    <x v="3"/>
    <x v="4"/>
    <x v="2366"/>
    <x v="0"/>
    <s v="East Sharon"/>
    <x v="0"/>
    <n v="49.51"/>
    <n v="97"/>
    <x v="0"/>
    <x v="1"/>
    <s v="UK, Germany"/>
    <n v="29"/>
    <s v="High"/>
    <s v="Excellent"/>
  </r>
  <r>
    <x v="9"/>
    <x v="6"/>
    <x v="2367"/>
    <x v="0"/>
    <s v="New Jessicamouth"/>
    <x v="1"/>
    <n v="41.28"/>
    <n v="57"/>
    <x v="1"/>
    <x v="0"/>
    <s v="Japan, Israel"/>
    <n v="136"/>
    <s v="High"/>
    <s v="Average"/>
  </r>
  <r>
    <x v="4"/>
    <x v="22"/>
    <x v="2368"/>
    <x v="0"/>
    <s v="Davisside"/>
    <x v="4"/>
    <n v="3.27"/>
    <n v="63"/>
    <x v="4"/>
    <x v="1"/>
    <s v="China"/>
    <n v="172"/>
    <s v="Low"/>
    <s v="Average"/>
  </r>
  <r>
    <x v="6"/>
    <x v="3"/>
    <x v="2369"/>
    <x v="1"/>
    <s v="Brandonbury"/>
    <x v="0"/>
    <n v="2.96"/>
    <n v="60"/>
    <x v="1"/>
    <x v="0"/>
    <s v="UAE"/>
    <n v="25"/>
    <s v="Low"/>
    <s v="Average"/>
  </r>
  <r>
    <x v="9"/>
    <x v="1"/>
    <x v="2370"/>
    <x v="0"/>
    <s v="Kennethhaven"/>
    <x v="2"/>
    <n v="29.2"/>
    <n v="86"/>
    <x v="3"/>
    <x v="0"/>
    <s v="Germany, Japan, China"/>
    <n v="298"/>
    <s v="Medium"/>
    <s v="Good"/>
  </r>
  <r>
    <x v="7"/>
    <x v="20"/>
    <x v="2371"/>
    <x v="1"/>
    <s v="Wilsonfort"/>
    <x v="1"/>
    <n v="10.1"/>
    <n v="81"/>
    <x v="3"/>
    <x v="2"/>
    <s v="UK"/>
    <n v="12"/>
    <s v="Low"/>
    <s v="Good"/>
  </r>
  <r>
    <x v="1"/>
    <x v="24"/>
    <x v="2372"/>
    <x v="1"/>
    <s v="New James"/>
    <x v="1"/>
    <n v="25.85"/>
    <n v="77"/>
    <x v="4"/>
    <x v="0"/>
    <s v="UAE, Japan, China"/>
    <n v="200"/>
    <s v="Medium"/>
    <s v="Good"/>
  </r>
  <r>
    <x v="5"/>
    <x v="17"/>
    <x v="2373"/>
    <x v="0"/>
    <s v="North Courtney"/>
    <x v="2"/>
    <n v="10.32"/>
    <n v="86"/>
    <x v="4"/>
    <x v="1"/>
    <s v="Japan, Russia"/>
    <n v="260"/>
    <s v="Low"/>
    <s v="Good"/>
  </r>
  <r>
    <x v="4"/>
    <x v="14"/>
    <x v="2374"/>
    <x v="1"/>
    <s v="Port Dylanville"/>
    <x v="1"/>
    <n v="10.73"/>
    <n v="67"/>
    <x v="2"/>
    <x v="0"/>
    <s v="Israel"/>
    <n v="248"/>
    <s v="Low"/>
    <s v="Average"/>
  </r>
  <r>
    <x v="5"/>
    <x v="1"/>
    <x v="2375"/>
    <x v="1"/>
    <s v="West Collinfurt"/>
    <x v="0"/>
    <n v="37.479999999999997"/>
    <n v="86"/>
    <x v="3"/>
    <x v="1"/>
    <s v="Japan, UK, Russia"/>
    <n v="189"/>
    <s v="High"/>
    <s v="Good"/>
  </r>
  <r>
    <x v="9"/>
    <x v="15"/>
    <x v="2376"/>
    <x v="1"/>
    <s v="West Michael"/>
    <x v="3"/>
    <n v="33.18"/>
    <n v="72"/>
    <x v="1"/>
    <x v="1"/>
    <s v="UAE"/>
    <n v="176"/>
    <s v="Medium"/>
    <s v="Average"/>
  </r>
  <r>
    <x v="7"/>
    <x v="19"/>
    <x v="2377"/>
    <x v="1"/>
    <s v="Myersburgh"/>
    <x v="3"/>
    <n v="24.74"/>
    <n v="87"/>
    <x v="2"/>
    <x v="2"/>
    <s v="China, UK"/>
    <n v="61"/>
    <s v="Medium"/>
    <s v="Good"/>
  </r>
  <r>
    <x v="0"/>
    <x v="16"/>
    <x v="2378"/>
    <x v="0"/>
    <s v="Bethanyhaven"/>
    <x v="2"/>
    <n v="44.84"/>
    <n v="79"/>
    <x v="0"/>
    <x v="0"/>
    <s v="UK, UAE"/>
    <n v="308"/>
    <s v="High"/>
    <s v="Good"/>
  </r>
  <r>
    <x v="6"/>
    <x v="5"/>
    <x v="2379"/>
    <x v="1"/>
    <s v="Steelemouth"/>
    <x v="2"/>
    <n v="5.34"/>
    <n v="68"/>
    <x v="4"/>
    <x v="2"/>
    <s v="Japan, UK"/>
    <n v="24"/>
    <s v="Low"/>
    <s v="Average"/>
  </r>
  <r>
    <x v="3"/>
    <x v="24"/>
    <x v="2380"/>
    <x v="1"/>
    <s v="New Justinberg"/>
    <x v="0"/>
    <n v="4.26"/>
    <n v="61"/>
    <x v="0"/>
    <x v="1"/>
    <s v="UK, USA"/>
    <n v="110"/>
    <s v="Low"/>
    <s v="Average"/>
  </r>
  <r>
    <x v="5"/>
    <x v="20"/>
    <x v="2381"/>
    <x v="1"/>
    <s v="North Samuel"/>
    <x v="4"/>
    <n v="29.46"/>
    <n v="70"/>
    <x v="1"/>
    <x v="1"/>
    <s v="UAE, Israel"/>
    <n v="297"/>
    <s v="Medium"/>
    <s v="Average"/>
  </r>
  <r>
    <x v="2"/>
    <x v="17"/>
    <x v="2382"/>
    <x v="0"/>
    <s v="Adamsshire"/>
    <x v="1"/>
    <n v="33.25"/>
    <n v="60"/>
    <x v="3"/>
    <x v="2"/>
    <s v="Russia, USA, UAE"/>
    <n v="48"/>
    <s v="Medium"/>
    <s v="Average"/>
  </r>
  <r>
    <x v="1"/>
    <x v="11"/>
    <x v="2383"/>
    <x v="1"/>
    <s v="West Alexander"/>
    <x v="4"/>
    <n v="48.84"/>
    <n v="68"/>
    <x v="4"/>
    <x v="0"/>
    <s v="India"/>
    <n v="301"/>
    <s v="High"/>
    <s v="Average"/>
  </r>
  <r>
    <x v="8"/>
    <x v="19"/>
    <x v="2384"/>
    <x v="0"/>
    <s v="New Amy"/>
    <x v="1"/>
    <n v="7.91"/>
    <n v="60"/>
    <x v="4"/>
    <x v="0"/>
    <s v="France, China"/>
    <n v="229"/>
    <s v="Low"/>
    <s v="Average"/>
  </r>
  <r>
    <x v="5"/>
    <x v="5"/>
    <x v="2385"/>
    <x v="0"/>
    <s v="Lake Crystalmouth"/>
    <x v="4"/>
    <n v="24.81"/>
    <n v="65"/>
    <x v="0"/>
    <x v="0"/>
    <s v="Israel, USA, Japan"/>
    <n v="230"/>
    <s v="Medium"/>
    <s v="Average"/>
  </r>
  <r>
    <x v="6"/>
    <x v="8"/>
    <x v="2386"/>
    <x v="0"/>
    <s v="North Lisaburgh"/>
    <x v="2"/>
    <n v="9.43"/>
    <n v="85"/>
    <x v="3"/>
    <x v="1"/>
    <s v="USA"/>
    <n v="357"/>
    <s v="Low"/>
    <s v="Good"/>
  </r>
  <r>
    <x v="6"/>
    <x v="19"/>
    <x v="2387"/>
    <x v="1"/>
    <s v="West Kevinfurt"/>
    <x v="2"/>
    <n v="2.31"/>
    <n v="66"/>
    <x v="2"/>
    <x v="2"/>
    <s v="Russia, Japan, Israel"/>
    <n v="310"/>
    <s v="Low"/>
    <s v="Average"/>
  </r>
  <r>
    <x v="5"/>
    <x v="5"/>
    <x v="2388"/>
    <x v="0"/>
    <s v="New Laceyland"/>
    <x v="0"/>
    <n v="0.97"/>
    <n v="91"/>
    <x v="1"/>
    <x v="0"/>
    <s v="USA, Russia"/>
    <n v="272"/>
    <s v="Low"/>
    <s v="Excellent"/>
  </r>
  <r>
    <x v="9"/>
    <x v="16"/>
    <x v="2389"/>
    <x v="0"/>
    <s v="Kristaborough"/>
    <x v="0"/>
    <n v="23.43"/>
    <n v="85"/>
    <x v="0"/>
    <x v="2"/>
    <s v="India, USA, Germany"/>
    <n v="91"/>
    <s v="Medium"/>
    <s v="Good"/>
  </r>
  <r>
    <x v="2"/>
    <x v="21"/>
    <x v="2390"/>
    <x v="1"/>
    <s v="Francoshire"/>
    <x v="2"/>
    <n v="7.26"/>
    <n v="63"/>
    <x v="1"/>
    <x v="0"/>
    <s v="UK"/>
    <n v="47"/>
    <s v="Low"/>
    <s v="Average"/>
  </r>
  <r>
    <x v="0"/>
    <x v="6"/>
    <x v="2391"/>
    <x v="0"/>
    <s v="Parkberg"/>
    <x v="1"/>
    <n v="13.53"/>
    <n v="87"/>
    <x v="4"/>
    <x v="2"/>
    <s v="UK"/>
    <n v="181"/>
    <s v="Low"/>
    <s v="Good"/>
  </r>
  <r>
    <x v="9"/>
    <x v="8"/>
    <x v="2392"/>
    <x v="1"/>
    <s v="Jonland"/>
    <x v="0"/>
    <n v="8.2200000000000006"/>
    <n v="95"/>
    <x v="4"/>
    <x v="1"/>
    <s v="UAE, Japan, China"/>
    <n v="44"/>
    <s v="Low"/>
    <s v="Excellent"/>
  </r>
  <r>
    <x v="0"/>
    <x v="21"/>
    <x v="2393"/>
    <x v="0"/>
    <s v="Huntstad"/>
    <x v="1"/>
    <n v="43.74"/>
    <n v="91"/>
    <x v="0"/>
    <x v="0"/>
    <s v="USA"/>
    <n v="223"/>
    <s v="High"/>
    <s v="Excellent"/>
  </r>
  <r>
    <x v="0"/>
    <x v="7"/>
    <x v="2394"/>
    <x v="1"/>
    <s v="East Rogershire"/>
    <x v="1"/>
    <n v="26.6"/>
    <n v="100"/>
    <x v="3"/>
    <x v="1"/>
    <s v="Germany, Israel, France"/>
    <n v="13"/>
    <s v="Medium"/>
    <s v="Excellent"/>
  </r>
  <r>
    <x v="5"/>
    <x v="20"/>
    <x v="2395"/>
    <x v="0"/>
    <s v="Georgebury"/>
    <x v="2"/>
    <n v="46.49"/>
    <n v="77"/>
    <x v="2"/>
    <x v="0"/>
    <s v="USA"/>
    <n v="353"/>
    <s v="High"/>
    <s v="Good"/>
  </r>
  <r>
    <x v="4"/>
    <x v="17"/>
    <x v="2396"/>
    <x v="1"/>
    <s v="East Donna"/>
    <x v="0"/>
    <n v="40.22"/>
    <n v="62"/>
    <x v="4"/>
    <x v="0"/>
    <s v="Russia, India, UAE"/>
    <n v="229"/>
    <s v="High"/>
    <s v="Average"/>
  </r>
  <r>
    <x v="8"/>
    <x v="1"/>
    <x v="2397"/>
    <x v="1"/>
    <s v="Jamieview"/>
    <x v="1"/>
    <n v="18.27"/>
    <n v="97"/>
    <x v="4"/>
    <x v="1"/>
    <s v="China, Germany"/>
    <n v="270"/>
    <s v="Medium"/>
    <s v="Excellent"/>
  </r>
  <r>
    <x v="5"/>
    <x v="18"/>
    <x v="2398"/>
    <x v="1"/>
    <s v="Johnfort"/>
    <x v="4"/>
    <n v="22.05"/>
    <n v="82"/>
    <x v="1"/>
    <x v="2"/>
    <s v="UK, Russia, Israel"/>
    <n v="38"/>
    <s v="Medium"/>
    <s v="Good"/>
  </r>
  <r>
    <x v="2"/>
    <x v="20"/>
    <x v="2399"/>
    <x v="1"/>
    <s v="Lisafort"/>
    <x v="1"/>
    <n v="33.799999999999997"/>
    <n v="74"/>
    <x v="4"/>
    <x v="1"/>
    <s v="France"/>
    <n v="243"/>
    <s v="Medium"/>
    <s v="Average"/>
  </r>
  <r>
    <x v="1"/>
    <x v="22"/>
    <x v="2400"/>
    <x v="0"/>
    <s v="Priscillafurt"/>
    <x v="0"/>
    <n v="10.78"/>
    <n v="97"/>
    <x v="3"/>
    <x v="2"/>
    <s v="UAE"/>
    <n v="66"/>
    <s v="Low"/>
    <s v="Excellent"/>
  </r>
  <r>
    <x v="7"/>
    <x v="15"/>
    <x v="2401"/>
    <x v="0"/>
    <s v="Jonesberg"/>
    <x v="0"/>
    <n v="37.200000000000003"/>
    <n v="80"/>
    <x v="3"/>
    <x v="1"/>
    <s v="UK, USA, Russia"/>
    <n v="194"/>
    <s v="High"/>
    <s v="Good"/>
  </r>
  <r>
    <x v="1"/>
    <x v="2"/>
    <x v="2402"/>
    <x v="0"/>
    <s v="Stephentown"/>
    <x v="0"/>
    <n v="23.02"/>
    <n v="53"/>
    <x v="0"/>
    <x v="0"/>
    <s v="UAE, Germany"/>
    <n v="236"/>
    <s v="Medium"/>
    <s v="Average"/>
  </r>
  <r>
    <x v="7"/>
    <x v="8"/>
    <x v="2403"/>
    <x v="0"/>
    <s v="Chadfort"/>
    <x v="2"/>
    <n v="34.36"/>
    <n v="80"/>
    <x v="1"/>
    <x v="0"/>
    <s v="Israel, Japan, France"/>
    <n v="118"/>
    <s v="Medium"/>
    <s v="Good"/>
  </r>
  <r>
    <x v="0"/>
    <x v="25"/>
    <x v="2404"/>
    <x v="0"/>
    <s v="Watkinsside"/>
    <x v="3"/>
    <n v="14.41"/>
    <n v="92"/>
    <x v="3"/>
    <x v="2"/>
    <s v="USA"/>
    <n v="251"/>
    <s v="Low"/>
    <s v="Excellent"/>
  </r>
  <r>
    <x v="2"/>
    <x v="7"/>
    <x v="2405"/>
    <x v="1"/>
    <s v="Robertsland"/>
    <x v="1"/>
    <n v="17.649999999999999"/>
    <n v="89"/>
    <x v="4"/>
    <x v="1"/>
    <s v="Japan, USA, China"/>
    <n v="335"/>
    <s v="Medium"/>
    <s v="Good"/>
  </r>
  <r>
    <x v="0"/>
    <x v="16"/>
    <x v="2406"/>
    <x v="0"/>
    <s v="Greenfort"/>
    <x v="0"/>
    <n v="4.93"/>
    <n v="65"/>
    <x v="2"/>
    <x v="0"/>
    <s v="Japan, Russia, India"/>
    <n v="276"/>
    <s v="Low"/>
    <s v="Average"/>
  </r>
  <r>
    <x v="6"/>
    <x v="14"/>
    <x v="2407"/>
    <x v="0"/>
    <s v="Raymouth"/>
    <x v="2"/>
    <n v="41.81"/>
    <n v="85"/>
    <x v="0"/>
    <x v="2"/>
    <s v="Israel"/>
    <n v="301"/>
    <s v="High"/>
    <s v="Good"/>
  </r>
  <r>
    <x v="9"/>
    <x v="13"/>
    <x v="2408"/>
    <x v="1"/>
    <s v="East Kaylaville"/>
    <x v="0"/>
    <n v="19.559999999999999"/>
    <n v="68"/>
    <x v="3"/>
    <x v="1"/>
    <s v="Japan, Germany, China"/>
    <n v="300"/>
    <s v="Medium"/>
    <s v="Average"/>
  </r>
  <r>
    <x v="4"/>
    <x v="9"/>
    <x v="2409"/>
    <x v="0"/>
    <s v="Benjaminhaven"/>
    <x v="3"/>
    <n v="8.35"/>
    <n v="86"/>
    <x v="2"/>
    <x v="1"/>
    <s v="Israel, China"/>
    <n v="142"/>
    <s v="Low"/>
    <s v="Good"/>
  </r>
  <r>
    <x v="2"/>
    <x v="12"/>
    <x v="2410"/>
    <x v="1"/>
    <s v="North Lisafort"/>
    <x v="1"/>
    <n v="17.22"/>
    <n v="50"/>
    <x v="2"/>
    <x v="1"/>
    <s v="France, India, UAE"/>
    <n v="138"/>
    <s v="Medium"/>
    <s v="Average"/>
  </r>
  <r>
    <x v="3"/>
    <x v="2"/>
    <x v="2411"/>
    <x v="0"/>
    <s v="Jasonfort"/>
    <x v="4"/>
    <n v="44.8"/>
    <n v="81"/>
    <x v="3"/>
    <x v="2"/>
    <s v="Germany"/>
    <n v="193"/>
    <s v="High"/>
    <s v="Good"/>
  </r>
  <r>
    <x v="7"/>
    <x v="20"/>
    <x v="2412"/>
    <x v="1"/>
    <s v="Lake David"/>
    <x v="4"/>
    <n v="35.21"/>
    <n v="55"/>
    <x v="2"/>
    <x v="2"/>
    <s v="USA"/>
    <n v="222"/>
    <s v="High"/>
    <s v="Average"/>
  </r>
  <r>
    <x v="8"/>
    <x v="0"/>
    <x v="2413"/>
    <x v="1"/>
    <s v="West Michaelchester"/>
    <x v="1"/>
    <n v="13.7"/>
    <n v="84"/>
    <x v="2"/>
    <x v="0"/>
    <s v="USA, UK"/>
    <n v="105"/>
    <s v="Low"/>
    <s v="Good"/>
  </r>
  <r>
    <x v="2"/>
    <x v="17"/>
    <x v="2414"/>
    <x v="0"/>
    <s v="Daviston"/>
    <x v="1"/>
    <n v="25.52"/>
    <n v="85"/>
    <x v="0"/>
    <x v="1"/>
    <s v="USA"/>
    <n v="290"/>
    <s v="Medium"/>
    <s v="Good"/>
  </r>
  <r>
    <x v="4"/>
    <x v="9"/>
    <x v="2415"/>
    <x v="0"/>
    <s v="South John"/>
    <x v="4"/>
    <n v="33.15"/>
    <n v="68"/>
    <x v="1"/>
    <x v="2"/>
    <s v="India, USA"/>
    <n v="327"/>
    <s v="Medium"/>
    <s v="Average"/>
  </r>
  <r>
    <x v="3"/>
    <x v="10"/>
    <x v="2416"/>
    <x v="0"/>
    <s v="Martinezmouth"/>
    <x v="0"/>
    <n v="8.82"/>
    <n v="67"/>
    <x v="1"/>
    <x v="2"/>
    <s v="France"/>
    <n v="172"/>
    <s v="Low"/>
    <s v="Average"/>
  </r>
  <r>
    <x v="5"/>
    <x v="7"/>
    <x v="2417"/>
    <x v="1"/>
    <s v="Travischester"/>
    <x v="2"/>
    <n v="34.04"/>
    <n v="75"/>
    <x v="4"/>
    <x v="0"/>
    <s v="Israel, UAE, USA"/>
    <n v="26"/>
    <s v="Medium"/>
    <s v="Good"/>
  </r>
  <r>
    <x v="3"/>
    <x v="0"/>
    <x v="2418"/>
    <x v="0"/>
    <s v="Sarahville"/>
    <x v="2"/>
    <n v="22.62"/>
    <n v="74"/>
    <x v="2"/>
    <x v="2"/>
    <s v="Germany, UAE"/>
    <n v="320"/>
    <s v="Medium"/>
    <s v="Average"/>
  </r>
  <r>
    <x v="5"/>
    <x v="23"/>
    <x v="2419"/>
    <x v="0"/>
    <s v="Alanberg"/>
    <x v="4"/>
    <n v="10.38"/>
    <n v="51"/>
    <x v="1"/>
    <x v="0"/>
    <s v="France, Germany, Japan"/>
    <n v="357"/>
    <s v="Low"/>
    <s v="Average"/>
  </r>
  <r>
    <x v="7"/>
    <x v="4"/>
    <x v="2420"/>
    <x v="0"/>
    <s v="Port Gregory"/>
    <x v="1"/>
    <n v="7.87"/>
    <n v="81"/>
    <x v="0"/>
    <x v="0"/>
    <s v="France, India"/>
    <n v="240"/>
    <s v="Low"/>
    <s v="Good"/>
  </r>
  <r>
    <x v="7"/>
    <x v="9"/>
    <x v="2421"/>
    <x v="0"/>
    <s v="West Henryport"/>
    <x v="4"/>
    <n v="26.44"/>
    <n v="84"/>
    <x v="1"/>
    <x v="0"/>
    <s v="UK, USA"/>
    <n v="209"/>
    <s v="Medium"/>
    <s v="Good"/>
  </r>
  <r>
    <x v="6"/>
    <x v="4"/>
    <x v="2422"/>
    <x v="0"/>
    <s v="Nguyenburgh"/>
    <x v="2"/>
    <n v="26.97"/>
    <n v="82"/>
    <x v="1"/>
    <x v="1"/>
    <s v="India"/>
    <n v="51"/>
    <s v="Medium"/>
    <s v="Good"/>
  </r>
  <r>
    <x v="5"/>
    <x v="24"/>
    <x v="2423"/>
    <x v="0"/>
    <s v="Kaneborough"/>
    <x v="3"/>
    <n v="41.25"/>
    <n v="51"/>
    <x v="2"/>
    <x v="2"/>
    <s v="Russia"/>
    <n v="69"/>
    <s v="High"/>
    <s v="Average"/>
  </r>
  <r>
    <x v="3"/>
    <x v="3"/>
    <x v="2424"/>
    <x v="1"/>
    <s v="Jasonborough"/>
    <x v="1"/>
    <n v="4.79"/>
    <n v="93"/>
    <x v="0"/>
    <x v="2"/>
    <s v="India, UAE, Israel"/>
    <n v="122"/>
    <s v="Low"/>
    <s v="Excellent"/>
  </r>
  <r>
    <x v="3"/>
    <x v="18"/>
    <x v="2425"/>
    <x v="0"/>
    <s v="North Jeffrey"/>
    <x v="0"/>
    <n v="10.49"/>
    <n v="55"/>
    <x v="3"/>
    <x v="2"/>
    <s v="Israel"/>
    <n v="278"/>
    <s v="Low"/>
    <s v="Average"/>
  </r>
  <r>
    <x v="2"/>
    <x v="12"/>
    <x v="2426"/>
    <x v="1"/>
    <s v="Garciaton"/>
    <x v="1"/>
    <n v="28.21"/>
    <n v="87"/>
    <x v="4"/>
    <x v="1"/>
    <s v="India"/>
    <n v="40"/>
    <s v="Medium"/>
    <s v="Good"/>
  </r>
  <r>
    <x v="8"/>
    <x v="21"/>
    <x v="2427"/>
    <x v="0"/>
    <s v="Sandraton"/>
    <x v="4"/>
    <n v="34.64"/>
    <n v="68"/>
    <x v="4"/>
    <x v="1"/>
    <s v="Israel, China"/>
    <n v="360"/>
    <s v="Medium"/>
    <s v="Average"/>
  </r>
  <r>
    <x v="8"/>
    <x v="16"/>
    <x v="2428"/>
    <x v="1"/>
    <s v="Kimberlystad"/>
    <x v="1"/>
    <n v="34.119999999999997"/>
    <n v="50"/>
    <x v="3"/>
    <x v="1"/>
    <s v="Japan"/>
    <n v="34"/>
    <s v="Medium"/>
    <s v="Average"/>
  </r>
  <r>
    <x v="7"/>
    <x v="8"/>
    <x v="2429"/>
    <x v="1"/>
    <s v="New Travis"/>
    <x v="1"/>
    <n v="5"/>
    <n v="68"/>
    <x v="2"/>
    <x v="0"/>
    <s v="UK, USA, UAE"/>
    <n v="233"/>
    <s v="Low"/>
    <s v="Average"/>
  </r>
  <r>
    <x v="4"/>
    <x v="24"/>
    <x v="2430"/>
    <x v="1"/>
    <s v="North Dylan"/>
    <x v="0"/>
    <n v="16.46"/>
    <n v="57"/>
    <x v="4"/>
    <x v="0"/>
    <s v="China, Israel"/>
    <n v="296"/>
    <s v="Medium"/>
    <s v="Average"/>
  </r>
  <r>
    <x v="8"/>
    <x v="16"/>
    <x v="2431"/>
    <x v="0"/>
    <s v="New Amanda"/>
    <x v="1"/>
    <n v="28.13"/>
    <n v="95"/>
    <x v="2"/>
    <x v="0"/>
    <s v="Germany"/>
    <n v="209"/>
    <s v="Medium"/>
    <s v="Excellent"/>
  </r>
  <r>
    <x v="2"/>
    <x v="0"/>
    <x v="2432"/>
    <x v="1"/>
    <s v="West Johnborough"/>
    <x v="4"/>
    <n v="21.3"/>
    <n v="83"/>
    <x v="1"/>
    <x v="2"/>
    <s v="Russia, Israel"/>
    <n v="325"/>
    <s v="Medium"/>
    <s v="Good"/>
  </r>
  <r>
    <x v="1"/>
    <x v="6"/>
    <x v="2433"/>
    <x v="0"/>
    <s v="Brownville"/>
    <x v="0"/>
    <n v="43.09"/>
    <n v="73"/>
    <x v="2"/>
    <x v="0"/>
    <s v="Russia, UAE"/>
    <n v="253"/>
    <s v="High"/>
    <s v="Average"/>
  </r>
  <r>
    <x v="8"/>
    <x v="17"/>
    <x v="2434"/>
    <x v="0"/>
    <s v="Jamesfort"/>
    <x v="4"/>
    <n v="37.909999999999997"/>
    <n v="55"/>
    <x v="3"/>
    <x v="0"/>
    <s v="USA"/>
    <n v="69"/>
    <s v="High"/>
    <s v="Average"/>
  </r>
  <r>
    <x v="0"/>
    <x v="0"/>
    <x v="2435"/>
    <x v="1"/>
    <s v="Lake Kaitlyn"/>
    <x v="0"/>
    <n v="3.17"/>
    <n v="68"/>
    <x v="1"/>
    <x v="2"/>
    <s v="Germany, Israel, China"/>
    <n v="178"/>
    <s v="Low"/>
    <s v="Average"/>
  </r>
  <r>
    <x v="9"/>
    <x v="4"/>
    <x v="2436"/>
    <x v="0"/>
    <s v="Lake Brandifurt"/>
    <x v="4"/>
    <n v="0.85"/>
    <n v="73"/>
    <x v="3"/>
    <x v="0"/>
    <s v="Germany, Russia, Israel"/>
    <n v="334"/>
    <s v="Low"/>
    <s v="Average"/>
  </r>
  <r>
    <x v="1"/>
    <x v="17"/>
    <x v="2437"/>
    <x v="1"/>
    <s v="New James"/>
    <x v="4"/>
    <n v="5.31"/>
    <n v="87"/>
    <x v="4"/>
    <x v="1"/>
    <s v="Russia, China, Germany"/>
    <n v="142"/>
    <s v="Low"/>
    <s v="Good"/>
  </r>
  <r>
    <x v="7"/>
    <x v="17"/>
    <x v="2438"/>
    <x v="0"/>
    <s v="Barbarahaven"/>
    <x v="3"/>
    <n v="37.06"/>
    <n v="60"/>
    <x v="0"/>
    <x v="2"/>
    <s v="USA"/>
    <n v="170"/>
    <s v="High"/>
    <s v="Average"/>
  </r>
  <r>
    <x v="5"/>
    <x v="6"/>
    <x v="2439"/>
    <x v="1"/>
    <s v="Port David"/>
    <x v="2"/>
    <n v="10.86"/>
    <n v="70"/>
    <x v="2"/>
    <x v="2"/>
    <s v="Russia, China"/>
    <n v="2"/>
    <s v="Low"/>
    <s v="Average"/>
  </r>
  <r>
    <x v="0"/>
    <x v="18"/>
    <x v="2440"/>
    <x v="0"/>
    <s v="Jacksonton"/>
    <x v="4"/>
    <n v="16.7"/>
    <n v="60"/>
    <x v="4"/>
    <x v="1"/>
    <s v="UAE"/>
    <n v="271"/>
    <s v="Medium"/>
    <s v="Average"/>
  </r>
  <r>
    <x v="0"/>
    <x v="23"/>
    <x v="2441"/>
    <x v="1"/>
    <s v="Lake Christophermouth"/>
    <x v="4"/>
    <n v="48.71"/>
    <n v="76"/>
    <x v="3"/>
    <x v="0"/>
    <s v="Israel, Germany, China"/>
    <n v="199"/>
    <s v="High"/>
    <s v="Good"/>
  </r>
  <r>
    <x v="7"/>
    <x v="16"/>
    <x v="2442"/>
    <x v="0"/>
    <s v="Mackland"/>
    <x v="3"/>
    <n v="32.36"/>
    <n v="70"/>
    <x v="3"/>
    <x v="0"/>
    <s v="China, UAE"/>
    <n v="39"/>
    <s v="Medium"/>
    <s v="Average"/>
  </r>
  <r>
    <x v="0"/>
    <x v="18"/>
    <x v="2443"/>
    <x v="1"/>
    <s v="Lake Laura"/>
    <x v="4"/>
    <n v="8.7799999999999994"/>
    <n v="71"/>
    <x v="4"/>
    <x v="2"/>
    <s v="USA, China"/>
    <n v="330"/>
    <s v="Low"/>
    <s v="Average"/>
  </r>
  <r>
    <x v="3"/>
    <x v="24"/>
    <x v="2444"/>
    <x v="1"/>
    <s v="Jenniferfort"/>
    <x v="2"/>
    <n v="1.93"/>
    <n v="90"/>
    <x v="3"/>
    <x v="1"/>
    <s v="Japan, USA"/>
    <n v="209"/>
    <s v="Low"/>
    <s v="Excellent"/>
  </r>
  <r>
    <x v="3"/>
    <x v="20"/>
    <x v="2445"/>
    <x v="0"/>
    <s v="Crystalmouth"/>
    <x v="2"/>
    <n v="38.92"/>
    <n v="78"/>
    <x v="4"/>
    <x v="1"/>
    <s v="China, UK, Israel"/>
    <n v="316"/>
    <s v="High"/>
    <s v="Good"/>
  </r>
  <r>
    <x v="2"/>
    <x v="23"/>
    <x v="2446"/>
    <x v="0"/>
    <s v="Josehaven"/>
    <x v="2"/>
    <n v="37.67"/>
    <n v="76"/>
    <x v="1"/>
    <x v="1"/>
    <s v="Germany"/>
    <n v="351"/>
    <s v="High"/>
    <s v="Good"/>
  </r>
  <r>
    <x v="0"/>
    <x v="4"/>
    <x v="2447"/>
    <x v="0"/>
    <s v="Port Samuelbury"/>
    <x v="0"/>
    <n v="48.28"/>
    <n v="95"/>
    <x v="4"/>
    <x v="2"/>
    <s v="Israel"/>
    <n v="215"/>
    <s v="High"/>
    <s v="Excellent"/>
  </r>
  <r>
    <x v="3"/>
    <x v="2"/>
    <x v="2448"/>
    <x v="0"/>
    <s v="New Eric"/>
    <x v="2"/>
    <n v="36.119999999999997"/>
    <n v="98"/>
    <x v="2"/>
    <x v="0"/>
    <s v="Germany"/>
    <n v="122"/>
    <s v="High"/>
    <s v="Excellent"/>
  </r>
  <r>
    <x v="9"/>
    <x v="15"/>
    <x v="2449"/>
    <x v="1"/>
    <s v="Adambury"/>
    <x v="3"/>
    <n v="45.83"/>
    <n v="82"/>
    <x v="2"/>
    <x v="0"/>
    <s v="India, China, Russia"/>
    <n v="158"/>
    <s v="High"/>
    <s v="Good"/>
  </r>
  <r>
    <x v="9"/>
    <x v="13"/>
    <x v="2450"/>
    <x v="1"/>
    <s v="New Megan"/>
    <x v="2"/>
    <n v="33.17"/>
    <n v="89"/>
    <x v="1"/>
    <x v="2"/>
    <s v="France"/>
    <n v="352"/>
    <s v="Medium"/>
    <s v="Good"/>
  </r>
  <r>
    <x v="5"/>
    <x v="5"/>
    <x v="2451"/>
    <x v="0"/>
    <s v="Robertborough"/>
    <x v="2"/>
    <n v="42.82"/>
    <n v="100"/>
    <x v="2"/>
    <x v="0"/>
    <s v="USA, China"/>
    <n v="108"/>
    <s v="High"/>
    <s v="Excellent"/>
  </r>
  <r>
    <x v="3"/>
    <x v="11"/>
    <x v="2452"/>
    <x v="0"/>
    <s v="Johnsonfort"/>
    <x v="4"/>
    <n v="11.75"/>
    <n v="60"/>
    <x v="1"/>
    <x v="0"/>
    <s v="Japan, France"/>
    <n v="36"/>
    <s v="Low"/>
    <s v="Average"/>
  </r>
  <r>
    <x v="4"/>
    <x v="0"/>
    <x v="2453"/>
    <x v="0"/>
    <s v="Nunezhaven"/>
    <x v="1"/>
    <n v="42.55"/>
    <n v="71"/>
    <x v="2"/>
    <x v="0"/>
    <s v="Israel"/>
    <n v="141"/>
    <s v="High"/>
    <s v="Average"/>
  </r>
  <r>
    <x v="0"/>
    <x v="18"/>
    <x v="2454"/>
    <x v="1"/>
    <s v="Toddmouth"/>
    <x v="0"/>
    <n v="25.84"/>
    <n v="70"/>
    <x v="2"/>
    <x v="0"/>
    <s v="UAE, China"/>
    <n v="81"/>
    <s v="Medium"/>
    <s v="Average"/>
  </r>
  <r>
    <x v="2"/>
    <x v="1"/>
    <x v="2455"/>
    <x v="0"/>
    <s v="Wendyberg"/>
    <x v="3"/>
    <n v="36.71"/>
    <n v="61"/>
    <x v="4"/>
    <x v="1"/>
    <s v="USA, China"/>
    <n v="53"/>
    <s v="High"/>
    <s v="Average"/>
  </r>
  <r>
    <x v="2"/>
    <x v="22"/>
    <x v="2456"/>
    <x v="1"/>
    <s v="North Michellefurt"/>
    <x v="4"/>
    <n v="20.27"/>
    <n v="66"/>
    <x v="1"/>
    <x v="1"/>
    <s v="UK, Germany, Japan"/>
    <n v="2"/>
    <s v="Medium"/>
    <s v="Average"/>
  </r>
  <r>
    <x v="2"/>
    <x v="6"/>
    <x v="2457"/>
    <x v="0"/>
    <s v="South Walterberg"/>
    <x v="3"/>
    <n v="15.17"/>
    <n v="78"/>
    <x v="1"/>
    <x v="2"/>
    <s v="Japan, China"/>
    <n v="248"/>
    <s v="Medium"/>
    <s v="Good"/>
  </r>
  <r>
    <x v="6"/>
    <x v="7"/>
    <x v="2458"/>
    <x v="1"/>
    <s v="Racheltown"/>
    <x v="2"/>
    <n v="12.38"/>
    <n v="73"/>
    <x v="0"/>
    <x v="2"/>
    <s v="China, Russia"/>
    <n v="164"/>
    <s v="Low"/>
    <s v="Average"/>
  </r>
  <r>
    <x v="3"/>
    <x v="4"/>
    <x v="2459"/>
    <x v="1"/>
    <s v="Lake Brianna"/>
    <x v="0"/>
    <n v="23.3"/>
    <n v="56"/>
    <x v="0"/>
    <x v="0"/>
    <s v="Germany, Russia, Israel"/>
    <n v="169"/>
    <s v="Medium"/>
    <s v="Average"/>
  </r>
  <r>
    <x v="1"/>
    <x v="17"/>
    <x v="2460"/>
    <x v="1"/>
    <s v="North Walter"/>
    <x v="3"/>
    <n v="14.89"/>
    <n v="78"/>
    <x v="1"/>
    <x v="2"/>
    <s v="Japan, China"/>
    <n v="310"/>
    <s v="Low"/>
    <s v="Good"/>
  </r>
  <r>
    <x v="3"/>
    <x v="5"/>
    <x v="2461"/>
    <x v="0"/>
    <s v="East Angela"/>
    <x v="0"/>
    <n v="22.49"/>
    <n v="64"/>
    <x v="4"/>
    <x v="1"/>
    <s v="Germany"/>
    <n v="150"/>
    <s v="Medium"/>
    <s v="Average"/>
  </r>
  <r>
    <x v="0"/>
    <x v="16"/>
    <x v="2462"/>
    <x v="1"/>
    <s v="Victoriatown"/>
    <x v="2"/>
    <n v="24.79"/>
    <n v="84"/>
    <x v="2"/>
    <x v="1"/>
    <s v="USA, India, Russia"/>
    <n v="132"/>
    <s v="Medium"/>
    <s v="Good"/>
  </r>
  <r>
    <x v="6"/>
    <x v="10"/>
    <x v="2463"/>
    <x v="1"/>
    <s v="North Danielchester"/>
    <x v="3"/>
    <n v="17.170000000000002"/>
    <n v="51"/>
    <x v="2"/>
    <x v="1"/>
    <s v="France"/>
    <n v="39"/>
    <s v="Medium"/>
    <s v="Average"/>
  </r>
  <r>
    <x v="7"/>
    <x v="25"/>
    <x v="2464"/>
    <x v="0"/>
    <s v="North Sheila"/>
    <x v="0"/>
    <n v="47.11"/>
    <n v="98"/>
    <x v="1"/>
    <x v="1"/>
    <s v="UK, India"/>
    <n v="139"/>
    <s v="High"/>
    <s v="Excellent"/>
  </r>
  <r>
    <x v="8"/>
    <x v="6"/>
    <x v="2465"/>
    <x v="0"/>
    <s v="East Candaceton"/>
    <x v="1"/>
    <n v="0.62"/>
    <n v="53"/>
    <x v="3"/>
    <x v="1"/>
    <s v="Russia, Japan, UAE"/>
    <n v="349"/>
    <s v="Low"/>
    <s v="Average"/>
  </r>
  <r>
    <x v="0"/>
    <x v="1"/>
    <x v="2466"/>
    <x v="1"/>
    <s v="Nunezfort"/>
    <x v="2"/>
    <n v="46.9"/>
    <n v="58"/>
    <x v="1"/>
    <x v="0"/>
    <s v="USA"/>
    <n v="42"/>
    <s v="High"/>
    <s v="Average"/>
  </r>
  <r>
    <x v="7"/>
    <x v="9"/>
    <x v="2467"/>
    <x v="0"/>
    <s v="Bennetttown"/>
    <x v="2"/>
    <n v="30.25"/>
    <n v="82"/>
    <x v="2"/>
    <x v="0"/>
    <s v="UAE, Russia, Germany"/>
    <n v="33"/>
    <s v="Medium"/>
    <s v="Good"/>
  </r>
  <r>
    <x v="2"/>
    <x v="15"/>
    <x v="2468"/>
    <x v="0"/>
    <s v="South Matthew"/>
    <x v="1"/>
    <n v="21.75"/>
    <n v="76"/>
    <x v="2"/>
    <x v="0"/>
    <s v="Russia"/>
    <n v="33"/>
    <s v="Medium"/>
    <s v="Good"/>
  </r>
  <r>
    <x v="4"/>
    <x v="9"/>
    <x v="2469"/>
    <x v="0"/>
    <s v="Lake Brendanmouth"/>
    <x v="1"/>
    <n v="24.88"/>
    <n v="54"/>
    <x v="0"/>
    <x v="0"/>
    <s v="Japan"/>
    <n v="218"/>
    <s v="Medium"/>
    <s v="Average"/>
  </r>
  <r>
    <x v="3"/>
    <x v="6"/>
    <x v="2470"/>
    <x v="0"/>
    <s v="Larryport"/>
    <x v="0"/>
    <n v="10.79"/>
    <n v="86"/>
    <x v="3"/>
    <x v="2"/>
    <s v="USA, India, Israel"/>
    <n v="78"/>
    <s v="Low"/>
    <s v="Good"/>
  </r>
  <r>
    <x v="0"/>
    <x v="0"/>
    <x v="2471"/>
    <x v="0"/>
    <s v="West Tammyville"/>
    <x v="4"/>
    <n v="15.13"/>
    <n v="72"/>
    <x v="2"/>
    <x v="2"/>
    <s v="France"/>
    <n v="254"/>
    <s v="Medium"/>
    <s v="Average"/>
  </r>
  <r>
    <x v="4"/>
    <x v="17"/>
    <x v="2472"/>
    <x v="0"/>
    <s v="North Tinaburgh"/>
    <x v="4"/>
    <n v="3.81"/>
    <n v="82"/>
    <x v="4"/>
    <x v="0"/>
    <s v="Russia"/>
    <n v="338"/>
    <s v="Low"/>
    <s v="Good"/>
  </r>
  <r>
    <x v="7"/>
    <x v="22"/>
    <x v="2473"/>
    <x v="0"/>
    <s v="Lindaview"/>
    <x v="2"/>
    <n v="36.4"/>
    <n v="55"/>
    <x v="0"/>
    <x v="2"/>
    <s v="Israel, UAE"/>
    <n v="75"/>
    <s v="High"/>
    <s v="Average"/>
  </r>
  <r>
    <x v="1"/>
    <x v="14"/>
    <x v="2474"/>
    <x v="0"/>
    <s v="Julianstad"/>
    <x v="3"/>
    <n v="24.46"/>
    <n v="83"/>
    <x v="4"/>
    <x v="2"/>
    <s v="India"/>
    <n v="28"/>
    <s v="Medium"/>
    <s v="Good"/>
  </r>
  <r>
    <x v="6"/>
    <x v="6"/>
    <x v="2475"/>
    <x v="1"/>
    <s v="East Renee"/>
    <x v="2"/>
    <n v="5.3"/>
    <n v="86"/>
    <x v="0"/>
    <x v="2"/>
    <s v="Japan, USA, Israel"/>
    <n v="57"/>
    <s v="Low"/>
    <s v="Good"/>
  </r>
  <r>
    <x v="8"/>
    <x v="25"/>
    <x v="2476"/>
    <x v="1"/>
    <s v="South Amandaton"/>
    <x v="2"/>
    <n v="17.59"/>
    <n v="61"/>
    <x v="0"/>
    <x v="2"/>
    <s v="Germany"/>
    <n v="40"/>
    <s v="Medium"/>
    <s v="Average"/>
  </r>
  <r>
    <x v="8"/>
    <x v="22"/>
    <x v="2477"/>
    <x v="0"/>
    <s v="East Toddhaven"/>
    <x v="1"/>
    <n v="31.46"/>
    <n v="93"/>
    <x v="1"/>
    <x v="2"/>
    <s v="USA"/>
    <n v="193"/>
    <s v="Medium"/>
    <s v="Excellent"/>
  </r>
  <r>
    <x v="3"/>
    <x v="21"/>
    <x v="2478"/>
    <x v="1"/>
    <s v="Carterview"/>
    <x v="0"/>
    <n v="31.41"/>
    <n v="86"/>
    <x v="4"/>
    <x v="0"/>
    <s v="Israel, Russia"/>
    <n v="285"/>
    <s v="Medium"/>
    <s v="Good"/>
  </r>
  <r>
    <x v="4"/>
    <x v="8"/>
    <x v="2479"/>
    <x v="1"/>
    <s v="Robertsshire"/>
    <x v="3"/>
    <n v="3.77"/>
    <n v="84"/>
    <x v="1"/>
    <x v="0"/>
    <s v="France"/>
    <n v="202"/>
    <s v="Low"/>
    <s v="Good"/>
  </r>
  <r>
    <x v="3"/>
    <x v="7"/>
    <x v="2480"/>
    <x v="1"/>
    <s v="Mistyberg"/>
    <x v="2"/>
    <n v="26.55"/>
    <n v="92"/>
    <x v="2"/>
    <x v="2"/>
    <s v="UK, USA, UAE"/>
    <n v="323"/>
    <s v="Medium"/>
    <s v="Excellent"/>
  </r>
  <r>
    <x v="1"/>
    <x v="7"/>
    <x v="2481"/>
    <x v="0"/>
    <s v="West Thomashaven"/>
    <x v="4"/>
    <n v="15.62"/>
    <n v="89"/>
    <x v="2"/>
    <x v="2"/>
    <s v="Russia, USA, Israel"/>
    <n v="27"/>
    <s v="Medium"/>
    <s v="Good"/>
  </r>
  <r>
    <x v="9"/>
    <x v="6"/>
    <x v="2482"/>
    <x v="1"/>
    <s v="Lake Eric"/>
    <x v="3"/>
    <n v="25.54"/>
    <n v="88"/>
    <x v="0"/>
    <x v="1"/>
    <s v="Germany, France"/>
    <n v="43"/>
    <s v="Medium"/>
    <s v="Good"/>
  </r>
  <r>
    <x v="7"/>
    <x v="2"/>
    <x v="2483"/>
    <x v="0"/>
    <s v="East Matthew"/>
    <x v="2"/>
    <n v="28.8"/>
    <n v="89"/>
    <x v="1"/>
    <x v="1"/>
    <s v="Germany"/>
    <n v="213"/>
    <s v="Medium"/>
    <s v="Good"/>
  </r>
  <r>
    <x v="5"/>
    <x v="22"/>
    <x v="2484"/>
    <x v="0"/>
    <s v="Harrisfurt"/>
    <x v="1"/>
    <n v="41.13"/>
    <n v="96"/>
    <x v="1"/>
    <x v="1"/>
    <s v="Israel, UK, Japan"/>
    <n v="173"/>
    <s v="High"/>
    <s v="Excellent"/>
  </r>
  <r>
    <x v="1"/>
    <x v="13"/>
    <x v="1959"/>
    <x v="1"/>
    <s v="West Dustin"/>
    <x v="4"/>
    <n v="24.68"/>
    <n v="64"/>
    <x v="4"/>
    <x v="0"/>
    <s v="France"/>
    <n v="332"/>
    <s v="Medium"/>
    <s v="Average"/>
  </r>
  <r>
    <x v="5"/>
    <x v="4"/>
    <x v="2485"/>
    <x v="1"/>
    <s v="Morrisville"/>
    <x v="1"/>
    <n v="14.56"/>
    <n v="58"/>
    <x v="2"/>
    <x v="1"/>
    <s v="China"/>
    <n v="13"/>
    <s v="Low"/>
    <s v="Average"/>
  </r>
  <r>
    <x v="2"/>
    <x v="4"/>
    <x v="2486"/>
    <x v="1"/>
    <s v="South Kristinborough"/>
    <x v="3"/>
    <n v="27.37"/>
    <n v="80"/>
    <x v="2"/>
    <x v="1"/>
    <s v="Japan, Israel"/>
    <n v="182"/>
    <s v="Medium"/>
    <s v="Good"/>
  </r>
  <r>
    <x v="6"/>
    <x v="5"/>
    <x v="2487"/>
    <x v="0"/>
    <s v="Port Cameron"/>
    <x v="0"/>
    <n v="18.48"/>
    <n v="70"/>
    <x v="1"/>
    <x v="2"/>
    <s v="China, Germany, UAE"/>
    <n v="349"/>
    <s v="Medium"/>
    <s v="Average"/>
  </r>
  <r>
    <x v="2"/>
    <x v="24"/>
    <x v="2488"/>
    <x v="0"/>
    <s v="Jamesstad"/>
    <x v="2"/>
    <n v="28.93"/>
    <n v="63"/>
    <x v="1"/>
    <x v="0"/>
    <s v="UAE"/>
    <n v="132"/>
    <s v="Medium"/>
    <s v="Average"/>
  </r>
  <r>
    <x v="3"/>
    <x v="24"/>
    <x v="2489"/>
    <x v="0"/>
    <s v="East Tina"/>
    <x v="1"/>
    <n v="34.81"/>
    <n v="78"/>
    <x v="0"/>
    <x v="1"/>
    <s v="Russia"/>
    <n v="99"/>
    <s v="Medium"/>
    <s v="Good"/>
  </r>
  <r>
    <x v="4"/>
    <x v="25"/>
    <x v="2490"/>
    <x v="1"/>
    <s v="South Tony"/>
    <x v="4"/>
    <n v="38.15"/>
    <n v="83"/>
    <x v="3"/>
    <x v="2"/>
    <s v="China, USA, France"/>
    <n v="45"/>
    <s v="High"/>
    <s v="Good"/>
  </r>
  <r>
    <x v="8"/>
    <x v="11"/>
    <x v="2491"/>
    <x v="1"/>
    <s v="East Shannon"/>
    <x v="0"/>
    <n v="5.8"/>
    <n v="55"/>
    <x v="3"/>
    <x v="2"/>
    <s v="France, Japan, USA"/>
    <n v="84"/>
    <s v="Low"/>
    <s v="Average"/>
  </r>
  <r>
    <x v="2"/>
    <x v="9"/>
    <x v="2492"/>
    <x v="1"/>
    <s v="Port Anthonyport"/>
    <x v="3"/>
    <n v="8.7799999999999994"/>
    <n v="51"/>
    <x v="2"/>
    <x v="0"/>
    <s v="Israel, Japan"/>
    <n v="294"/>
    <s v="Low"/>
    <s v="Average"/>
  </r>
  <r>
    <x v="1"/>
    <x v="4"/>
    <x v="2493"/>
    <x v="0"/>
    <s v="Clarkshire"/>
    <x v="0"/>
    <n v="27.85"/>
    <n v="64"/>
    <x v="4"/>
    <x v="0"/>
    <s v="UK, UAE, USA"/>
    <n v="334"/>
    <s v="Medium"/>
    <s v="Average"/>
  </r>
  <r>
    <x v="7"/>
    <x v="8"/>
    <x v="2494"/>
    <x v="1"/>
    <s v="Johnsonchester"/>
    <x v="0"/>
    <n v="42.79"/>
    <n v="77"/>
    <x v="1"/>
    <x v="1"/>
    <s v="France"/>
    <n v="309"/>
    <s v="High"/>
    <s v="Good"/>
  </r>
  <r>
    <x v="7"/>
    <x v="8"/>
    <x v="2495"/>
    <x v="0"/>
    <s v="Port Amyville"/>
    <x v="1"/>
    <n v="7.02"/>
    <n v="58"/>
    <x v="3"/>
    <x v="1"/>
    <s v="UAE, Germany, Japan"/>
    <n v="297"/>
    <s v="Low"/>
    <s v="Average"/>
  </r>
  <r>
    <x v="2"/>
    <x v="15"/>
    <x v="2496"/>
    <x v="0"/>
    <s v="North Benjamin"/>
    <x v="3"/>
    <n v="34.18"/>
    <n v="88"/>
    <x v="1"/>
    <x v="1"/>
    <s v="Russia, UAE"/>
    <n v="136"/>
    <s v="Medium"/>
    <s v="Good"/>
  </r>
  <r>
    <x v="0"/>
    <x v="0"/>
    <x v="2497"/>
    <x v="1"/>
    <s v="Lake Mike"/>
    <x v="3"/>
    <n v="44.62"/>
    <n v="100"/>
    <x v="1"/>
    <x v="0"/>
    <s v="China, France"/>
    <n v="220"/>
    <s v="High"/>
    <s v="Excellent"/>
  </r>
  <r>
    <x v="8"/>
    <x v="0"/>
    <x v="2498"/>
    <x v="1"/>
    <s v="Christopherton"/>
    <x v="2"/>
    <n v="29.68"/>
    <n v="57"/>
    <x v="2"/>
    <x v="2"/>
    <s v="Israel, Japan, Germany"/>
    <n v="221"/>
    <s v="Medium"/>
    <s v="Average"/>
  </r>
  <r>
    <x v="1"/>
    <x v="25"/>
    <x v="2499"/>
    <x v="1"/>
    <s v="Wardfurt"/>
    <x v="1"/>
    <n v="22.78"/>
    <n v="69"/>
    <x v="2"/>
    <x v="2"/>
    <s v="UK, India"/>
    <n v="145"/>
    <s v="Medium"/>
    <s v="Average"/>
  </r>
  <r>
    <x v="1"/>
    <x v="23"/>
    <x v="2500"/>
    <x v="1"/>
    <s v="New Andrew"/>
    <x v="0"/>
    <n v="42.07"/>
    <n v="93"/>
    <x v="3"/>
    <x v="1"/>
    <s v="Germany"/>
    <n v="182"/>
    <s v="High"/>
    <s v="Excellent"/>
  </r>
  <r>
    <x v="0"/>
    <x v="1"/>
    <x v="2501"/>
    <x v="0"/>
    <s v="Lake Ryanborough"/>
    <x v="1"/>
    <n v="17.39"/>
    <n v="100"/>
    <x v="0"/>
    <x v="1"/>
    <s v="UK, France, India"/>
    <n v="13"/>
    <s v="Medium"/>
    <s v="Excellent"/>
  </r>
  <r>
    <x v="9"/>
    <x v="25"/>
    <x v="2502"/>
    <x v="1"/>
    <s v="Dianamouth"/>
    <x v="1"/>
    <n v="35.090000000000003"/>
    <n v="52"/>
    <x v="3"/>
    <x v="1"/>
    <s v="USA"/>
    <n v="64"/>
    <s v="High"/>
    <s v="Average"/>
  </r>
  <r>
    <x v="8"/>
    <x v="17"/>
    <x v="2503"/>
    <x v="0"/>
    <s v="West Brent"/>
    <x v="1"/>
    <n v="46.12"/>
    <n v="58"/>
    <x v="1"/>
    <x v="0"/>
    <s v="India, Russia"/>
    <n v="125"/>
    <s v="High"/>
    <s v="Average"/>
  </r>
  <r>
    <x v="3"/>
    <x v="18"/>
    <x v="2504"/>
    <x v="1"/>
    <s v="Lake Alexandratown"/>
    <x v="0"/>
    <n v="15.8"/>
    <n v="52"/>
    <x v="4"/>
    <x v="1"/>
    <s v="Japan, China"/>
    <n v="166"/>
    <s v="Medium"/>
    <s v="Average"/>
  </r>
  <r>
    <x v="8"/>
    <x v="2"/>
    <x v="2505"/>
    <x v="1"/>
    <s v="South Suzannechester"/>
    <x v="4"/>
    <n v="36.57"/>
    <n v="82"/>
    <x v="3"/>
    <x v="1"/>
    <s v="China, France"/>
    <n v="239"/>
    <s v="High"/>
    <s v="Good"/>
  </r>
  <r>
    <x v="3"/>
    <x v="2"/>
    <x v="2506"/>
    <x v="1"/>
    <s v="Luisland"/>
    <x v="1"/>
    <n v="13.39"/>
    <n v="54"/>
    <x v="1"/>
    <x v="2"/>
    <s v="India, France"/>
    <n v="68"/>
    <s v="Low"/>
    <s v="Average"/>
  </r>
  <r>
    <x v="0"/>
    <x v="23"/>
    <x v="2507"/>
    <x v="1"/>
    <s v="New Hunterfurt"/>
    <x v="0"/>
    <n v="8.56"/>
    <n v="56"/>
    <x v="1"/>
    <x v="2"/>
    <s v="India, Russia, Japan"/>
    <n v="165"/>
    <s v="Low"/>
    <s v="Average"/>
  </r>
  <r>
    <x v="0"/>
    <x v="10"/>
    <x v="2508"/>
    <x v="1"/>
    <s v="Payneside"/>
    <x v="4"/>
    <n v="3.15"/>
    <n v="77"/>
    <x v="3"/>
    <x v="1"/>
    <s v="Japan, UAE, France"/>
    <n v="361"/>
    <s v="Low"/>
    <s v="Good"/>
  </r>
  <r>
    <x v="2"/>
    <x v="10"/>
    <x v="2509"/>
    <x v="0"/>
    <s v="West Annfurt"/>
    <x v="2"/>
    <n v="42.57"/>
    <n v="88"/>
    <x v="2"/>
    <x v="0"/>
    <s v="Japan, India, Russia"/>
    <n v="85"/>
    <s v="High"/>
    <s v="Good"/>
  </r>
  <r>
    <x v="6"/>
    <x v="25"/>
    <x v="2510"/>
    <x v="1"/>
    <s v="New Jessica"/>
    <x v="3"/>
    <n v="49.14"/>
    <n v="94"/>
    <x v="4"/>
    <x v="2"/>
    <s v="UAE, Japan"/>
    <n v="257"/>
    <s v="High"/>
    <s v="Excellent"/>
  </r>
  <r>
    <x v="9"/>
    <x v="9"/>
    <x v="2511"/>
    <x v="1"/>
    <s v="North Matthewtown"/>
    <x v="3"/>
    <n v="31.49"/>
    <n v="91"/>
    <x v="2"/>
    <x v="1"/>
    <s v="UAE"/>
    <n v="64"/>
    <s v="Medium"/>
    <s v="Excellent"/>
  </r>
  <r>
    <x v="7"/>
    <x v="10"/>
    <x v="2512"/>
    <x v="0"/>
    <s v="Micheleville"/>
    <x v="1"/>
    <n v="3.9"/>
    <n v="69"/>
    <x v="3"/>
    <x v="0"/>
    <s v="USA, Japan, UAE"/>
    <n v="162"/>
    <s v="Low"/>
    <s v="Average"/>
  </r>
  <r>
    <x v="0"/>
    <x v="21"/>
    <x v="2513"/>
    <x v="0"/>
    <s v="Bennettshire"/>
    <x v="2"/>
    <n v="45.03"/>
    <n v="91"/>
    <x v="2"/>
    <x v="2"/>
    <s v="USA"/>
    <n v="144"/>
    <s v="High"/>
    <s v="Excellent"/>
  </r>
  <r>
    <x v="3"/>
    <x v="3"/>
    <x v="2514"/>
    <x v="0"/>
    <s v="Amberfort"/>
    <x v="1"/>
    <n v="46.12"/>
    <n v="91"/>
    <x v="4"/>
    <x v="0"/>
    <s v="UAE"/>
    <n v="319"/>
    <s v="High"/>
    <s v="Excellent"/>
  </r>
  <r>
    <x v="9"/>
    <x v="0"/>
    <x v="2515"/>
    <x v="0"/>
    <s v="Port Monica"/>
    <x v="3"/>
    <n v="44.72"/>
    <n v="86"/>
    <x v="2"/>
    <x v="2"/>
    <s v="Israel, China, Russia"/>
    <n v="264"/>
    <s v="High"/>
    <s v="Good"/>
  </r>
  <r>
    <x v="9"/>
    <x v="19"/>
    <x v="2516"/>
    <x v="0"/>
    <s v="Perezbury"/>
    <x v="3"/>
    <n v="9.3000000000000007"/>
    <n v="85"/>
    <x v="4"/>
    <x v="1"/>
    <s v="USA"/>
    <n v="38"/>
    <s v="Low"/>
    <s v="Good"/>
  </r>
  <r>
    <x v="8"/>
    <x v="19"/>
    <x v="2517"/>
    <x v="0"/>
    <s v="New Amandafort"/>
    <x v="1"/>
    <n v="21.78"/>
    <n v="97"/>
    <x v="0"/>
    <x v="2"/>
    <s v="Russia"/>
    <n v="145"/>
    <s v="Medium"/>
    <s v="Excellent"/>
  </r>
  <r>
    <x v="9"/>
    <x v="15"/>
    <x v="2518"/>
    <x v="0"/>
    <s v="East Isaacshire"/>
    <x v="4"/>
    <n v="3.57"/>
    <n v="63"/>
    <x v="4"/>
    <x v="1"/>
    <s v="Japan, UAE"/>
    <n v="164"/>
    <s v="Low"/>
    <s v="Average"/>
  </r>
  <r>
    <x v="2"/>
    <x v="14"/>
    <x v="2519"/>
    <x v="1"/>
    <s v="Lisashire"/>
    <x v="0"/>
    <n v="7.45"/>
    <n v="82"/>
    <x v="3"/>
    <x v="0"/>
    <s v="Germany, USA, Japan"/>
    <n v="352"/>
    <s v="Low"/>
    <s v="Good"/>
  </r>
  <r>
    <x v="6"/>
    <x v="1"/>
    <x v="2520"/>
    <x v="0"/>
    <s v="Carlosview"/>
    <x v="1"/>
    <n v="12.2"/>
    <n v="53"/>
    <x v="1"/>
    <x v="0"/>
    <s v="China"/>
    <n v="315"/>
    <s v="Low"/>
    <s v="Average"/>
  </r>
  <r>
    <x v="4"/>
    <x v="14"/>
    <x v="2521"/>
    <x v="1"/>
    <s v="Zamorastad"/>
    <x v="4"/>
    <n v="8.2100000000000009"/>
    <n v="53"/>
    <x v="0"/>
    <x v="1"/>
    <s v="Israel, Russia"/>
    <n v="287"/>
    <s v="Low"/>
    <s v="Average"/>
  </r>
  <r>
    <x v="1"/>
    <x v="23"/>
    <x v="2522"/>
    <x v="1"/>
    <s v="Kevinhaven"/>
    <x v="1"/>
    <n v="46.6"/>
    <n v="89"/>
    <x v="4"/>
    <x v="1"/>
    <s v="France"/>
    <n v="231"/>
    <s v="High"/>
    <s v="Good"/>
  </r>
  <r>
    <x v="1"/>
    <x v="3"/>
    <x v="2523"/>
    <x v="0"/>
    <s v="South Melaniestad"/>
    <x v="0"/>
    <n v="10.14"/>
    <n v="66"/>
    <x v="0"/>
    <x v="0"/>
    <s v="Israel, India"/>
    <n v="151"/>
    <s v="Low"/>
    <s v="Average"/>
  </r>
  <r>
    <x v="6"/>
    <x v="13"/>
    <x v="2524"/>
    <x v="0"/>
    <s v="Lake Phyllisborough"/>
    <x v="2"/>
    <n v="37.130000000000003"/>
    <n v="83"/>
    <x v="4"/>
    <x v="1"/>
    <s v="Israel"/>
    <n v="42"/>
    <s v="High"/>
    <s v="Good"/>
  </r>
  <r>
    <x v="6"/>
    <x v="10"/>
    <x v="2525"/>
    <x v="1"/>
    <s v="Robbinsville"/>
    <x v="1"/>
    <n v="19.16"/>
    <n v="93"/>
    <x v="0"/>
    <x v="2"/>
    <s v="Russia, Israel, USA"/>
    <n v="50"/>
    <s v="Medium"/>
    <s v="Excellent"/>
  </r>
  <r>
    <x v="0"/>
    <x v="23"/>
    <x v="2526"/>
    <x v="1"/>
    <s v="Mathewsmouth"/>
    <x v="3"/>
    <n v="23.22"/>
    <n v="73"/>
    <x v="2"/>
    <x v="2"/>
    <s v="Israel"/>
    <n v="252"/>
    <s v="Medium"/>
    <s v="Average"/>
  </r>
  <r>
    <x v="9"/>
    <x v="19"/>
    <x v="2527"/>
    <x v="1"/>
    <s v="New Jessica"/>
    <x v="3"/>
    <n v="8.8800000000000008"/>
    <n v="87"/>
    <x v="1"/>
    <x v="1"/>
    <s v="USA"/>
    <n v="357"/>
    <s v="Low"/>
    <s v="Good"/>
  </r>
  <r>
    <x v="1"/>
    <x v="17"/>
    <x v="2528"/>
    <x v="0"/>
    <s v="Yoderfurt"/>
    <x v="2"/>
    <n v="39.54"/>
    <n v="89"/>
    <x v="0"/>
    <x v="0"/>
    <s v="Russia, France"/>
    <n v="92"/>
    <s v="High"/>
    <s v="Good"/>
  </r>
  <r>
    <x v="3"/>
    <x v="6"/>
    <x v="2529"/>
    <x v="0"/>
    <s v="Port Bradleyland"/>
    <x v="0"/>
    <n v="24.77"/>
    <n v="55"/>
    <x v="1"/>
    <x v="0"/>
    <s v="Israel, Russia"/>
    <n v="67"/>
    <s v="Medium"/>
    <s v="Average"/>
  </r>
  <r>
    <x v="4"/>
    <x v="8"/>
    <x v="2530"/>
    <x v="0"/>
    <s v="Villanuevaton"/>
    <x v="1"/>
    <n v="45.37"/>
    <n v="65"/>
    <x v="0"/>
    <x v="0"/>
    <s v="Russia"/>
    <n v="289"/>
    <s v="High"/>
    <s v="Average"/>
  </r>
  <r>
    <x v="4"/>
    <x v="19"/>
    <x v="2531"/>
    <x v="0"/>
    <s v="Gregoryshire"/>
    <x v="2"/>
    <n v="48.51"/>
    <n v="58"/>
    <x v="3"/>
    <x v="1"/>
    <s v="USA"/>
    <n v="13"/>
    <s v="High"/>
    <s v="Average"/>
  </r>
  <r>
    <x v="9"/>
    <x v="9"/>
    <x v="2532"/>
    <x v="1"/>
    <s v="Morrowhaven"/>
    <x v="0"/>
    <n v="26.74"/>
    <n v="66"/>
    <x v="1"/>
    <x v="0"/>
    <s v="India, UAE, Israel"/>
    <n v="84"/>
    <s v="Medium"/>
    <s v="Average"/>
  </r>
  <r>
    <x v="3"/>
    <x v="14"/>
    <x v="2533"/>
    <x v="0"/>
    <s v="Port Tiffanybury"/>
    <x v="3"/>
    <n v="34.83"/>
    <n v="82"/>
    <x v="0"/>
    <x v="2"/>
    <s v="India"/>
    <n v="211"/>
    <s v="Medium"/>
    <s v="Good"/>
  </r>
  <r>
    <x v="4"/>
    <x v="15"/>
    <x v="2534"/>
    <x v="0"/>
    <s v="Jenniferchester"/>
    <x v="0"/>
    <n v="5.65"/>
    <n v="95"/>
    <x v="2"/>
    <x v="1"/>
    <s v="Israel, China, France"/>
    <n v="227"/>
    <s v="Low"/>
    <s v="Excellent"/>
  </r>
  <r>
    <x v="3"/>
    <x v="25"/>
    <x v="2535"/>
    <x v="1"/>
    <s v="Brownland"/>
    <x v="3"/>
    <n v="47.34"/>
    <n v="96"/>
    <x v="3"/>
    <x v="2"/>
    <s v="India, UK, USA"/>
    <n v="69"/>
    <s v="High"/>
    <s v="Excellent"/>
  </r>
  <r>
    <x v="0"/>
    <x v="11"/>
    <x v="2536"/>
    <x v="0"/>
    <s v="East David"/>
    <x v="4"/>
    <n v="23.1"/>
    <n v="70"/>
    <x v="2"/>
    <x v="2"/>
    <s v="UAE, India"/>
    <n v="203"/>
    <s v="Medium"/>
    <s v="Average"/>
  </r>
  <r>
    <x v="8"/>
    <x v="13"/>
    <x v="2537"/>
    <x v="0"/>
    <s v="Heatherberg"/>
    <x v="1"/>
    <n v="37.67"/>
    <n v="100"/>
    <x v="1"/>
    <x v="1"/>
    <s v="USA, Germany, UAE"/>
    <n v="163"/>
    <s v="High"/>
    <s v="Excellent"/>
  </r>
  <r>
    <x v="2"/>
    <x v="15"/>
    <x v="2538"/>
    <x v="1"/>
    <s v="North Bruce"/>
    <x v="4"/>
    <n v="48.5"/>
    <n v="85"/>
    <x v="0"/>
    <x v="2"/>
    <s v="India, UAE, USA"/>
    <n v="142"/>
    <s v="High"/>
    <s v="Good"/>
  </r>
  <r>
    <x v="6"/>
    <x v="6"/>
    <x v="2539"/>
    <x v="0"/>
    <s v="Johnberg"/>
    <x v="2"/>
    <n v="8.75"/>
    <n v="51"/>
    <x v="3"/>
    <x v="2"/>
    <s v="UK"/>
    <n v="33"/>
    <s v="Low"/>
    <s v="Average"/>
  </r>
  <r>
    <x v="3"/>
    <x v="10"/>
    <x v="2540"/>
    <x v="1"/>
    <s v="New Steveburgh"/>
    <x v="3"/>
    <n v="44.18"/>
    <n v="74"/>
    <x v="3"/>
    <x v="1"/>
    <s v="UAE, Russia"/>
    <n v="217"/>
    <s v="High"/>
    <s v="Average"/>
  </r>
  <r>
    <x v="1"/>
    <x v="21"/>
    <x v="2541"/>
    <x v="1"/>
    <s v="West Erikaton"/>
    <x v="3"/>
    <n v="20.260000000000002"/>
    <n v="83"/>
    <x v="2"/>
    <x v="0"/>
    <s v="Israel"/>
    <n v="258"/>
    <s v="Medium"/>
    <s v="Good"/>
  </r>
  <r>
    <x v="2"/>
    <x v="12"/>
    <x v="2542"/>
    <x v="1"/>
    <s v="Bridgesfurt"/>
    <x v="1"/>
    <n v="1.71"/>
    <n v="97"/>
    <x v="3"/>
    <x v="0"/>
    <s v="France, China, UAE"/>
    <n v="218"/>
    <s v="Low"/>
    <s v="Excellent"/>
  </r>
  <r>
    <x v="3"/>
    <x v="17"/>
    <x v="2543"/>
    <x v="1"/>
    <s v="Zunigachester"/>
    <x v="3"/>
    <n v="44.03"/>
    <n v="57"/>
    <x v="3"/>
    <x v="2"/>
    <s v="France, Germany, Israel"/>
    <n v="88"/>
    <s v="High"/>
    <s v="Average"/>
  </r>
  <r>
    <x v="3"/>
    <x v="9"/>
    <x v="2544"/>
    <x v="0"/>
    <s v="East Ricky"/>
    <x v="3"/>
    <n v="21.03"/>
    <n v="97"/>
    <x v="2"/>
    <x v="2"/>
    <s v="USA"/>
    <n v="355"/>
    <s v="Medium"/>
    <s v="Excellent"/>
  </r>
  <r>
    <x v="2"/>
    <x v="1"/>
    <x v="2545"/>
    <x v="0"/>
    <s v="Williamsburgh"/>
    <x v="4"/>
    <n v="44.79"/>
    <n v="58"/>
    <x v="2"/>
    <x v="1"/>
    <s v="Germany, USA, Japan"/>
    <n v="13"/>
    <s v="High"/>
    <s v="Average"/>
  </r>
  <r>
    <x v="0"/>
    <x v="2"/>
    <x v="2546"/>
    <x v="1"/>
    <s v="Port James"/>
    <x v="0"/>
    <n v="39.42"/>
    <n v="88"/>
    <x v="2"/>
    <x v="2"/>
    <s v="Germany"/>
    <n v="99"/>
    <s v="High"/>
    <s v="Good"/>
  </r>
  <r>
    <x v="3"/>
    <x v="22"/>
    <x v="2547"/>
    <x v="0"/>
    <s v="Port Williamtown"/>
    <x v="4"/>
    <n v="46.67"/>
    <n v="61"/>
    <x v="2"/>
    <x v="1"/>
    <s v="USA"/>
    <n v="348"/>
    <s v="High"/>
    <s v="Average"/>
  </r>
  <r>
    <x v="7"/>
    <x v="25"/>
    <x v="2548"/>
    <x v="0"/>
    <s v="Bryanhaven"/>
    <x v="4"/>
    <n v="20.38"/>
    <n v="85"/>
    <x v="1"/>
    <x v="1"/>
    <s v="Israel"/>
    <n v="191"/>
    <s v="Medium"/>
    <s v="Good"/>
  </r>
  <r>
    <x v="3"/>
    <x v="6"/>
    <x v="2549"/>
    <x v="0"/>
    <s v="East Donnachester"/>
    <x v="0"/>
    <n v="4.47"/>
    <n v="54"/>
    <x v="4"/>
    <x v="1"/>
    <s v="UK, Israel"/>
    <n v="90"/>
    <s v="Low"/>
    <s v="Average"/>
  </r>
  <r>
    <x v="3"/>
    <x v="20"/>
    <x v="2550"/>
    <x v="1"/>
    <s v="Youngberg"/>
    <x v="3"/>
    <n v="0.9"/>
    <n v="83"/>
    <x v="0"/>
    <x v="1"/>
    <s v="Germany, India, USA"/>
    <n v="247"/>
    <s v="Low"/>
    <s v="Good"/>
  </r>
  <r>
    <x v="5"/>
    <x v="3"/>
    <x v="2551"/>
    <x v="0"/>
    <s v="Terryberg"/>
    <x v="4"/>
    <n v="29.05"/>
    <n v="75"/>
    <x v="3"/>
    <x v="1"/>
    <s v="Germany, Japan, Russia"/>
    <n v="69"/>
    <s v="Medium"/>
    <s v="Good"/>
  </r>
  <r>
    <x v="6"/>
    <x v="5"/>
    <x v="2552"/>
    <x v="0"/>
    <s v="Port Alexandra"/>
    <x v="4"/>
    <n v="30.47"/>
    <n v="91"/>
    <x v="3"/>
    <x v="2"/>
    <s v="China, USA"/>
    <n v="344"/>
    <s v="Medium"/>
    <s v="Excellent"/>
  </r>
  <r>
    <x v="7"/>
    <x v="10"/>
    <x v="2553"/>
    <x v="1"/>
    <s v="Lake Steven"/>
    <x v="2"/>
    <n v="48.63"/>
    <n v="62"/>
    <x v="1"/>
    <x v="0"/>
    <s v="UK, Israel, India"/>
    <n v="257"/>
    <s v="High"/>
    <s v="Average"/>
  </r>
  <r>
    <x v="1"/>
    <x v="4"/>
    <x v="2554"/>
    <x v="0"/>
    <s v="New James"/>
    <x v="1"/>
    <n v="3.06"/>
    <n v="76"/>
    <x v="3"/>
    <x v="1"/>
    <s v="UAE, USA"/>
    <n v="227"/>
    <s v="Low"/>
    <s v="Good"/>
  </r>
  <r>
    <x v="4"/>
    <x v="24"/>
    <x v="2555"/>
    <x v="1"/>
    <s v="Port Charlotte"/>
    <x v="1"/>
    <n v="23.97"/>
    <n v="57"/>
    <x v="1"/>
    <x v="1"/>
    <s v="UK"/>
    <n v="227"/>
    <s v="Medium"/>
    <s v="Average"/>
  </r>
  <r>
    <x v="4"/>
    <x v="8"/>
    <x v="2556"/>
    <x v="0"/>
    <s v="Wellsfurt"/>
    <x v="0"/>
    <n v="22.92"/>
    <n v="66"/>
    <x v="1"/>
    <x v="1"/>
    <s v="Germany"/>
    <n v="119"/>
    <s v="Medium"/>
    <s v="Average"/>
  </r>
  <r>
    <x v="2"/>
    <x v="8"/>
    <x v="2557"/>
    <x v="0"/>
    <s v="Moyerview"/>
    <x v="2"/>
    <n v="21.95"/>
    <n v="97"/>
    <x v="4"/>
    <x v="2"/>
    <s v="UK, UAE, Japan"/>
    <n v="307"/>
    <s v="Medium"/>
    <s v="Excellent"/>
  </r>
  <r>
    <x v="3"/>
    <x v="9"/>
    <x v="2558"/>
    <x v="0"/>
    <s v="Yvonnebury"/>
    <x v="0"/>
    <n v="38.729999999999997"/>
    <n v="82"/>
    <x v="3"/>
    <x v="2"/>
    <s v="UAE"/>
    <n v="291"/>
    <s v="High"/>
    <s v="Good"/>
  </r>
  <r>
    <x v="1"/>
    <x v="2"/>
    <x v="2559"/>
    <x v="0"/>
    <s v="Greeneton"/>
    <x v="2"/>
    <n v="21.71"/>
    <n v="50"/>
    <x v="4"/>
    <x v="2"/>
    <s v="Israel"/>
    <n v="104"/>
    <s v="Medium"/>
    <s v="Average"/>
  </r>
  <r>
    <x v="8"/>
    <x v="11"/>
    <x v="2560"/>
    <x v="0"/>
    <s v="Robertville"/>
    <x v="1"/>
    <n v="44.45"/>
    <n v="95"/>
    <x v="3"/>
    <x v="0"/>
    <s v="Germany"/>
    <n v="41"/>
    <s v="High"/>
    <s v="Excellent"/>
  </r>
  <r>
    <x v="6"/>
    <x v="2"/>
    <x v="2561"/>
    <x v="0"/>
    <s v="Laceyfort"/>
    <x v="1"/>
    <n v="12.45"/>
    <n v="55"/>
    <x v="0"/>
    <x v="1"/>
    <s v="UK, France, Germany"/>
    <n v="354"/>
    <s v="Low"/>
    <s v="Average"/>
  </r>
  <r>
    <x v="7"/>
    <x v="8"/>
    <x v="2562"/>
    <x v="0"/>
    <s v="Amyside"/>
    <x v="3"/>
    <n v="41.97"/>
    <n v="98"/>
    <x v="0"/>
    <x v="1"/>
    <s v="UK, Israel"/>
    <n v="202"/>
    <s v="High"/>
    <s v="Excellent"/>
  </r>
  <r>
    <x v="3"/>
    <x v="14"/>
    <x v="2563"/>
    <x v="0"/>
    <s v="Griffithstad"/>
    <x v="2"/>
    <n v="29.32"/>
    <n v="56"/>
    <x v="2"/>
    <x v="0"/>
    <s v="Israel"/>
    <n v="329"/>
    <s v="Medium"/>
    <s v="Average"/>
  </r>
  <r>
    <x v="2"/>
    <x v="23"/>
    <x v="2564"/>
    <x v="1"/>
    <s v="Whiteheadport"/>
    <x v="1"/>
    <n v="6.13"/>
    <n v="71"/>
    <x v="1"/>
    <x v="2"/>
    <s v="China, Japan"/>
    <n v="220"/>
    <s v="Low"/>
    <s v="Average"/>
  </r>
  <r>
    <x v="4"/>
    <x v="18"/>
    <x v="2565"/>
    <x v="0"/>
    <s v="South Johnborough"/>
    <x v="2"/>
    <n v="24.85"/>
    <n v="67"/>
    <x v="0"/>
    <x v="1"/>
    <s v="UAE"/>
    <n v="325"/>
    <s v="Medium"/>
    <s v="Average"/>
  </r>
  <r>
    <x v="5"/>
    <x v="9"/>
    <x v="2566"/>
    <x v="0"/>
    <s v="East Shawnburgh"/>
    <x v="3"/>
    <n v="39.549999999999997"/>
    <n v="69"/>
    <x v="1"/>
    <x v="0"/>
    <s v="Germany, France"/>
    <n v="45"/>
    <s v="High"/>
    <s v="Average"/>
  </r>
  <r>
    <x v="3"/>
    <x v="14"/>
    <x v="2567"/>
    <x v="0"/>
    <s v="Lake Andrea"/>
    <x v="1"/>
    <n v="42.9"/>
    <n v="92"/>
    <x v="4"/>
    <x v="0"/>
    <s v="Germany, USA, Russia"/>
    <n v="17"/>
    <s v="High"/>
    <s v="Excellent"/>
  </r>
  <r>
    <x v="2"/>
    <x v="23"/>
    <x v="2568"/>
    <x v="1"/>
    <s v="Lake Nataliehaven"/>
    <x v="0"/>
    <n v="15.24"/>
    <n v="63"/>
    <x v="1"/>
    <x v="0"/>
    <s v="India, France"/>
    <n v="41"/>
    <s v="Medium"/>
    <s v="Average"/>
  </r>
  <r>
    <x v="9"/>
    <x v="22"/>
    <x v="2569"/>
    <x v="0"/>
    <s v="Parksport"/>
    <x v="3"/>
    <n v="48.14"/>
    <n v="93"/>
    <x v="4"/>
    <x v="1"/>
    <s v="China, Russia"/>
    <n v="78"/>
    <s v="High"/>
    <s v="Excellent"/>
  </r>
  <r>
    <x v="7"/>
    <x v="15"/>
    <x v="2570"/>
    <x v="1"/>
    <s v="Doylefort"/>
    <x v="1"/>
    <n v="14.01"/>
    <n v="60"/>
    <x v="0"/>
    <x v="0"/>
    <s v="Japan, China"/>
    <n v="22"/>
    <s v="Low"/>
    <s v="Average"/>
  </r>
  <r>
    <x v="9"/>
    <x v="16"/>
    <x v="2571"/>
    <x v="1"/>
    <s v="West Michael"/>
    <x v="4"/>
    <n v="44.47"/>
    <n v="84"/>
    <x v="2"/>
    <x v="0"/>
    <s v="France, Russia, Germany"/>
    <n v="273"/>
    <s v="High"/>
    <s v="Good"/>
  </r>
  <r>
    <x v="4"/>
    <x v="14"/>
    <x v="2572"/>
    <x v="0"/>
    <s v="Mariahshire"/>
    <x v="1"/>
    <n v="19.46"/>
    <n v="100"/>
    <x v="4"/>
    <x v="2"/>
    <s v="China, Japan"/>
    <n v="125"/>
    <s v="Medium"/>
    <s v="Excellent"/>
  </r>
  <r>
    <x v="1"/>
    <x v="23"/>
    <x v="2573"/>
    <x v="1"/>
    <s v="New Steven"/>
    <x v="1"/>
    <n v="4.84"/>
    <n v="94"/>
    <x v="2"/>
    <x v="2"/>
    <s v="Russia"/>
    <n v="171"/>
    <s v="Low"/>
    <s v="Excellent"/>
  </r>
  <r>
    <x v="2"/>
    <x v="21"/>
    <x v="2574"/>
    <x v="0"/>
    <s v="South Andrewborough"/>
    <x v="1"/>
    <n v="5.79"/>
    <n v="60"/>
    <x v="0"/>
    <x v="2"/>
    <s v="Russia, China"/>
    <n v="30"/>
    <s v="Low"/>
    <s v="Average"/>
  </r>
  <r>
    <x v="8"/>
    <x v="12"/>
    <x v="2575"/>
    <x v="1"/>
    <s v="Morganside"/>
    <x v="0"/>
    <n v="26.65"/>
    <n v="59"/>
    <x v="3"/>
    <x v="0"/>
    <s v="India, Russia, USA"/>
    <n v="4"/>
    <s v="Medium"/>
    <s v="Average"/>
  </r>
  <r>
    <x v="6"/>
    <x v="15"/>
    <x v="2576"/>
    <x v="1"/>
    <s v="Fuentesberg"/>
    <x v="4"/>
    <n v="39.840000000000003"/>
    <n v="92"/>
    <x v="1"/>
    <x v="2"/>
    <s v="China, UAE, France"/>
    <n v="206"/>
    <s v="High"/>
    <s v="Excellent"/>
  </r>
  <r>
    <x v="9"/>
    <x v="13"/>
    <x v="2577"/>
    <x v="1"/>
    <s v="New Philipburgh"/>
    <x v="1"/>
    <n v="24.21"/>
    <n v="94"/>
    <x v="2"/>
    <x v="2"/>
    <s v="France"/>
    <n v="231"/>
    <s v="Medium"/>
    <s v="Excellent"/>
  </r>
  <r>
    <x v="1"/>
    <x v="20"/>
    <x v="2578"/>
    <x v="0"/>
    <s v="Andersonview"/>
    <x v="0"/>
    <n v="21.28"/>
    <n v="60"/>
    <x v="0"/>
    <x v="2"/>
    <s v="USA, UAE, India"/>
    <n v="84"/>
    <s v="Medium"/>
    <s v="Average"/>
  </r>
  <r>
    <x v="7"/>
    <x v="13"/>
    <x v="2579"/>
    <x v="1"/>
    <s v="East Michelle"/>
    <x v="3"/>
    <n v="42.31"/>
    <n v="97"/>
    <x v="4"/>
    <x v="2"/>
    <s v="Russia, Germany, Israel"/>
    <n v="206"/>
    <s v="High"/>
    <s v="Excellent"/>
  </r>
  <r>
    <x v="9"/>
    <x v="1"/>
    <x v="873"/>
    <x v="1"/>
    <s v="Lisatown"/>
    <x v="3"/>
    <n v="27.37"/>
    <n v="77"/>
    <x v="4"/>
    <x v="0"/>
    <s v="Israel, Japan"/>
    <n v="138"/>
    <s v="Medium"/>
    <s v="Good"/>
  </r>
  <r>
    <x v="9"/>
    <x v="7"/>
    <x v="2580"/>
    <x v="1"/>
    <s v="New Raymondmouth"/>
    <x v="0"/>
    <n v="42.86"/>
    <n v="98"/>
    <x v="2"/>
    <x v="0"/>
    <s v="USA"/>
    <n v="318"/>
    <s v="High"/>
    <s v="Excellent"/>
  </r>
  <r>
    <x v="5"/>
    <x v="4"/>
    <x v="2581"/>
    <x v="1"/>
    <s v="Ashleyfurt"/>
    <x v="1"/>
    <n v="29.47"/>
    <n v="51"/>
    <x v="1"/>
    <x v="1"/>
    <s v="India, Japan, Germany"/>
    <n v="2"/>
    <s v="Medium"/>
    <s v="Average"/>
  </r>
  <r>
    <x v="1"/>
    <x v="4"/>
    <x v="2582"/>
    <x v="0"/>
    <s v="West Williamview"/>
    <x v="2"/>
    <n v="17.91"/>
    <n v="82"/>
    <x v="0"/>
    <x v="2"/>
    <s v="Russia, Israel"/>
    <n v="234"/>
    <s v="Medium"/>
    <s v="Good"/>
  </r>
  <r>
    <x v="9"/>
    <x v="24"/>
    <x v="2583"/>
    <x v="1"/>
    <s v="Port Josephview"/>
    <x v="2"/>
    <n v="21.11"/>
    <n v="77"/>
    <x v="3"/>
    <x v="0"/>
    <s v="UK, Japan"/>
    <n v="302"/>
    <s v="Medium"/>
    <s v="Good"/>
  </r>
  <r>
    <x v="9"/>
    <x v="14"/>
    <x v="2584"/>
    <x v="0"/>
    <s v="North Ericaland"/>
    <x v="3"/>
    <n v="15.28"/>
    <n v="66"/>
    <x v="3"/>
    <x v="0"/>
    <s v="India, Japan"/>
    <n v="102"/>
    <s v="Medium"/>
    <s v="Average"/>
  </r>
  <r>
    <x v="9"/>
    <x v="12"/>
    <x v="2585"/>
    <x v="0"/>
    <s v="New Paula"/>
    <x v="3"/>
    <n v="27.83"/>
    <n v="70"/>
    <x v="1"/>
    <x v="1"/>
    <s v="Japan, USA, Germany"/>
    <n v="13"/>
    <s v="Medium"/>
    <s v="Average"/>
  </r>
  <r>
    <x v="6"/>
    <x v="21"/>
    <x v="2586"/>
    <x v="0"/>
    <s v="Trevorstad"/>
    <x v="2"/>
    <n v="23.12"/>
    <n v="58"/>
    <x v="4"/>
    <x v="1"/>
    <s v="Israel"/>
    <n v="127"/>
    <s v="Medium"/>
    <s v="Average"/>
  </r>
  <r>
    <x v="7"/>
    <x v="18"/>
    <x v="2587"/>
    <x v="0"/>
    <s v="Johnsonfurt"/>
    <x v="2"/>
    <n v="49.97"/>
    <n v="83"/>
    <x v="2"/>
    <x v="1"/>
    <s v="UK"/>
    <n v="7"/>
    <s v="High"/>
    <s v="Good"/>
  </r>
  <r>
    <x v="4"/>
    <x v="7"/>
    <x v="2588"/>
    <x v="1"/>
    <s v="South Richard"/>
    <x v="4"/>
    <n v="49.18"/>
    <n v="75"/>
    <x v="3"/>
    <x v="1"/>
    <s v="Japan, UAE, Russia"/>
    <n v="311"/>
    <s v="High"/>
    <s v="Good"/>
  </r>
  <r>
    <x v="6"/>
    <x v="5"/>
    <x v="2589"/>
    <x v="0"/>
    <s v="Benjaminfort"/>
    <x v="3"/>
    <n v="35.21"/>
    <n v="93"/>
    <x v="4"/>
    <x v="0"/>
    <s v="China"/>
    <n v="355"/>
    <s v="High"/>
    <s v="Excellent"/>
  </r>
  <r>
    <x v="8"/>
    <x v="0"/>
    <x v="2590"/>
    <x v="1"/>
    <s v="Gomezshire"/>
    <x v="2"/>
    <n v="4.8600000000000003"/>
    <n v="61"/>
    <x v="4"/>
    <x v="2"/>
    <s v="USA"/>
    <n v="186"/>
    <s v="Low"/>
    <s v="Average"/>
  </r>
  <r>
    <x v="2"/>
    <x v="2"/>
    <x v="2591"/>
    <x v="1"/>
    <s v="Glendastad"/>
    <x v="4"/>
    <n v="21.35"/>
    <n v="68"/>
    <x v="0"/>
    <x v="1"/>
    <s v="UAE, India, Israel"/>
    <n v="347"/>
    <s v="Medium"/>
    <s v="Average"/>
  </r>
  <r>
    <x v="7"/>
    <x v="5"/>
    <x v="2592"/>
    <x v="1"/>
    <s v="New Aliciabury"/>
    <x v="3"/>
    <n v="46.25"/>
    <n v="86"/>
    <x v="4"/>
    <x v="2"/>
    <s v="Russia"/>
    <n v="5"/>
    <s v="High"/>
    <s v="Good"/>
  </r>
  <r>
    <x v="8"/>
    <x v="3"/>
    <x v="2593"/>
    <x v="0"/>
    <s v="Charlesland"/>
    <x v="0"/>
    <n v="17.68"/>
    <n v="67"/>
    <x v="2"/>
    <x v="2"/>
    <s v="UAE"/>
    <n v="123"/>
    <s v="Medium"/>
    <s v="Average"/>
  </r>
  <r>
    <x v="8"/>
    <x v="25"/>
    <x v="2594"/>
    <x v="1"/>
    <s v="Moniqueberg"/>
    <x v="4"/>
    <n v="49.53"/>
    <n v="73"/>
    <x v="2"/>
    <x v="2"/>
    <s v="France, Russia, Japan"/>
    <n v="246"/>
    <s v="High"/>
    <s v="Average"/>
  </r>
  <r>
    <x v="8"/>
    <x v="24"/>
    <x v="2595"/>
    <x v="1"/>
    <s v="West Margaretfort"/>
    <x v="2"/>
    <n v="45.02"/>
    <n v="54"/>
    <x v="1"/>
    <x v="1"/>
    <s v="China, USA"/>
    <n v="161"/>
    <s v="High"/>
    <s v="Average"/>
  </r>
  <r>
    <x v="4"/>
    <x v="6"/>
    <x v="2596"/>
    <x v="0"/>
    <s v="Autumnfurt"/>
    <x v="0"/>
    <n v="22.16"/>
    <n v="81"/>
    <x v="2"/>
    <x v="2"/>
    <s v="India"/>
    <n v="351"/>
    <s v="Medium"/>
    <s v="Good"/>
  </r>
  <r>
    <x v="3"/>
    <x v="5"/>
    <x v="2597"/>
    <x v="1"/>
    <s v="Port Allenburgh"/>
    <x v="4"/>
    <n v="27"/>
    <n v="60"/>
    <x v="3"/>
    <x v="0"/>
    <s v="China, UK"/>
    <n v="22"/>
    <s v="Medium"/>
    <s v="Average"/>
  </r>
  <r>
    <x v="6"/>
    <x v="5"/>
    <x v="2598"/>
    <x v="0"/>
    <s v="Hestermouth"/>
    <x v="3"/>
    <n v="14.67"/>
    <n v="97"/>
    <x v="0"/>
    <x v="2"/>
    <s v="UK, France"/>
    <n v="132"/>
    <s v="Low"/>
    <s v="Excellent"/>
  </r>
  <r>
    <x v="9"/>
    <x v="19"/>
    <x v="2599"/>
    <x v="0"/>
    <s v="Port Erinburgh"/>
    <x v="1"/>
    <n v="15.7"/>
    <n v="80"/>
    <x v="0"/>
    <x v="2"/>
    <s v="UAE, France"/>
    <n v="138"/>
    <s v="Medium"/>
    <s v="Good"/>
  </r>
  <r>
    <x v="0"/>
    <x v="2"/>
    <x v="2600"/>
    <x v="0"/>
    <s v="Port Hollyburgh"/>
    <x v="4"/>
    <n v="34.89"/>
    <n v="65"/>
    <x v="4"/>
    <x v="1"/>
    <s v="USA, UK"/>
    <n v="153"/>
    <s v="Medium"/>
    <s v="Average"/>
  </r>
  <r>
    <x v="1"/>
    <x v="12"/>
    <x v="2601"/>
    <x v="1"/>
    <s v="East Antonio"/>
    <x v="3"/>
    <n v="34.58"/>
    <n v="61"/>
    <x v="1"/>
    <x v="2"/>
    <s v="Israel, UK, France"/>
    <n v="248"/>
    <s v="Medium"/>
    <s v="Average"/>
  </r>
  <r>
    <x v="8"/>
    <x v="10"/>
    <x v="2602"/>
    <x v="1"/>
    <s v="Contreraschester"/>
    <x v="3"/>
    <n v="45.81"/>
    <n v="100"/>
    <x v="4"/>
    <x v="2"/>
    <s v="Germany, France, USA"/>
    <n v="71"/>
    <s v="High"/>
    <s v="Excellent"/>
  </r>
  <r>
    <x v="6"/>
    <x v="17"/>
    <x v="2603"/>
    <x v="0"/>
    <s v="North David"/>
    <x v="0"/>
    <n v="31.03"/>
    <n v="69"/>
    <x v="4"/>
    <x v="0"/>
    <s v="UK"/>
    <n v="115"/>
    <s v="Medium"/>
    <s v="Average"/>
  </r>
  <r>
    <x v="7"/>
    <x v="8"/>
    <x v="2604"/>
    <x v="1"/>
    <s v="Carrollberg"/>
    <x v="4"/>
    <n v="9.98"/>
    <n v="52"/>
    <x v="0"/>
    <x v="0"/>
    <s v="Germany, India"/>
    <n v="2"/>
    <s v="Low"/>
    <s v="Average"/>
  </r>
  <r>
    <x v="9"/>
    <x v="9"/>
    <x v="2605"/>
    <x v="1"/>
    <s v="Lake Mariaside"/>
    <x v="3"/>
    <n v="24.66"/>
    <n v="93"/>
    <x v="2"/>
    <x v="0"/>
    <s v="UK, Russia"/>
    <n v="307"/>
    <s v="Medium"/>
    <s v="Excellent"/>
  </r>
  <r>
    <x v="8"/>
    <x v="24"/>
    <x v="2606"/>
    <x v="0"/>
    <s v="South Michael"/>
    <x v="0"/>
    <n v="42.45"/>
    <n v="51"/>
    <x v="1"/>
    <x v="0"/>
    <s v="USA, Japan"/>
    <n v="304"/>
    <s v="High"/>
    <s v="Average"/>
  </r>
  <r>
    <x v="4"/>
    <x v="17"/>
    <x v="2607"/>
    <x v="0"/>
    <s v="Stephenport"/>
    <x v="3"/>
    <n v="11.57"/>
    <n v="82"/>
    <x v="4"/>
    <x v="0"/>
    <s v="France, China"/>
    <n v="155"/>
    <s v="Low"/>
    <s v="Good"/>
  </r>
  <r>
    <x v="9"/>
    <x v="16"/>
    <x v="2608"/>
    <x v="1"/>
    <s v="Masonmouth"/>
    <x v="0"/>
    <n v="27.56"/>
    <n v="65"/>
    <x v="2"/>
    <x v="2"/>
    <s v="France"/>
    <n v="158"/>
    <s v="Medium"/>
    <s v="Average"/>
  </r>
  <r>
    <x v="6"/>
    <x v="12"/>
    <x v="2609"/>
    <x v="0"/>
    <s v="Port Jenniferchester"/>
    <x v="1"/>
    <n v="27.57"/>
    <n v="75"/>
    <x v="0"/>
    <x v="2"/>
    <s v="Japan"/>
    <n v="86"/>
    <s v="Medium"/>
    <s v="Good"/>
  </r>
  <r>
    <x v="8"/>
    <x v="13"/>
    <x v="2610"/>
    <x v="1"/>
    <s v="North Andrew"/>
    <x v="1"/>
    <n v="32.619999999999997"/>
    <n v="87"/>
    <x v="2"/>
    <x v="2"/>
    <s v="France, USA"/>
    <n v="226"/>
    <s v="Medium"/>
    <s v="Good"/>
  </r>
  <r>
    <x v="1"/>
    <x v="4"/>
    <x v="2611"/>
    <x v="1"/>
    <s v="West Andrew"/>
    <x v="3"/>
    <n v="40.33"/>
    <n v="100"/>
    <x v="1"/>
    <x v="0"/>
    <s v="Russia, UAE"/>
    <n v="327"/>
    <s v="High"/>
    <s v="Excellent"/>
  </r>
  <r>
    <x v="6"/>
    <x v="7"/>
    <x v="2612"/>
    <x v="1"/>
    <s v="Angelaburgh"/>
    <x v="1"/>
    <n v="35.799999999999997"/>
    <n v="75"/>
    <x v="1"/>
    <x v="0"/>
    <s v="Germany"/>
    <n v="360"/>
    <s v="High"/>
    <s v="Good"/>
  </r>
  <r>
    <x v="4"/>
    <x v="21"/>
    <x v="2613"/>
    <x v="1"/>
    <s v="Jenniferside"/>
    <x v="1"/>
    <n v="11.79"/>
    <n v="78"/>
    <x v="4"/>
    <x v="0"/>
    <s v="Israel"/>
    <n v="206"/>
    <s v="Low"/>
    <s v="Good"/>
  </r>
  <r>
    <x v="3"/>
    <x v="24"/>
    <x v="2614"/>
    <x v="0"/>
    <s v="North Ethanfurt"/>
    <x v="4"/>
    <n v="25.98"/>
    <n v="82"/>
    <x v="3"/>
    <x v="2"/>
    <s v="India, Japan"/>
    <n v="220"/>
    <s v="Medium"/>
    <s v="Good"/>
  </r>
  <r>
    <x v="9"/>
    <x v="14"/>
    <x v="2615"/>
    <x v="1"/>
    <s v="Port Sarahtown"/>
    <x v="0"/>
    <n v="38.479999999999997"/>
    <n v="69"/>
    <x v="0"/>
    <x v="0"/>
    <s v="France"/>
    <n v="177"/>
    <s v="High"/>
    <s v="Average"/>
  </r>
  <r>
    <x v="8"/>
    <x v="11"/>
    <x v="2616"/>
    <x v="1"/>
    <s v="West Donaldside"/>
    <x v="4"/>
    <n v="44.86"/>
    <n v="85"/>
    <x v="0"/>
    <x v="1"/>
    <s v="USA"/>
    <n v="330"/>
    <s v="High"/>
    <s v="Good"/>
  </r>
  <r>
    <x v="2"/>
    <x v="10"/>
    <x v="2617"/>
    <x v="0"/>
    <s v="South William"/>
    <x v="1"/>
    <n v="6.63"/>
    <n v="85"/>
    <x v="3"/>
    <x v="2"/>
    <s v="China, USA, UK"/>
    <n v="82"/>
    <s v="Low"/>
    <s v="Good"/>
  </r>
  <r>
    <x v="4"/>
    <x v="13"/>
    <x v="2618"/>
    <x v="0"/>
    <s v="Amyton"/>
    <x v="2"/>
    <n v="20.76"/>
    <n v="53"/>
    <x v="1"/>
    <x v="1"/>
    <s v="Russia, USA, France"/>
    <n v="165"/>
    <s v="Medium"/>
    <s v="Average"/>
  </r>
  <r>
    <x v="2"/>
    <x v="7"/>
    <x v="2619"/>
    <x v="1"/>
    <s v="Lake Katherinemouth"/>
    <x v="3"/>
    <n v="16.36"/>
    <n v="78"/>
    <x v="3"/>
    <x v="1"/>
    <s v="UAE, Israel, Japan"/>
    <n v="260"/>
    <s v="Medium"/>
    <s v="Good"/>
  </r>
  <r>
    <x v="5"/>
    <x v="2"/>
    <x v="2620"/>
    <x v="1"/>
    <s v="Elizabethmouth"/>
    <x v="3"/>
    <n v="37.83"/>
    <n v="57"/>
    <x v="3"/>
    <x v="2"/>
    <s v="Germany, UK"/>
    <n v="217"/>
    <s v="High"/>
    <s v="Average"/>
  </r>
  <r>
    <x v="0"/>
    <x v="9"/>
    <x v="2621"/>
    <x v="1"/>
    <s v="Angelicaport"/>
    <x v="2"/>
    <n v="1.03"/>
    <n v="53"/>
    <x v="0"/>
    <x v="1"/>
    <s v="Israel, France, UAE"/>
    <n v="38"/>
    <s v="Low"/>
    <s v="Average"/>
  </r>
  <r>
    <x v="6"/>
    <x v="11"/>
    <x v="2622"/>
    <x v="0"/>
    <s v="Danielbury"/>
    <x v="0"/>
    <n v="37.880000000000003"/>
    <n v="83"/>
    <x v="0"/>
    <x v="1"/>
    <s v="USA"/>
    <n v="66"/>
    <s v="High"/>
    <s v="Good"/>
  </r>
  <r>
    <x v="5"/>
    <x v="3"/>
    <x v="2623"/>
    <x v="0"/>
    <s v="Port Nicoleberg"/>
    <x v="1"/>
    <n v="38.89"/>
    <n v="50"/>
    <x v="4"/>
    <x v="1"/>
    <s v="France, Germany, UK"/>
    <n v="193"/>
    <s v="High"/>
    <s v="Average"/>
  </r>
  <r>
    <x v="6"/>
    <x v="3"/>
    <x v="2624"/>
    <x v="1"/>
    <s v="North Andrewshire"/>
    <x v="4"/>
    <n v="5.05"/>
    <n v="51"/>
    <x v="4"/>
    <x v="0"/>
    <s v="France, UAE"/>
    <n v="46"/>
    <s v="Low"/>
    <s v="Average"/>
  </r>
  <r>
    <x v="7"/>
    <x v="5"/>
    <x v="2625"/>
    <x v="0"/>
    <s v="Wandachester"/>
    <x v="0"/>
    <n v="6.22"/>
    <n v="63"/>
    <x v="0"/>
    <x v="1"/>
    <s v="China, France"/>
    <n v="72"/>
    <s v="Low"/>
    <s v="Average"/>
  </r>
  <r>
    <x v="5"/>
    <x v="6"/>
    <x v="2626"/>
    <x v="1"/>
    <s v="South Bruce"/>
    <x v="2"/>
    <n v="5.99"/>
    <n v="51"/>
    <x v="2"/>
    <x v="2"/>
    <s v="Germany, China"/>
    <n v="202"/>
    <s v="Low"/>
    <s v="Average"/>
  </r>
  <r>
    <x v="6"/>
    <x v="24"/>
    <x v="2627"/>
    <x v="1"/>
    <s v="Port Heidi"/>
    <x v="1"/>
    <n v="3.53"/>
    <n v="73"/>
    <x v="1"/>
    <x v="2"/>
    <s v="Russia, Germany, UK"/>
    <n v="136"/>
    <s v="Low"/>
    <s v="Average"/>
  </r>
  <r>
    <x v="5"/>
    <x v="16"/>
    <x v="2628"/>
    <x v="0"/>
    <s v="Jonestown"/>
    <x v="2"/>
    <n v="17.14"/>
    <n v="73"/>
    <x v="2"/>
    <x v="2"/>
    <s v="Japan, China, Germany"/>
    <n v="264"/>
    <s v="Medium"/>
    <s v="Average"/>
  </r>
  <r>
    <x v="7"/>
    <x v="20"/>
    <x v="2629"/>
    <x v="0"/>
    <s v="South Donaldville"/>
    <x v="3"/>
    <n v="32.29"/>
    <n v="50"/>
    <x v="3"/>
    <x v="0"/>
    <s v="India, Germany"/>
    <n v="47"/>
    <s v="Medium"/>
    <s v="Average"/>
  </r>
  <r>
    <x v="1"/>
    <x v="22"/>
    <x v="2630"/>
    <x v="1"/>
    <s v="East Eric"/>
    <x v="1"/>
    <n v="12.37"/>
    <n v="79"/>
    <x v="1"/>
    <x v="0"/>
    <s v="UAE, UK, Germany"/>
    <n v="282"/>
    <s v="Low"/>
    <s v="Good"/>
  </r>
  <r>
    <x v="2"/>
    <x v="4"/>
    <x v="2631"/>
    <x v="0"/>
    <s v="North Alexbury"/>
    <x v="0"/>
    <n v="17.190000000000001"/>
    <n v="50"/>
    <x v="2"/>
    <x v="1"/>
    <s v="Israel, France"/>
    <n v="263"/>
    <s v="Medium"/>
    <s v="Average"/>
  </r>
  <r>
    <x v="6"/>
    <x v="7"/>
    <x v="2632"/>
    <x v="1"/>
    <s v="East Michael"/>
    <x v="0"/>
    <n v="27.94"/>
    <n v="56"/>
    <x v="0"/>
    <x v="1"/>
    <s v="USA"/>
    <n v="160"/>
    <s v="Medium"/>
    <s v="Average"/>
  </r>
  <r>
    <x v="1"/>
    <x v="19"/>
    <x v="2633"/>
    <x v="1"/>
    <s v="Port Michelle"/>
    <x v="0"/>
    <n v="46.19"/>
    <n v="83"/>
    <x v="3"/>
    <x v="0"/>
    <s v="Germany, India, USA"/>
    <n v="51"/>
    <s v="High"/>
    <s v="Good"/>
  </r>
  <r>
    <x v="8"/>
    <x v="12"/>
    <x v="2634"/>
    <x v="0"/>
    <s v="Turnerstad"/>
    <x v="4"/>
    <n v="8.83"/>
    <n v="96"/>
    <x v="3"/>
    <x v="1"/>
    <s v="UK"/>
    <n v="230"/>
    <s v="Low"/>
    <s v="Excellent"/>
  </r>
  <r>
    <x v="1"/>
    <x v="14"/>
    <x v="2635"/>
    <x v="0"/>
    <s v="Lake Cindy"/>
    <x v="2"/>
    <n v="22.56"/>
    <n v="84"/>
    <x v="2"/>
    <x v="1"/>
    <s v="Russia, Israel"/>
    <n v="314"/>
    <s v="Medium"/>
    <s v="Good"/>
  </r>
  <r>
    <x v="8"/>
    <x v="3"/>
    <x v="2636"/>
    <x v="0"/>
    <s v="South Kelly"/>
    <x v="4"/>
    <n v="22.86"/>
    <n v="71"/>
    <x v="1"/>
    <x v="0"/>
    <s v="Japan"/>
    <n v="134"/>
    <s v="Medium"/>
    <s v="Average"/>
  </r>
  <r>
    <x v="0"/>
    <x v="0"/>
    <x v="2637"/>
    <x v="1"/>
    <s v="Osbornefort"/>
    <x v="2"/>
    <n v="10.06"/>
    <n v="83"/>
    <x v="3"/>
    <x v="0"/>
    <s v="USA, France, UAE"/>
    <n v="93"/>
    <s v="Low"/>
    <s v="Good"/>
  </r>
  <r>
    <x v="0"/>
    <x v="5"/>
    <x v="2638"/>
    <x v="1"/>
    <s v="Brendashire"/>
    <x v="2"/>
    <n v="24.79"/>
    <n v="83"/>
    <x v="1"/>
    <x v="1"/>
    <s v="Russia, Japan, Germany"/>
    <n v="102"/>
    <s v="Medium"/>
    <s v="Good"/>
  </r>
  <r>
    <x v="9"/>
    <x v="19"/>
    <x v="2639"/>
    <x v="0"/>
    <s v="Jennifertown"/>
    <x v="0"/>
    <n v="8.89"/>
    <n v="78"/>
    <x v="0"/>
    <x v="2"/>
    <s v="Germany, Japan, France"/>
    <n v="212"/>
    <s v="Low"/>
    <s v="Good"/>
  </r>
  <r>
    <x v="8"/>
    <x v="18"/>
    <x v="2640"/>
    <x v="1"/>
    <s v="Nicholasborough"/>
    <x v="1"/>
    <n v="13.53"/>
    <n v="60"/>
    <x v="2"/>
    <x v="0"/>
    <s v="Israel, UAE, USA"/>
    <n v="25"/>
    <s v="Low"/>
    <s v="Average"/>
  </r>
  <r>
    <x v="0"/>
    <x v="17"/>
    <x v="2641"/>
    <x v="1"/>
    <s v="North Georgeborough"/>
    <x v="1"/>
    <n v="19.07"/>
    <n v="100"/>
    <x v="0"/>
    <x v="2"/>
    <s v="UAE, France"/>
    <n v="320"/>
    <s v="Medium"/>
    <s v="Excellent"/>
  </r>
  <r>
    <x v="8"/>
    <x v="5"/>
    <x v="2642"/>
    <x v="0"/>
    <s v="Millermouth"/>
    <x v="0"/>
    <n v="47.12"/>
    <n v="92"/>
    <x v="4"/>
    <x v="2"/>
    <s v="UK, India"/>
    <n v="257"/>
    <s v="High"/>
    <s v="Excellent"/>
  </r>
  <r>
    <x v="7"/>
    <x v="10"/>
    <x v="2643"/>
    <x v="0"/>
    <s v="Danielmouth"/>
    <x v="2"/>
    <n v="17.649999999999999"/>
    <n v="70"/>
    <x v="3"/>
    <x v="1"/>
    <s v="UAE, UK, France"/>
    <n v="238"/>
    <s v="Medium"/>
    <s v="Average"/>
  </r>
  <r>
    <x v="0"/>
    <x v="11"/>
    <x v="2644"/>
    <x v="0"/>
    <s v="Bakerborough"/>
    <x v="2"/>
    <n v="33.409999999999997"/>
    <n v="87"/>
    <x v="2"/>
    <x v="0"/>
    <s v="India"/>
    <n v="200"/>
    <s v="Medium"/>
    <s v="Good"/>
  </r>
  <r>
    <x v="2"/>
    <x v="15"/>
    <x v="2645"/>
    <x v="0"/>
    <s v="Brookebury"/>
    <x v="2"/>
    <n v="4.66"/>
    <n v="56"/>
    <x v="1"/>
    <x v="0"/>
    <s v="Germany"/>
    <n v="71"/>
    <s v="Low"/>
    <s v="Average"/>
  </r>
  <r>
    <x v="2"/>
    <x v="1"/>
    <x v="2646"/>
    <x v="0"/>
    <s v="West Paulland"/>
    <x v="3"/>
    <n v="11.82"/>
    <n v="50"/>
    <x v="1"/>
    <x v="1"/>
    <s v="Israel, UK"/>
    <n v="121"/>
    <s v="Low"/>
    <s v="Average"/>
  </r>
  <r>
    <x v="3"/>
    <x v="25"/>
    <x v="2647"/>
    <x v="1"/>
    <s v="New Jason"/>
    <x v="0"/>
    <n v="5.44"/>
    <n v="72"/>
    <x v="2"/>
    <x v="2"/>
    <s v="Japan, China, Germany"/>
    <n v="63"/>
    <s v="Low"/>
    <s v="Average"/>
  </r>
  <r>
    <x v="1"/>
    <x v="15"/>
    <x v="2648"/>
    <x v="0"/>
    <s v="North Jason"/>
    <x v="3"/>
    <n v="24.54"/>
    <n v="64"/>
    <x v="3"/>
    <x v="0"/>
    <s v="Russia, USA"/>
    <n v="308"/>
    <s v="Medium"/>
    <s v="Average"/>
  </r>
  <r>
    <x v="8"/>
    <x v="4"/>
    <x v="2649"/>
    <x v="0"/>
    <s v="Ashleyfurt"/>
    <x v="3"/>
    <n v="40.450000000000003"/>
    <n v="100"/>
    <x v="3"/>
    <x v="0"/>
    <s v="Israel, Japan"/>
    <n v="118"/>
    <s v="High"/>
    <s v="Excellent"/>
  </r>
  <r>
    <x v="6"/>
    <x v="8"/>
    <x v="2650"/>
    <x v="1"/>
    <s v="Mcdanielhaven"/>
    <x v="0"/>
    <n v="33.68"/>
    <n v="57"/>
    <x v="2"/>
    <x v="1"/>
    <s v="Germany"/>
    <n v="353"/>
    <s v="Medium"/>
    <s v="Average"/>
  </r>
  <r>
    <x v="7"/>
    <x v="7"/>
    <x v="2651"/>
    <x v="1"/>
    <s v="Roblesville"/>
    <x v="3"/>
    <n v="40.04"/>
    <n v="97"/>
    <x v="3"/>
    <x v="1"/>
    <s v="India, Germany"/>
    <n v="225"/>
    <s v="High"/>
    <s v="Excellent"/>
  </r>
  <r>
    <x v="3"/>
    <x v="12"/>
    <x v="2652"/>
    <x v="1"/>
    <s v="Christinastad"/>
    <x v="4"/>
    <n v="17.649999999999999"/>
    <n v="55"/>
    <x v="2"/>
    <x v="1"/>
    <s v="UAE, Germany, India"/>
    <n v="215"/>
    <s v="Medium"/>
    <s v="Average"/>
  </r>
  <r>
    <x v="0"/>
    <x v="18"/>
    <x v="2653"/>
    <x v="1"/>
    <s v="New Cody"/>
    <x v="3"/>
    <n v="26.27"/>
    <n v="83"/>
    <x v="2"/>
    <x v="0"/>
    <s v="USA, India, UAE"/>
    <n v="352"/>
    <s v="Medium"/>
    <s v="Good"/>
  </r>
  <r>
    <x v="6"/>
    <x v="7"/>
    <x v="2654"/>
    <x v="1"/>
    <s v="Lake Matthewstad"/>
    <x v="2"/>
    <n v="49.43"/>
    <n v="65"/>
    <x v="2"/>
    <x v="2"/>
    <s v="France"/>
    <n v="243"/>
    <s v="High"/>
    <s v="Average"/>
  </r>
  <r>
    <x v="9"/>
    <x v="24"/>
    <x v="2655"/>
    <x v="1"/>
    <s v="Colemanmouth"/>
    <x v="2"/>
    <n v="29.43"/>
    <n v="53"/>
    <x v="4"/>
    <x v="0"/>
    <s v="Russia, UAE, China"/>
    <n v="163"/>
    <s v="Medium"/>
    <s v="Average"/>
  </r>
  <r>
    <x v="2"/>
    <x v="21"/>
    <x v="2656"/>
    <x v="1"/>
    <s v="Thompsonshire"/>
    <x v="1"/>
    <n v="39.99"/>
    <n v="52"/>
    <x v="3"/>
    <x v="1"/>
    <s v="India, UAE, China"/>
    <n v="19"/>
    <s v="High"/>
    <s v="Average"/>
  </r>
  <r>
    <x v="4"/>
    <x v="12"/>
    <x v="2657"/>
    <x v="0"/>
    <s v="New Cindy"/>
    <x v="0"/>
    <n v="15.12"/>
    <n v="72"/>
    <x v="3"/>
    <x v="2"/>
    <s v="Japan, China"/>
    <n v="358"/>
    <s v="Medium"/>
    <s v="Average"/>
  </r>
  <r>
    <x v="6"/>
    <x v="1"/>
    <x v="2658"/>
    <x v="0"/>
    <s v="North Shannonshire"/>
    <x v="3"/>
    <n v="29.4"/>
    <n v="92"/>
    <x v="3"/>
    <x v="1"/>
    <s v="UAE, China"/>
    <n v="96"/>
    <s v="Medium"/>
    <s v="Excellent"/>
  </r>
  <r>
    <x v="3"/>
    <x v="18"/>
    <x v="2659"/>
    <x v="1"/>
    <s v="Ethanhaven"/>
    <x v="3"/>
    <n v="48.69"/>
    <n v="91"/>
    <x v="2"/>
    <x v="1"/>
    <s v="India, China, UK"/>
    <n v="254"/>
    <s v="High"/>
    <s v="Excellent"/>
  </r>
  <r>
    <x v="1"/>
    <x v="8"/>
    <x v="2660"/>
    <x v="0"/>
    <s v="Elizabethside"/>
    <x v="0"/>
    <n v="34.24"/>
    <n v="55"/>
    <x v="1"/>
    <x v="1"/>
    <s v="Germany, Russia"/>
    <n v="312"/>
    <s v="Medium"/>
    <s v="Average"/>
  </r>
  <r>
    <x v="5"/>
    <x v="5"/>
    <x v="2661"/>
    <x v="1"/>
    <s v="Ronaldmouth"/>
    <x v="0"/>
    <n v="18.75"/>
    <n v="100"/>
    <x v="1"/>
    <x v="1"/>
    <s v="Israel, Germany, Japan"/>
    <n v="55"/>
    <s v="Medium"/>
    <s v="Excellent"/>
  </r>
  <r>
    <x v="3"/>
    <x v="18"/>
    <x v="2662"/>
    <x v="1"/>
    <s v="Port William"/>
    <x v="1"/>
    <n v="48.12"/>
    <n v="65"/>
    <x v="0"/>
    <x v="0"/>
    <s v="France, USA, UAE"/>
    <n v="278"/>
    <s v="High"/>
    <s v="Average"/>
  </r>
  <r>
    <x v="1"/>
    <x v="5"/>
    <x v="2663"/>
    <x v="1"/>
    <s v="Timothyburgh"/>
    <x v="1"/>
    <n v="43.42"/>
    <n v="71"/>
    <x v="3"/>
    <x v="2"/>
    <s v="India"/>
    <n v="244"/>
    <s v="High"/>
    <s v="Average"/>
  </r>
  <r>
    <x v="3"/>
    <x v="20"/>
    <x v="2664"/>
    <x v="0"/>
    <s v="Matthewfort"/>
    <x v="0"/>
    <n v="1.9"/>
    <n v="76"/>
    <x v="1"/>
    <x v="1"/>
    <s v="Russia, UK"/>
    <n v="289"/>
    <s v="Low"/>
    <s v="Good"/>
  </r>
  <r>
    <x v="6"/>
    <x v="25"/>
    <x v="2665"/>
    <x v="1"/>
    <s v="East Ryanmouth"/>
    <x v="0"/>
    <n v="30.58"/>
    <n v="96"/>
    <x v="0"/>
    <x v="0"/>
    <s v="Germany, China"/>
    <n v="323"/>
    <s v="Medium"/>
    <s v="Excellent"/>
  </r>
  <r>
    <x v="9"/>
    <x v="21"/>
    <x v="2666"/>
    <x v="0"/>
    <s v="South Alexander"/>
    <x v="3"/>
    <n v="39.090000000000003"/>
    <n v="59"/>
    <x v="0"/>
    <x v="0"/>
    <s v="UAE"/>
    <n v="110"/>
    <s v="High"/>
    <s v="Average"/>
  </r>
  <r>
    <x v="4"/>
    <x v="9"/>
    <x v="2667"/>
    <x v="1"/>
    <s v="Allisonburgh"/>
    <x v="0"/>
    <n v="41.97"/>
    <n v="78"/>
    <x v="2"/>
    <x v="2"/>
    <s v="Germany"/>
    <n v="121"/>
    <s v="High"/>
    <s v="Good"/>
  </r>
  <r>
    <x v="3"/>
    <x v="25"/>
    <x v="2668"/>
    <x v="0"/>
    <s v="Port Angela"/>
    <x v="4"/>
    <n v="42.23"/>
    <n v="92"/>
    <x v="2"/>
    <x v="2"/>
    <s v="USA, Russia"/>
    <n v="284"/>
    <s v="High"/>
    <s v="Excellent"/>
  </r>
  <r>
    <x v="6"/>
    <x v="13"/>
    <x v="2669"/>
    <x v="1"/>
    <s v="South Joan"/>
    <x v="2"/>
    <n v="16.059999999999999"/>
    <n v="63"/>
    <x v="2"/>
    <x v="0"/>
    <s v="Japan, Germany, Israel"/>
    <n v="71"/>
    <s v="Medium"/>
    <s v="Average"/>
  </r>
  <r>
    <x v="9"/>
    <x v="4"/>
    <x v="2670"/>
    <x v="0"/>
    <s v="Ballport"/>
    <x v="0"/>
    <n v="25.02"/>
    <n v="79"/>
    <x v="2"/>
    <x v="2"/>
    <s v="France"/>
    <n v="276"/>
    <s v="Medium"/>
    <s v="Good"/>
  </r>
  <r>
    <x v="1"/>
    <x v="2"/>
    <x v="2671"/>
    <x v="0"/>
    <s v="South Bonniemouth"/>
    <x v="1"/>
    <n v="3.2"/>
    <n v="96"/>
    <x v="3"/>
    <x v="1"/>
    <s v="USA, Germany"/>
    <n v="149"/>
    <s v="Low"/>
    <s v="Excellent"/>
  </r>
  <r>
    <x v="7"/>
    <x v="21"/>
    <x v="2672"/>
    <x v="0"/>
    <s v="Amandachester"/>
    <x v="4"/>
    <n v="39.590000000000003"/>
    <n v="76"/>
    <x v="4"/>
    <x v="0"/>
    <s v="UAE"/>
    <n v="57"/>
    <s v="High"/>
    <s v="Good"/>
  </r>
  <r>
    <x v="8"/>
    <x v="1"/>
    <x v="2673"/>
    <x v="0"/>
    <s v="Melissashire"/>
    <x v="0"/>
    <n v="22.63"/>
    <n v="79"/>
    <x v="0"/>
    <x v="1"/>
    <s v="India"/>
    <n v="13"/>
    <s v="Medium"/>
    <s v="Good"/>
  </r>
  <r>
    <x v="3"/>
    <x v="16"/>
    <x v="2674"/>
    <x v="0"/>
    <s v="South Raymondville"/>
    <x v="3"/>
    <n v="41.3"/>
    <n v="57"/>
    <x v="2"/>
    <x v="2"/>
    <s v="Israel"/>
    <n v="239"/>
    <s v="High"/>
    <s v="Average"/>
  </r>
  <r>
    <x v="1"/>
    <x v="14"/>
    <x v="2675"/>
    <x v="0"/>
    <s v="Kerrport"/>
    <x v="4"/>
    <n v="23.15"/>
    <n v="60"/>
    <x v="3"/>
    <x v="0"/>
    <s v="India, Russia, France"/>
    <n v="201"/>
    <s v="Medium"/>
    <s v="Average"/>
  </r>
  <r>
    <x v="3"/>
    <x v="2"/>
    <x v="2676"/>
    <x v="0"/>
    <s v="West Scott"/>
    <x v="4"/>
    <n v="32.299999999999997"/>
    <n v="78"/>
    <x v="3"/>
    <x v="0"/>
    <s v="China, Russia"/>
    <n v="305"/>
    <s v="Medium"/>
    <s v="Good"/>
  </r>
  <r>
    <x v="5"/>
    <x v="0"/>
    <x v="2677"/>
    <x v="1"/>
    <s v="East Pamela"/>
    <x v="3"/>
    <n v="35.92"/>
    <n v="75"/>
    <x v="4"/>
    <x v="1"/>
    <s v="Germany, India"/>
    <n v="327"/>
    <s v="High"/>
    <s v="Good"/>
  </r>
  <r>
    <x v="7"/>
    <x v="14"/>
    <x v="2678"/>
    <x v="0"/>
    <s v="Debbieland"/>
    <x v="3"/>
    <n v="11.72"/>
    <n v="98"/>
    <x v="3"/>
    <x v="2"/>
    <s v="UAE, Israel"/>
    <n v="110"/>
    <s v="Low"/>
    <s v="Excellent"/>
  </r>
  <r>
    <x v="4"/>
    <x v="24"/>
    <x v="2679"/>
    <x v="1"/>
    <s v="Skinnerburgh"/>
    <x v="3"/>
    <n v="14.12"/>
    <n v="67"/>
    <x v="3"/>
    <x v="2"/>
    <s v="France"/>
    <n v="42"/>
    <s v="Low"/>
    <s v="Average"/>
  </r>
  <r>
    <x v="5"/>
    <x v="5"/>
    <x v="2680"/>
    <x v="1"/>
    <s v="Villanuevahaven"/>
    <x v="0"/>
    <n v="23.75"/>
    <n v="75"/>
    <x v="1"/>
    <x v="1"/>
    <s v="USA, India"/>
    <n v="53"/>
    <s v="Medium"/>
    <s v="Good"/>
  </r>
  <r>
    <x v="5"/>
    <x v="19"/>
    <x v="2681"/>
    <x v="1"/>
    <s v="Terryhaven"/>
    <x v="4"/>
    <n v="46.91"/>
    <n v="81"/>
    <x v="1"/>
    <x v="0"/>
    <s v="Germany, Israel, USA"/>
    <n v="174"/>
    <s v="High"/>
    <s v="Good"/>
  </r>
  <r>
    <x v="3"/>
    <x v="3"/>
    <x v="2682"/>
    <x v="0"/>
    <s v="East Aaron"/>
    <x v="3"/>
    <n v="47.3"/>
    <n v="100"/>
    <x v="1"/>
    <x v="0"/>
    <s v="UAE, India, Russia"/>
    <n v="76"/>
    <s v="High"/>
    <s v="Excellent"/>
  </r>
  <r>
    <x v="4"/>
    <x v="17"/>
    <x v="2683"/>
    <x v="1"/>
    <s v="West Josephmouth"/>
    <x v="4"/>
    <n v="20.56"/>
    <n v="66"/>
    <x v="3"/>
    <x v="1"/>
    <s v="China"/>
    <n v="307"/>
    <s v="Medium"/>
    <s v="Average"/>
  </r>
  <r>
    <x v="5"/>
    <x v="20"/>
    <x v="2684"/>
    <x v="0"/>
    <s v="Port Erikafurt"/>
    <x v="2"/>
    <n v="29.12"/>
    <n v="84"/>
    <x v="2"/>
    <x v="1"/>
    <s v="USA, India, Israel"/>
    <n v="281"/>
    <s v="Medium"/>
    <s v="Good"/>
  </r>
  <r>
    <x v="7"/>
    <x v="20"/>
    <x v="2685"/>
    <x v="0"/>
    <s v="Martinport"/>
    <x v="0"/>
    <n v="9.0299999999999994"/>
    <n v="89"/>
    <x v="0"/>
    <x v="0"/>
    <s v="Japan, UK, UAE"/>
    <n v="144"/>
    <s v="Low"/>
    <s v="Good"/>
  </r>
  <r>
    <x v="5"/>
    <x v="11"/>
    <x v="2686"/>
    <x v="0"/>
    <s v="West Cheyenneburgh"/>
    <x v="4"/>
    <n v="22.11"/>
    <n v="83"/>
    <x v="4"/>
    <x v="1"/>
    <s v="UAE, India, Japan"/>
    <n v="207"/>
    <s v="Medium"/>
    <s v="Good"/>
  </r>
  <r>
    <x v="6"/>
    <x v="8"/>
    <x v="2687"/>
    <x v="1"/>
    <s v="New Victor"/>
    <x v="0"/>
    <n v="1.97"/>
    <n v="84"/>
    <x v="0"/>
    <x v="0"/>
    <s v="UAE, Israel"/>
    <n v="140"/>
    <s v="Low"/>
    <s v="Good"/>
  </r>
  <r>
    <x v="7"/>
    <x v="20"/>
    <x v="2688"/>
    <x v="0"/>
    <s v="North Mark"/>
    <x v="3"/>
    <n v="47.89"/>
    <n v="62"/>
    <x v="2"/>
    <x v="1"/>
    <s v="UAE, UK, France"/>
    <n v="111"/>
    <s v="High"/>
    <s v="Average"/>
  </r>
  <r>
    <x v="6"/>
    <x v="24"/>
    <x v="2689"/>
    <x v="1"/>
    <s v="East Rogerchester"/>
    <x v="3"/>
    <n v="7.41"/>
    <n v="87"/>
    <x v="0"/>
    <x v="1"/>
    <s v="India"/>
    <n v="251"/>
    <s v="Low"/>
    <s v="Good"/>
  </r>
  <r>
    <x v="0"/>
    <x v="24"/>
    <x v="2690"/>
    <x v="1"/>
    <s v="Johnfort"/>
    <x v="4"/>
    <n v="36.659999999999997"/>
    <n v="50"/>
    <x v="4"/>
    <x v="0"/>
    <s v="France"/>
    <n v="288"/>
    <s v="High"/>
    <s v="Average"/>
  </r>
  <r>
    <x v="2"/>
    <x v="2"/>
    <x v="2691"/>
    <x v="1"/>
    <s v="Allenchester"/>
    <x v="1"/>
    <n v="42.2"/>
    <n v="50"/>
    <x v="2"/>
    <x v="0"/>
    <s v="USA"/>
    <n v="222"/>
    <s v="High"/>
    <s v="Average"/>
  </r>
  <r>
    <x v="0"/>
    <x v="0"/>
    <x v="2692"/>
    <x v="1"/>
    <s v="Jacksonview"/>
    <x v="1"/>
    <n v="46.86"/>
    <n v="70"/>
    <x v="4"/>
    <x v="0"/>
    <s v="France"/>
    <n v="31"/>
    <s v="High"/>
    <s v="Average"/>
  </r>
  <r>
    <x v="5"/>
    <x v="1"/>
    <x v="2693"/>
    <x v="1"/>
    <s v="New Brittany"/>
    <x v="4"/>
    <n v="19.510000000000002"/>
    <n v="53"/>
    <x v="0"/>
    <x v="0"/>
    <s v="Israel, India, France"/>
    <n v="6"/>
    <s v="Medium"/>
    <s v="Average"/>
  </r>
  <r>
    <x v="1"/>
    <x v="7"/>
    <x v="2694"/>
    <x v="1"/>
    <s v="East Aaron"/>
    <x v="2"/>
    <n v="32.56"/>
    <n v="87"/>
    <x v="4"/>
    <x v="2"/>
    <s v="Germany, Japan, USA"/>
    <n v="14"/>
    <s v="Medium"/>
    <s v="Good"/>
  </r>
  <r>
    <x v="3"/>
    <x v="9"/>
    <x v="2695"/>
    <x v="0"/>
    <s v="North Robert"/>
    <x v="2"/>
    <n v="27.39"/>
    <n v="67"/>
    <x v="2"/>
    <x v="0"/>
    <s v="Israel"/>
    <n v="61"/>
    <s v="Medium"/>
    <s v="Average"/>
  </r>
  <r>
    <x v="8"/>
    <x v="25"/>
    <x v="2696"/>
    <x v="1"/>
    <s v="Jamesmouth"/>
    <x v="4"/>
    <n v="14.48"/>
    <n v="99"/>
    <x v="4"/>
    <x v="1"/>
    <s v="Germany, China"/>
    <n v="123"/>
    <s v="Low"/>
    <s v="Excellent"/>
  </r>
  <r>
    <x v="3"/>
    <x v="17"/>
    <x v="2697"/>
    <x v="1"/>
    <s v="South Danielburgh"/>
    <x v="2"/>
    <n v="34.020000000000003"/>
    <n v="53"/>
    <x v="2"/>
    <x v="1"/>
    <s v="France, China, Israel"/>
    <n v="75"/>
    <s v="Medium"/>
    <s v="Average"/>
  </r>
  <r>
    <x v="4"/>
    <x v="23"/>
    <x v="2698"/>
    <x v="1"/>
    <s v="Smithfurt"/>
    <x v="3"/>
    <n v="48.07"/>
    <n v="64"/>
    <x v="0"/>
    <x v="0"/>
    <s v="UAE"/>
    <n v="228"/>
    <s v="High"/>
    <s v="Average"/>
  </r>
  <r>
    <x v="3"/>
    <x v="2"/>
    <x v="2699"/>
    <x v="1"/>
    <s v="South Russell"/>
    <x v="2"/>
    <n v="31.38"/>
    <n v="77"/>
    <x v="0"/>
    <x v="0"/>
    <s v="Germany, USA, Japan"/>
    <n v="84"/>
    <s v="Medium"/>
    <s v="Good"/>
  </r>
  <r>
    <x v="1"/>
    <x v="24"/>
    <x v="2700"/>
    <x v="0"/>
    <s v="Ashleyberg"/>
    <x v="3"/>
    <n v="30.36"/>
    <n v="91"/>
    <x v="4"/>
    <x v="1"/>
    <s v="UAE, Russia"/>
    <n v="58"/>
    <s v="Medium"/>
    <s v="Excellent"/>
  </r>
  <r>
    <x v="1"/>
    <x v="2"/>
    <x v="2701"/>
    <x v="1"/>
    <s v="Garyview"/>
    <x v="3"/>
    <n v="31.64"/>
    <n v="51"/>
    <x v="3"/>
    <x v="1"/>
    <s v="France, Russia, UK"/>
    <n v="248"/>
    <s v="Medium"/>
    <s v="Average"/>
  </r>
  <r>
    <x v="4"/>
    <x v="0"/>
    <x v="2702"/>
    <x v="1"/>
    <s v="Sanchezmouth"/>
    <x v="0"/>
    <n v="26.36"/>
    <n v="83"/>
    <x v="1"/>
    <x v="0"/>
    <s v="India, France"/>
    <n v="187"/>
    <s v="Medium"/>
    <s v="Good"/>
  </r>
  <r>
    <x v="0"/>
    <x v="5"/>
    <x v="2703"/>
    <x v="1"/>
    <s v="Deanport"/>
    <x v="2"/>
    <n v="29.08"/>
    <n v="99"/>
    <x v="4"/>
    <x v="2"/>
    <s v="Japan"/>
    <n v="153"/>
    <s v="Medium"/>
    <s v="Excellent"/>
  </r>
  <r>
    <x v="8"/>
    <x v="7"/>
    <x v="2704"/>
    <x v="1"/>
    <s v="Scottberg"/>
    <x v="3"/>
    <n v="2.31"/>
    <n v="97"/>
    <x v="3"/>
    <x v="2"/>
    <s v="India, France, Russia"/>
    <n v="14"/>
    <s v="Low"/>
    <s v="Excellent"/>
  </r>
  <r>
    <x v="0"/>
    <x v="0"/>
    <x v="2705"/>
    <x v="1"/>
    <s v="North Kellyton"/>
    <x v="3"/>
    <n v="29.73"/>
    <n v="60"/>
    <x v="1"/>
    <x v="0"/>
    <s v="Israel, UAE"/>
    <n v="341"/>
    <s v="Medium"/>
    <s v="Average"/>
  </r>
  <r>
    <x v="2"/>
    <x v="12"/>
    <x v="2706"/>
    <x v="0"/>
    <s v="North Christopher"/>
    <x v="4"/>
    <n v="27.04"/>
    <n v="99"/>
    <x v="4"/>
    <x v="2"/>
    <s v="India"/>
    <n v="30"/>
    <s v="Medium"/>
    <s v="Excellent"/>
  </r>
  <r>
    <x v="4"/>
    <x v="10"/>
    <x v="2707"/>
    <x v="0"/>
    <s v="Carpenterside"/>
    <x v="4"/>
    <n v="44.59"/>
    <n v="79"/>
    <x v="4"/>
    <x v="0"/>
    <s v="Japan, Germany, Israel"/>
    <n v="329"/>
    <s v="High"/>
    <s v="Good"/>
  </r>
  <r>
    <x v="0"/>
    <x v="8"/>
    <x v="2708"/>
    <x v="0"/>
    <s v="Matthewburgh"/>
    <x v="1"/>
    <n v="7.91"/>
    <n v="68"/>
    <x v="4"/>
    <x v="1"/>
    <s v="UAE, China"/>
    <n v="172"/>
    <s v="Low"/>
    <s v="Average"/>
  </r>
  <r>
    <x v="4"/>
    <x v="24"/>
    <x v="2709"/>
    <x v="1"/>
    <s v="Wagnerton"/>
    <x v="3"/>
    <n v="0.7"/>
    <n v="93"/>
    <x v="2"/>
    <x v="0"/>
    <s v="Israel"/>
    <n v="108"/>
    <s v="Low"/>
    <s v="Excellent"/>
  </r>
  <r>
    <x v="8"/>
    <x v="24"/>
    <x v="2710"/>
    <x v="0"/>
    <s v="Frederickland"/>
    <x v="4"/>
    <n v="2.82"/>
    <n v="81"/>
    <x v="2"/>
    <x v="2"/>
    <s v="France, Japan, India"/>
    <n v="122"/>
    <s v="Low"/>
    <s v="Good"/>
  </r>
  <r>
    <x v="8"/>
    <x v="2"/>
    <x v="2711"/>
    <x v="1"/>
    <s v="Port Sarahville"/>
    <x v="3"/>
    <n v="32.14"/>
    <n v="73"/>
    <x v="1"/>
    <x v="1"/>
    <s v="India, Japan"/>
    <n v="165"/>
    <s v="Medium"/>
    <s v="Average"/>
  </r>
  <r>
    <x v="1"/>
    <x v="8"/>
    <x v="2712"/>
    <x v="1"/>
    <s v="South Anitafort"/>
    <x v="4"/>
    <n v="15.08"/>
    <n v="96"/>
    <x v="2"/>
    <x v="1"/>
    <s v="India, USA"/>
    <n v="227"/>
    <s v="Medium"/>
    <s v="Excellent"/>
  </r>
  <r>
    <x v="3"/>
    <x v="22"/>
    <x v="2713"/>
    <x v="1"/>
    <s v="New Racheltown"/>
    <x v="1"/>
    <n v="10.050000000000001"/>
    <n v="57"/>
    <x v="0"/>
    <x v="2"/>
    <s v="China, India"/>
    <n v="161"/>
    <s v="Low"/>
    <s v="Average"/>
  </r>
  <r>
    <x v="5"/>
    <x v="19"/>
    <x v="2714"/>
    <x v="0"/>
    <s v="Millerborough"/>
    <x v="0"/>
    <n v="45.44"/>
    <n v="50"/>
    <x v="2"/>
    <x v="2"/>
    <s v="China"/>
    <n v="25"/>
    <s v="High"/>
    <s v="Average"/>
  </r>
  <r>
    <x v="8"/>
    <x v="13"/>
    <x v="2715"/>
    <x v="0"/>
    <s v="Jamesstad"/>
    <x v="1"/>
    <n v="19.2"/>
    <n v="82"/>
    <x v="1"/>
    <x v="0"/>
    <s v="Japan, USA, UK"/>
    <n v="195"/>
    <s v="Medium"/>
    <s v="Good"/>
  </r>
  <r>
    <x v="3"/>
    <x v="8"/>
    <x v="2716"/>
    <x v="1"/>
    <s v="Luistown"/>
    <x v="1"/>
    <n v="2.2400000000000002"/>
    <n v="99"/>
    <x v="1"/>
    <x v="2"/>
    <s v="UAE"/>
    <n v="224"/>
    <s v="Low"/>
    <s v="Excellent"/>
  </r>
  <r>
    <x v="5"/>
    <x v="11"/>
    <x v="2717"/>
    <x v="0"/>
    <s v="Jamesborough"/>
    <x v="0"/>
    <n v="5.99"/>
    <n v="83"/>
    <x v="3"/>
    <x v="1"/>
    <s v="Russia, France"/>
    <n v="94"/>
    <s v="Low"/>
    <s v="Good"/>
  </r>
  <r>
    <x v="9"/>
    <x v="22"/>
    <x v="2718"/>
    <x v="1"/>
    <s v="South Lisashire"/>
    <x v="2"/>
    <n v="39.71"/>
    <n v="51"/>
    <x v="3"/>
    <x v="0"/>
    <s v="UK, USA, Japan"/>
    <n v="224"/>
    <s v="High"/>
    <s v="Average"/>
  </r>
  <r>
    <x v="3"/>
    <x v="24"/>
    <x v="2719"/>
    <x v="0"/>
    <s v="Lake Austinberg"/>
    <x v="0"/>
    <n v="23.24"/>
    <n v="81"/>
    <x v="2"/>
    <x v="2"/>
    <s v="India, Germany"/>
    <n v="78"/>
    <s v="Medium"/>
    <s v="Good"/>
  </r>
  <r>
    <x v="0"/>
    <x v="24"/>
    <x v="2720"/>
    <x v="0"/>
    <s v="Ballardport"/>
    <x v="0"/>
    <n v="20.88"/>
    <n v="70"/>
    <x v="1"/>
    <x v="0"/>
    <s v="Germany, India"/>
    <n v="313"/>
    <s v="Medium"/>
    <s v="Average"/>
  </r>
  <r>
    <x v="5"/>
    <x v="23"/>
    <x v="2721"/>
    <x v="1"/>
    <s v="Amymouth"/>
    <x v="0"/>
    <n v="37.76"/>
    <n v="95"/>
    <x v="4"/>
    <x v="0"/>
    <s v="UK"/>
    <n v="66"/>
    <s v="High"/>
    <s v="Excellent"/>
  </r>
  <r>
    <x v="3"/>
    <x v="3"/>
    <x v="2722"/>
    <x v="1"/>
    <s v="Masontown"/>
    <x v="0"/>
    <n v="2.88"/>
    <n v="95"/>
    <x v="4"/>
    <x v="0"/>
    <s v="China"/>
    <n v="241"/>
    <s v="Low"/>
    <s v="Excellent"/>
  </r>
  <r>
    <x v="5"/>
    <x v="1"/>
    <x v="2723"/>
    <x v="0"/>
    <s v="Port Stephenton"/>
    <x v="4"/>
    <n v="3.12"/>
    <n v="99"/>
    <x v="2"/>
    <x v="2"/>
    <s v="UAE, China, USA"/>
    <n v="90"/>
    <s v="Low"/>
    <s v="Excellent"/>
  </r>
  <r>
    <x v="9"/>
    <x v="13"/>
    <x v="2724"/>
    <x v="0"/>
    <s v="Lake Stephanieland"/>
    <x v="3"/>
    <n v="29.4"/>
    <n v="57"/>
    <x v="3"/>
    <x v="0"/>
    <s v="UK"/>
    <n v="89"/>
    <s v="Medium"/>
    <s v="Average"/>
  </r>
  <r>
    <x v="1"/>
    <x v="6"/>
    <x v="2725"/>
    <x v="1"/>
    <s v="Michaelshire"/>
    <x v="3"/>
    <n v="7.56"/>
    <n v="69"/>
    <x v="2"/>
    <x v="0"/>
    <s v="Japan, UAE"/>
    <n v="301"/>
    <s v="Low"/>
    <s v="Average"/>
  </r>
  <r>
    <x v="9"/>
    <x v="3"/>
    <x v="2726"/>
    <x v="1"/>
    <s v="Nicolemouth"/>
    <x v="1"/>
    <n v="43.28"/>
    <n v="69"/>
    <x v="3"/>
    <x v="2"/>
    <s v="Israel"/>
    <n v="198"/>
    <s v="High"/>
    <s v="Average"/>
  </r>
  <r>
    <x v="8"/>
    <x v="13"/>
    <x v="2727"/>
    <x v="0"/>
    <s v="Holdenbury"/>
    <x v="0"/>
    <n v="23.76"/>
    <n v="59"/>
    <x v="1"/>
    <x v="0"/>
    <s v="Russia, UAE, Japan"/>
    <n v="244"/>
    <s v="Medium"/>
    <s v="Average"/>
  </r>
  <r>
    <x v="6"/>
    <x v="4"/>
    <x v="2728"/>
    <x v="0"/>
    <s v="Danaton"/>
    <x v="3"/>
    <n v="3.2"/>
    <n v="95"/>
    <x v="4"/>
    <x v="0"/>
    <s v="France, USA, UK"/>
    <n v="190"/>
    <s v="Low"/>
    <s v="Excellent"/>
  </r>
  <r>
    <x v="2"/>
    <x v="2"/>
    <x v="2729"/>
    <x v="1"/>
    <s v="West Ann"/>
    <x v="2"/>
    <n v="27.24"/>
    <n v="60"/>
    <x v="3"/>
    <x v="1"/>
    <s v="UAE, Israel, Japan"/>
    <n v="151"/>
    <s v="Medium"/>
    <s v="Average"/>
  </r>
  <r>
    <x v="0"/>
    <x v="14"/>
    <x v="2730"/>
    <x v="0"/>
    <s v="West Zachary"/>
    <x v="4"/>
    <n v="22.01"/>
    <n v="87"/>
    <x v="3"/>
    <x v="2"/>
    <s v="Russia"/>
    <n v="364"/>
    <s v="Medium"/>
    <s v="Good"/>
  </r>
  <r>
    <x v="7"/>
    <x v="15"/>
    <x v="2731"/>
    <x v="1"/>
    <s v="Port Steven"/>
    <x v="3"/>
    <n v="46.77"/>
    <n v="65"/>
    <x v="1"/>
    <x v="1"/>
    <s v="Russia, China, Israel"/>
    <n v="101"/>
    <s v="High"/>
    <s v="Average"/>
  </r>
  <r>
    <x v="3"/>
    <x v="7"/>
    <x v="2732"/>
    <x v="1"/>
    <s v="Taylorhaven"/>
    <x v="2"/>
    <n v="7.8"/>
    <n v="75"/>
    <x v="3"/>
    <x v="1"/>
    <s v="UK, India"/>
    <n v="278"/>
    <s v="Low"/>
    <s v="Good"/>
  </r>
  <r>
    <x v="0"/>
    <x v="13"/>
    <x v="2733"/>
    <x v="0"/>
    <s v="Port Jeremy"/>
    <x v="3"/>
    <n v="18.86"/>
    <n v="90"/>
    <x v="1"/>
    <x v="1"/>
    <s v="Japan, UK"/>
    <n v="83"/>
    <s v="Medium"/>
    <s v="Excellent"/>
  </r>
  <r>
    <x v="1"/>
    <x v="15"/>
    <x v="2734"/>
    <x v="1"/>
    <s v="Thompsonstad"/>
    <x v="2"/>
    <n v="24.31"/>
    <n v="52"/>
    <x v="1"/>
    <x v="0"/>
    <s v="Russia, India"/>
    <n v="238"/>
    <s v="Medium"/>
    <s v="Average"/>
  </r>
  <r>
    <x v="7"/>
    <x v="17"/>
    <x v="2735"/>
    <x v="1"/>
    <s v="Jennifermouth"/>
    <x v="2"/>
    <n v="3.78"/>
    <n v="76"/>
    <x v="3"/>
    <x v="1"/>
    <s v="Japan, USA"/>
    <n v="164"/>
    <s v="Low"/>
    <s v="Good"/>
  </r>
  <r>
    <x v="6"/>
    <x v="7"/>
    <x v="2736"/>
    <x v="1"/>
    <s v="Lake Lindaview"/>
    <x v="0"/>
    <n v="1.24"/>
    <n v="83"/>
    <x v="4"/>
    <x v="2"/>
    <s v="UK, Israel"/>
    <n v="149"/>
    <s v="Low"/>
    <s v="Good"/>
  </r>
  <r>
    <x v="1"/>
    <x v="14"/>
    <x v="2737"/>
    <x v="1"/>
    <s v="Troystad"/>
    <x v="3"/>
    <n v="6.89"/>
    <n v="61"/>
    <x v="3"/>
    <x v="1"/>
    <s v="Germany"/>
    <n v="132"/>
    <s v="Low"/>
    <s v="Average"/>
  </r>
  <r>
    <x v="5"/>
    <x v="10"/>
    <x v="2738"/>
    <x v="0"/>
    <s v="North Ashleytown"/>
    <x v="1"/>
    <n v="44.55"/>
    <n v="93"/>
    <x v="4"/>
    <x v="2"/>
    <s v="UK"/>
    <n v="14"/>
    <s v="High"/>
    <s v="Excellent"/>
  </r>
  <r>
    <x v="6"/>
    <x v="2"/>
    <x v="2739"/>
    <x v="1"/>
    <s v="Lake Jonathanstad"/>
    <x v="2"/>
    <n v="48.98"/>
    <n v="72"/>
    <x v="3"/>
    <x v="2"/>
    <s v="USA"/>
    <n v="12"/>
    <s v="High"/>
    <s v="Average"/>
  </r>
  <r>
    <x v="4"/>
    <x v="20"/>
    <x v="2740"/>
    <x v="1"/>
    <s v="Lukeview"/>
    <x v="3"/>
    <n v="36.11"/>
    <n v="70"/>
    <x v="0"/>
    <x v="2"/>
    <s v="China, UK, India"/>
    <n v="108"/>
    <s v="High"/>
    <s v="Average"/>
  </r>
  <r>
    <x v="5"/>
    <x v="17"/>
    <x v="2741"/>
    <x v="1"/>
    <s v="Josephburgh"/>
    <x v="3"/>
    <n v="42.1"/>
    <n v="74"/>
    <x v="4"/>
    <x v="0"/>
    <s v="Japan"/>
    <n v="200"/>
    <s v="High"/>
    <s v="Average"/>
  </r>
  <r>
    <x v="5"/>
    <x v="11"/>
    <x v="2742"/>
    <x v="0"/>
    <s v="Freemantown"/>
    <x v="4"/>
    <n v="11.14"/>
    <n v="100"/>
    <x v="1"/>
    <x v="1"/>
    <s v="Japan, UK, India"/>
    <n v="192"/>
    <s v="Low"/>
    <s v="Excellent"/>
  </r>
  <r>
    <x v="7"/>
    <x v="3"/>
    <x v="2743"/>
    <x v="1"/>
    <s v="North Michael"/>
    <x v="3"/>
    <n v="40.5"/>
    <n v="51"/>
    <x v="2"/>
    <x v="2"/>
    <s v="Israel, France"/>
    <n v="274"/>
    <s v="High"/>
    <s v="Average"/>
  </r>
  <r>
    <x v="7"/>
    <x v="25"/>
    <x v="2744"/>
    <x v="0"/>
    <s v="North Melissahaven"/>
    <x v="0"/>
    <n v="11.44"/>
    <n v="62"/>
    <x v="3"/>
    <x v="0"/>
    <s v="Russia, UK, India"/>
    <n v="273"/>
    <s v="Low"/>
    <s v="Average"/>
  </r>
  <r>
    <x v="5"/>
    <x v="14"/>
    <x v="2745"/>
    <x v="0"/>
    <s v="Carlaport"/>
    <x v="3"/>
    <n v="23.41"/>
    <n v="88"/>
    <x v="0"/>
    <x v="0"/>
    <s v="Russia"/>
    <n v="65"/>
    <s v="Medium"/>
    <s v="Good"/>
  </r>
  <r>
    <x v="5"/>
    <x v="14"/>
    <x v="2746"/>
    <x v="1"/>
    <s v="Brentland"/>
    <x v="4"/>
    <n v="1.79"/>
    <n v="84"/>
    <x v="1"/>
    <x v="2"/>
    <s v="UK"/>
    <n v="188"/>
    <s v="Low"/>
    <s v="Good"/>
  </r>
  <r>
    <x v="2"/>
    <x v="23"/>
    <x v="2747"/>
    <x v="0"/>
    <s v="North Becky"/>
    <x v="4"/>
    <n v="49.87"/>
    <n v="61"/>
    <x v="4"/>
    <x v="2"/>
    <s v="Germany"/>
    <n v="22"/>
    <s v="High"/>
    <s v="Average"/>
  </r>
  <r>
    <x v="3"/>
    <x v="2"/>
    <x v="2748"/>
    <x v="0"/>
    <s v="New Melissa"/>
    <x v="3"/>
    <n v="32.369999999999997"/>
    <n v="82"/>
    <x v="2"/>
    <x v="1"/>
    <s v="India, Germany, Japan"/>
    <n v="231"/>
    <s v="Medium"/>
    <s v="Good"/>
  </r>
  <r>
    <x v="5"/>
    <x v="25"/>
    <x v="2749"/>
    <x v="1"/>
    <s v="Marychester"/>
    <x v="0"/>
    <n v="17.989999999999998"/>
    <n v="59"/>
    <x v="1"/>
    <x v="2"/>
    <s v="India, Russia, France"/>
    <n v="338"/>
    <s v="Medium"/>
    <s v="Average"/>
  </r>
  <r>
    <x v="0"/>
    <x v="11"/>
    <x v="2750"/>
    <x v="1"/>
    <s v="Port Johnchester"/>
    <x v="4"/>
    <n v="22.58"/>
    <n v="84"/>
    <x v="2"/>
    <x v="1"/>
    <s v="Russia, UK"/>
    <n v="234"/>
    <s v="Medium"/>
    <s v="Good"/>
  </r>
  <r>
    <x v="5"/>
    <x v="20"/>
    <x v="2751"/>
    <x v="0"/>
    <s v="Matthewborough"/>
    <x v="3"/>
    <n v="30.19"/>
    <n v="68"/>
    <x v="3"/>
    <x v="0"/>
    <s v="UAE, Israel, Russia"/>
    <n v="234"/>
    <s v="Medium"/>
    <s v="Average"/>
  </r>
  <r>
    <x v="5"/>
    <x v="8"/>
    <x v="2752"/>
    <x v="0"/>
    <s v="New Kyle"/>
    <x v="0"/>
    <n v="23.22"/>
    <n v="52"/>
    <x v="4"/>
    <x v="2"/>
    <s v="China, Japan, UK"/>
    <n v="356"/>
    <s v="Medium"/>
    <s v="Average"/>
  </r>
  <r>
    <x v="5"/>
    <x v="14"/>
    <x v="2753"/>
    <x v="0"/>
    <s v="Orozcoport"/>
    <x v="2"/>
    <n v="21.52"/>
    <n v="83"/>
    <x v="1"/>
    <x v="1"/>
    <s v="UK, Germany, Japan"/>
    <n v="109"/>
    <s v="Medium"/>
    <s v="Good"/>
  </r>
  <r>
    <x v="7"/>
    <x v="17"/>
    <x v="2754"/>
    <x v="0"/>
    <s v="Julianstad"/>
    <x v="2"/>
    <n v="4.3499999999999996"/>
    <n v="66"/>
    <x v="0"/>
    <x v="1"/>
    <s v="France"/>
    <n v="254"/>
    <s v="Low"/>
    <s v="Average"/>
  </r>
  <r>
    <x v="0"/>
    <x v="22"/>
    <x v="2755"/>
    <x v="1"/>
    <s v="South Sonya"/>
    <x v="0"/>
    <n v="36.89"/>
    <n v="100"/>
    <x v="1"/>
    <x v="2"/>
    <s v="China"/>
    <n v="66"/>
    <s v="High"/>
    <s v="Excellent"/>
  </r>
  <r>
    <x v="7"/>
    <x v="0"/>
    <x v="2756"/>
    <x v="0"/>
    <s v="New Jon"/>
    <x v="1"/>
    <n v="10.56"/>
    <n v="94"/>
    <x v="3"/>
    <x v="2"/>
    <s v="Japan, France, Israel"/>
    <n v="21"/>
    <s v="Low"/>
    <s v="Excellent"/>
  </r>
  <r>
    <x v="9"/>
    <x v="24"/>
    <x v="2757"/>
    <x v="1"/>
    <s v="Port Cory"/>
    <x v="1"/>
    <n v="43.9"/>
    <n v="52"/>
    <x v="4"/>
    <x v="1"/>
    <s v="UK"/>
    <n v="100"/>
    <s v="High"/>
    <s v="Average"/>
  </r>
  <r>
    <x v="6"/>
    <x v="12"/>
    <x v="2758"/>
    <x v="0"/>
    <s v="Aaronmouth"/>
    <x v="3"/>
    <n v="14.77"/>
    <n v="52"/>
    <x v="4"/>
    <x v="2"/>
    <s v="Russia"/>
    <n v="245"/>
    <s v="Low"/>
    <s v="Average"/>
  </r>
  <r>
    <x v="5"/>
    <x v="12"/>
    <x v="2759"/>
    <x v="0"/>
    <s v="Lawsonview"/>
    <x v="0"/>
    <n v="33.380000000000003"/>
    <n v="70"/>
    <x v="4"/>
    <x v="0"/>
    <s v="China"/>
    <n v="113"/>
    <s v="Medium"/>
    <s v="Average"/>
  </r>
  <r>
    <x v="3"/>
    <x v="5"/>
    <x v="2760"/>
    <x v="1"/>
    <s v="Markland"/>
    <x v="3"/>
    <n v="49.42"/>
    <n v="97"/>
    <x v="3"/>
    <x v="0"/>
    <s v="France, China, USA"/>
    <n v="67"/>
    <s v="High"/>
    <s v="Excellent"/>
  </r>
  <r>
    <x v="7"/>
    <x v="1"/>
    <x v="2761"/>
    <x v="1"/>
    <s v="Sandershaven"/>
    <x v="1"/>
    <n v="15.57"/>
    <n v="78"/>
    <x v="1"/>
    <x v="2"/>
    <s v="Japan, France"/>
    <n v="151"/>
    <s v="Medium"/>
    <s v="Good"/>
  </r>
  <r>
    <x v="1"/>
    <x v="10"/>
    <x v="2762"/>
    <x v="0"/>
    <s v="West Helenland"/>
    <x v="1"/>
    <n v="20.48"/>
    <n v="91"/>
    <x v="2"/>
    <x v="2"/>
    <s v="UAE, India"/>
    <n v="191"/>
    <s v="Medium"/>
    <s v="Excellent"/>
  </r>
  <r>
    <x v="2"/>
    <x v="22"/>
    <x v="2763"/>
    <x v="1"/>
    <s v="Lake Nicholasburgh"/>
    <x v="4"/>
    <n v="26.54"/>
    <n v="94"/>
    <x v="4"/>
    <x v="2"/>
    <s v="Russia, China"/>
    <n v="66"/>
    <s v="Medium"/>
    <s v="Excellent"/>
  </r>
  <r>
    <x v="5"/>
    <x v="25"/>
    <x v="2764"/>
    <x v="0"/>
    <s v="Kevinbury"/>
    <x v="3"/>
    <n v="39.56"/>
    <n v="70"/>
    <x v="3"/>
    <x v="1"/>
    <s v="USA, UK"/>
    <n v="93"/>
    <s v="High"/>
    <s v="Average"/>
  </r>
  <r>
    <x v="4"/>
    <x v="18"/>
    <x v="2765"/>
    <x v="0"/>
    <s v="Millerview"/>
    <x v="0"/>
    <n v="12.47"/>
    <n v="99"/>
    <x v="4"/>
    <x v="1"/>
    <s v="China, Japan, UAE"/>
    <n v="355"/>
    <s v="Low"/>
    <s v="Excellent"/>
  </r>
  <r>
    <x v="0"/>
    <x v="19"/>
    <x v="2766"/>
    <x v="1"/>
    <s v="North Angela"/>
    <x v="3"/>
    <n v="29.9"/>
    <n v="65"/>
    <x v="3"/>
    <x v="0"/>
    <s v="China, UAE, Russia"/>
    <n v="142"/>
    <s v="Medium"/>
    <s v="Average"/>
  </r>
  <r>
    <x v="1"/>
    <x v="4"/>
    <x v="2767"/>
    <x v="1"/>
    <s v="North Shawn"/>
    <x v="2"/>
    <n v="1.5"/>
    <n v="57"/>
    <x v="3"/>
    <x v="2"/>
    <s v="UK, UAE, India"/>
    <n v="114"/>
    <s v="Low"/>
    <s v="Average"/>
  </r>
  <r>
    <x v="6"/>
    <x v="3"/>
    <x v="2768"/>
    <x v="1"/>
    <s v="West Vanessa"/>
    <x v="1"/>
    <n v="1.52"/>
    <n v="99"/>
    <x v="4"/>
    <x v="0"/>
    <s v="Germany, USA"/>
    <n v="245"/>
    <s v="Low"/>
    <s v="Excellent"/>
  </r>
  <r>
    <x v="7"/>
    <x v="23"/>
    <x v="2769"/>
    <x v="0"/>
    <s v="Martinhaven"/>
    <x v="4"/>
    <n v="34.81"/>
    <n v="97"/>
    <x v="1"/>
    <x v="2"/>
    <s v="Japan, UAE, UK"/>
    <n v="39"/>
    <s v="Medium"/>
    <s v="Excellent"/>
  </r>
  <r>
    <x v="9"/>
    <x v="18"/>
    <x v="2770"/>
    <x v="0"/>
    <s v="East Stevenville"/>
    <x v="0"/>
    <n v="17.809999999999999"/>
    <n v="60"/>
    <x v="1"/>
    <x v="2"/>
    <s v="Japan, India"/>
    <n v="8"/>
    <s v="Medium"/>
    <s v="Average"/>
  </r>
  <r>
    <x v="9"/>
    <x v="13"/>
    <x v="2771"/>
    <x v="1"/>
    <s v="Jimfort"/>
    <x v="3"/>
    <n v="15.99"/>
    <n v="66"/>
    <x v="4"/>
    <x v="0"/>
    <s v="Japan, China"/>
    <n v="296"/>
    <s v="Medium"/>
    <s v="Average"/>
  </r>
  <r>
    <x v="0"/>
    <x v="25"/>
    <x v="2772"/>
    <x v="1"/>
    <s v="North Terrance"/>
    <x v="0"/>
    <n v="20.75"/>
    <n v="99"/>
    <x v="1"/>
    <x v="1"/>
    <s v="UK"/>
    <n v="155"/>
    <s v="Medium"/>
    <s v="Excellent"/>
  </r>
  <r>
    <x v="1"/>
    <x v="14"/>
    <x v="2773"/>
    <x v="0"/>
    <s v="West Tiffany"/>
    <x v="2"/>
    <n v="30.41"/>
    <n v="96"/>
    <x v="3"/>
    <x v="2"/>
    <s v="Germany"/>
    <n v="50"/>
    <s v="Medium"/>
    <s v="Excellent"/>
  </r>
  <r>
    <x v="2"/>
    <x v="11"/>
    <x v="2774"/>
    <x v="1"/>
    <s v="Port Deborah"/>
    <x v="2"/>
    <n v="19.37"/>
    <n v="94"/>
    <x v="4"/>
    <x v="1"/>
    <s v="Germany"/>
    <n v="341"/>
    <s v="Medium"/>
    <s v="Excellent"/>
  </r>
  <r>
    <x v="2"/>
    <x v="2"/>
    <x v="2775"/>
    <x v="0"/>
    <s v="Port Sarahfort"/>
    <x v="3"/>
    <n v="49.61"/>
    <n v="84"/>
    <x v="3"/>
    <x v="1"/>
    <s v="Russia"/>
    <n v="345"/>
    <s v="High"/>
    <s v="Good"/>
  </r>
  <r>
    <x v="0"/>
    <x v="6"/>
    <x v="2776"/>
    <x v="0"/>
    <s v="Davidstad"/>
    <x v="3"/>
    <n v="43"/>
    <n v="55"/>
    <x v="4"/>
    <x v="1"/>
    <s v="Israel, France"/>
    <n v="111"/>
    <s v="High"/>
    <s v="Average"/>
  </r>
  <r>
    <x v="0"/>
    <x v="11"/>
    <x v="2777"/>
    <x v="1"/>
    <s v="Coleshire"/>
    <x v="3"/>
    <n v="0.56000000000000005"/>
    <n v="75"/>
    <x v="2"/>
    <x v="2"/>
    <s v="India, Japan"/>
    <n v="332"/>
    <s v="Low"/>
    <s v="Good"/>
  </r>
  <r>
    <x v="9"/>
    <x v="24"/>
    <x v="2778"/>
    <x v="1"/>
    <s v="Wallport"/>
    <x v="0"/>
    <n v="14.3"/>
    <n v="64"/>
    <x v="2"/>
    <x v="1"/>
    <s v="China, France"/>
    <n v="307"/>
    <s v="Low"/>
    <s v="Average"/>
  </r>
  <r>
    <x v="0"/>
    <x v="5"/>
    <x v="2779"/>
    <x v="0"/>
    <s v="Wilsonland"/>
    <x v="4"/>
    <n v="16.47"/>
    <n v="85"/>
    <x v="1"/>
    <x v="2"/>
    <s v="Russia, India, Japan"/>
    <n v="13"/>
    <s v="Medium"/>
    <s v="Good"/>
  </r>
  <r>
    <x v="4"/>
    <x v="3"/>
    <x v="2780"/>
    <x v="0"/>
    <s v="Joannaland"/>
    <x v="1"/>
    <n v="46.57"/>
    <n v="76"/>
    <x v="1"/>
    <x v="1"/>
    <s v="Russia, UK, Japan"/>
    <n v="312"/>
    <s v="High"/>
    <s v="Good"/>
  </r>
  <r>
    <x v="3"/>
    <x v="12"/>
    <x v="2781"/>
    <x v="0"/>
    <s v="West Frank"/>
    <x v="4"/>
    <n v="32.65"/>
    <n v="81"/>
    <x v="2"/>
    <x v="1"/>
    <s v="UAE, Japan"/>
    <n v="84"/>
    <s v="Medium"/>
    <s v="Good"/>
  </r>
  <r>
    <x v="8"/>
    <x v="5"/>
    <x v="2782"/>
    <x v="0"/>
    <s v="Lake Autumn"/>
    <x v="1"/>
    <n v="6.3"/>
    <n v="81"/>
    <x v="4"/>
    <x v="2"/>
    <s v="USA, Germany"/>
    <n v="40"/>
    <s v="Low"/>
    <s v="Good"/>
  </r>
  <r>
    <x v="4"/>
    <x v="4"/>
    <x v="2783"/>
    <x v="1"/>
    <s v="New Michaelhaven"/>
    <x v="2"/>
    <n v="17.239999999999998"/>
    <n v="77"/>
    <x v="3"/>
    <x v="2"/>
    <s v="Israel, USA"/>
    <n v="184"/>
    <s v="Medium"/>
    <s v="Good"/>
  </r>
  <r>
    <x v="2"/>
    <x v="10"/>
    <x v="2784"/>
    <x v="0"/>
    <s v="North Christopherchester"/>
    <x v="4"/>
    <n v="27.81"/>
    <n v="62"/>
    <x v="3"/>
    <x v="1"/>
    <s v="UAE, USA, France"/>
    <n v="47"/>
    <s v="Medium"/>
    <s v="Average"/>
  </r>
  <r>
    <x v="9"/>
    <x v="4"/>
    <x v="2785"/>
    <x v="1"/>
    <s v="West Mark"/>
    <x v="3"/>
    <n v="22.1"/>
    <n v="99"/>
    <x v="3"/>
    <x v="1"/>
    <s v="India"/>
    <n v="32"/>
    <s v="Medium"/>
    <s v="Excellent"/>
  </r>
  <r>
    <x v="9"/>
    <x v="24"/>
    <x v="2786"/>
    <x v="1"/>
    <s v="West Amyton"/>
    <x v="3"/>
    <n v="42.91"/>
    <n v="90"/>
    <x v="2"/>
    <x v="2"/>
    <s v="Russia"/>
    <n v="31"/>
    <s v="High"/>
    <s v="Excellent"/>
  </r>
  <r>
    <x v="3"/>
    <x v="2"/>
    <x v="2787"/>
    <x v="0"/>
    <s v="Scottton"/>
    <x v="0"/>
    <n v="17.62"/>
    <n v="100"/>
    <x v="3"/>
    <x v="2"/>
    <s v="China"/>
    <n v="128"/>
    <s v="Medium"/>
    <s v="Excellent"/>
  </r>
  <r>
    <x v="6"/>
    <x v="3"/>
    <x v="2788"/>
    <x v="0"/>
    <s v="Barbarafurt"/>
    <x v="2"/>
    <n v="35.479999999999997"/>
    <n v="74"/>
    <x v="2"/>
    <x v="2"/>
    <s v="UK, Israel, Russia"/>
    <n v="148"/>
    <s v="High"/>
    <s v="Average"/>
  </r>
  <r>
    <x v="7"/>
    <x v="22"/>
    <x v="2789"/>
    <x v="0"/>
    <s v="Mooreport"/>
    <x v="3"/>
    <n v="45.48"/>
    <n v="56"/>
    <x v="3"/>
    <x v="2"/>
    <s v="Israel, Russia"/>
    <n v="40"/>
    <s v="High"/>
    <s v="Average"/>
  </r>
  <r>
    <x v="4"/>
    <x v="0"/>
    <x v="2790"/>
    <x v="0"/>
    <s v="Port Troyville"/>
    <x v="2"/>
    <n v="47.33"/>
    <n v="63"/>
    <x v="3"/>
    <x v="2"/>
    <s v="Germany"/>
    <n v="42"/>
    <s v="High"/>
    <s v="Average"/>
  </r>
  <r>
    <x v="7"/>
    <x v="24"/>
    <x v="2791"/>
    <x v="1"/>
    <s v="New Lauren"/>
    <x v="2"/>
    <n v="3.02"/>
    <n v="92"/>
    <x v="2"/>
    <x v="0"/>
    <s v="Japan"/>
    <n v="98"/>
    <s v="Low"/>
    <s v="Excellent"/>
  </r>
  <r>
    <x v="0"/>
    <x v="7"/>
    <x v="2792"/>
    <x v="0"/>
    <s v="Meyerfurt"/>
    <x v="1"/>
    <n v="44.73"/>
    <n v="80"/>
    <x v="0"/>
    <x v="1"/>
    <s v="USA, Germany, China"/>
    <n v="24"/>
    <s v="High"/>
    <s v="Good"/>
  </r>
  <r>
    <x v="9"/>
    <x v="18"/>
    <x v="2793"/>
    <x v="1"/>
    <s v="West Justin"/>
    <x v="3"/>
    <n v="5.62"/>
    <n v="57"/>
    <x v="2"/>
    <x v="2"/>
    <s v="Germany, China, Russia"/>
    <n v="139"/>
    <s v="Low"/>
    <s v="Average"/>
  </r>
  <r>
    <x v="3"/>
    <x v="25"/>
    <x v="2794"/>
    <x v="0"/>
    <s v="Johnton"/>
    <x v="4"/>
    <n v="17.420000000000002"/>
    <n v="86"/>
    <x v="3"/>
    <x v="2"/>
    <s v="India"/>
    <n v="91"/>
    <s v="Medium"/>
    <s v="Good"/>
  </r>
  <r>
    <x v="7"/>
    <x v="14"/>
    <x v="2795"/>
    <x v="0"/>
    <s v="Petersonfort"/>
    <x v="1"/>
    <n v="29.38"/>
    <n v="95"/>
    <x v="2"/>
    <x v="2"/>
    <s v="India"/>
    <n v="27"/>
    <s v="Medium"/>
    <s v="Excellent"/>
  </r>
  <r>
    <x v="1"/>
    <x v="13"/>
    <x v="2796"/>
    <x v="1"/>
    <s v="Brentville"/>
    <x v="3"/>
    <n v="33.03"/>
    <n v="60"/>
    <x v="3"/>
    <x v="2"/>
    <s v="Japan"/>
    <n v="157"/>
    <s v="Medium"/>
    <s v="Average"/>
  </r>
  <r>
    <x v="3"/>
    <x v="19"/>
    <x v="2797"/>
    <x v="0"/>
    <s v="East Jonathanberg"/>
    <x v="3"/>
    <n v="34.11"/>
    <n v="53"/>
    <x v="4"/>
    <x v="1"/>
    <s v="UAE"/>
    <n v="342"/>
    <s v="Medium"/>
    <s v="Average"/>
  </r>
  <r>
    <x v="2"/>
    <x v="13"/>
    <x v="2798"/>
    <x v="0"/>
    <s v="Jefferyland"/>
    <x v="0"/>
    <n v="6.74"/>
    <n v="92"/>
    <x v="1"/>
    <x v="1"/>
    <s v="Russia"/>
    <n v="361"/>
    <s v="Low"/>
    <s v="Excellent"/>
  </r>
  <r>
    <x v="4"/>
    <x v="23"/>
    <x v="2799"/>
    <x v="0"/>
    <s v="Nguyenfurt"/>
    <x v="4"/>
    <n v="14.42"/>
    <n v="63"/>
    <x v="1"/>
    <x v="2"/>
    <s v="Japan, UK, Russia"/>
    <n v="79"/>
    <s v="Low"/>
    <s v="Average"/>
  </r>
  <r>
    <x v="4"/>
    <x v="0"/>
    <x v="2800"/>
    <x v="0"/>
    <s v="Veronicafort"/>
    <x v="1"/>
    <n v="49.83"/>
    <n v="67"/>
    <x v="1"/>
    <x v="0"/>
    <s v="India"/>
    <n v="137"/>
    <s v="High"/>
    <s v="Average"/>
  </r>
  <r>
    <x v="8"/>
    <x v="14"/>
    <x v="2801"/>
    <x v="1"/>
    <s v="South David"/>
    <x v="4"/>
    <n v="10.34"/>
    <n v="85"/>
    <x v="3"/>
    <x v="0"/>
    <s v="India"/>
    <n v="101"/>
    <s v="Low"/>
    <s v="Good"/>
  </r>
  <r>
    <x v="9"/>
    <x v="15"/>
    <x v="2802"/>
    <x v="1"/>
    <s v="South Brittneymouth"/>
    <x v="3"/>
    <n v="17.05"/>
    <n v="54"/>
    <x v="0"/>
    <x v="1"/>
    <s v="Russia"/>
    <n v="39"/>
    <s v="Medium"/>
    <s v="Average"/>
  </r>
  <r>
    <x v="8"/>
    <x v="10"/>
    <x v="2803"/>
    <x v="1"/>
    <s v="Port Toddmouth"/>
    <x v="0"/>
    <n v="9.64"/>
    <n v="55"/>
    <x v="0"/>
    <x v="0"/>
    <s v="France, Japan"/>
    <n v="217"/>
    <s v="Low"/>
    <s v="Average"/>
  </r>
  <r>
    <x v="3"/>
    <x v="18"/>
    <x v="2804"/>
    <x v="1"/>
    <s v="Davisville"/>
    <x v="4"/>
    <n v="48.56"/>
    <n v="64"/>
    <x v="2"/>
    <x v="0"/>
    <s v="Israel, USA"/>
    <n v="258"/>
    <s v="High"/>
    <s v="Average"/>
  </r>
  <r>
    <x v="3"/>
    <x v="11"/>
    <x v="2805"/>
    <x v="1"/>
    <s v="Carlshire"/>
    <x v="3"/>
    <n v="7.59"/>
    <n v="77"/>
    <x v="4"/>
    <x v="1"/>
    <s v="France, Germany"/>
    <n v="170"/>
    <s v="Low"/>
    <s v="Good"/>
  </r>
  <r>
    <x v="7"/>
    <x v="17"/>
    <x v="2806"/>
    <x v="1"/>
    <s v="North Patriciahaven"/>
    <x v="3"/>
    <n v="35.22"/>
    <n v="61"/>
    <x v="2"/>
    <x v="1"/>
    <s v="UAE, Germany, USA"/>
    <n v="117"/>
    <s v="High"/>
    <s v="Average"/>
  </r>
  <r>
    <x v="9"/>
    <x v="24"/>
    <x v="2807"/>
    <x v="1"/>
    <s v="East Ashley"/>
    <x v="2"/>
    <n v="36.869999999999997"/>
    <n v="91"/>
    <x v="2"/>
    <x v="0"/>
    <s v="China, India, UK"/>
    <n v="211"/>
    <s v="High"/>
    <s v="Excellent"/>
  </r>
  <r>
    <x v="9"/>
    <x v="23"/>
    <x v="2808"/>
    <x v="1"/>
    <s v="West Gloria"/>
    <x v="4"/>
    <n v="18.37"/>
    <n v="84"/>
    <x v="1"/>
    <x v="2"/>
    <s v="India, Germany, France"/>
    <n v="223"/>
    <s v="Medium"/>
    <s v="Good"/>
  </r>
  <r>
    <x v="2"/>
    <x v="13"/>
    <x v="2809"/>
    <x v="0"/>
    <s v="Paulland"/>
    <x v="1"/>
    <n v="43.29"/>
    <n v="93"/>
    <x v="3"/>
    <x v="1"/>
    <s v="UK, India, France"/>
    <n v="195"/>
    <s v="High"/>
    <s v="Excellent"/>
  </r>
  <r>
    <x v="9"/>
    <x v="22"/>
    <x v="2810"/>
    <x v="0"/>
    <s v="Amyburgh"/>
    <x v="1"/>
    <n v="41.92"/>
    <n v="78"/>
    <x v="1"/>
    <x v="0"/>
    <s v="UAE, USA"/>
    <n v="1"/>
    <s v="High"/>
    <s v="Good"/>
  </r>
  <r>
    <x v="2"/>
    <x v="13"/>
    <x v="2811"/>
    <x v="1"/>
    <s v="East Ericbury"/>
    <x v="2"/>
    <n v="6.68"/>
    <n v="53"/>
    <x v="0"/>
    <x v="2"/>
    <s v="Russia, USA"/>
    <n v="39"/>
    <s v="Low"/>
    <s v="Average"/>
  </r>
  <r>
    <x v="5"/>
    <x v="14"/>
    <x v="2812"/>
    <x v="0"/>
    <s v="South Amandahaven"/>
    <x v="1"/>
    <n v="20.79"/>
    <n v="95"/>
    <x v="3"/>
    <x v="1"/>
    <s v="Japan, UAE"/>
    <n v="118"/>
    <s v="Medium"/>
    <s v="Excellent"/>
  </r>
  <r>
    <x v="5"/>
    <x v="6"/>
    <x v="2813"/>
    <x v="0"/>
    <s v="Brandonland"/>
    <x v="0"/>
    <n v="6.94"/>
    <n v="56"/>
    <x v="1"/>
    <x v="2"/>
    <s v="India, Japan, USA"/>
    <n v="220"/>
    <s v="Low"/>
    <s v="Average"/>
  </r>
  <r>
    <x v="0"/>
    <x v="18"/>
    <x v="2814"/>
    <x v="0"/>
    <s v="New Ariel"/>
    <x v="0"/>
    <n v="38.159999999999997"/>
    <n v="83"/>
    <x v="3"/>
    <x v="0"/>
    <s v="USA, UAE"/>
    <n v="23"/>
    <s v="High"/>
    <s v="Good"/>
  </r>
  <r>
    <x v="2"/>
    <x v="5"/>
    <x v="2815"/>
    <x v="1"/>
    <s v="North Sarah"/>
    <x v="0"/>
    <n v="1.88"/>
    <n v="99"/>
    <x v="4"/>
    <x v="0"/>
    <s v="USA"/>
    <n v="38"/>
    <s v="Low"/>
    <s v="Excellent"/>
  </r>
  <r>
    <x v="7"/>
    <x v="23"/>
    <x v="2816"/>
    <x v="1"/>
    <s v="Floreshaven"/>
    <x v="2"/>
    <n v="21.16"/>
    <n v="89"/>
    <x v="4"/>
    <x v="1"/>
    <s v="Germany"/>
    <n v="268"/>
    <s v="Medium"/>
    <s v="Good"/>
  </r>
  <r>
    <x v="5"/>
    <x v="4"/>
    <x v="2817"/>
    <x v="0"/>
    <s v="Youngside"/>
    <x v="1"/>
    <n v="35.17"/>
    <n v="98"/>
    <x v="0"/>
    <x v="2"/>
    <s v="India"/>
    <n v="11"/>
    <s v="High"/>
    <s v="Excellent"/>
  </r>
  <r>
    <x v="8"/>
    <x v="9"/>
    <x v="2818"/>
    <x v="1"/>
    <s v="South Teresa"/>
    <x v="4"/>
    <n v="7.3"/>
    <n v="68"/>
    <x v="4"/>
    <x v="1"/>
    <s v="UAE"/>
    <n v="157"/>
    <s v="Low"/>
    <s v="Average"/>
  </r>
  <r>
    <x v="1"/>
    <x v="2"/>
    <x v="2819"/>
    <x v="0"/>
    <s v="Morachester"/>
    <x v="1"/>
    <n v="44.08"/>
    <n v="82"/>
    <x v="0"/>
    <x v="2"/>
    <s v="UAE, Japan"/>
    <n v="214"/>
    <s v="High"/>
    <s v="Good"/>
  </r>
  <r>
    <x v="8"/>
    <x v="16"/>
    <x v="2820"/>
    <x v="0"/>
    <s v="Martinezmouth"/>
    <x v="2"/>
    <n v="44.81"/>
    <n v="79"/>
    <x v="4"/>
    <x v="1"/>
    <s v="Israel, China"/>
    <n v="187"/>
    <s v="High"/>
    <s v="Good"/>
  </r>
  <r>
    <x v="5"/>
    <x v="20"/>
    <x v="2821"/>
    <x v="0"/>
    <s v="East Patrick"/>
    <x v="2"/>
    <n v="47.25"/>
    <n v="52"/>
    <x v="4"/>
    <x v="2"/>
    <s v="USA, UK, Germany"/>
    <n v="294"/>
    <s v="High"/>
    <s v="Average"/>
  </r>
  <r>
    <x v="8"/>
    <x v="7"/>
    <x v="2822"/>
    <x v="0"/>
    <s v="Port Joshua"/>
    <x v="0"/>
    <n v="13.04"/>
    <n v="89"/>
    <x v="3"/>
    <x v="1"/>
    <s v="Russia"/>
    <n v="80"/>
    <s v="Low"/>
    <s v="Good"/>
  </r>
  <r>
    <x v="7"/>
    <x v="17"/>
    <x v="2823"/>
    <x v="1"/>
    <s v="Tannerberg"/>
    <x v="0"/>
    <n v="12.22"/>
    <n v="84"/>
    <x v="3"/>
    <x v="1"/>
    <s v="Germany"/>
    <n v="146"/>
    <s v="Low"/>
    <s v="Good"/>
  </r>
  <r>
    <x v="4"/>
    <x v="14"/>
    <x v="2824"/>
    <x v="0"/>
    <s v="Lake Robin"/>
    <x v="0"/>
    <n v="24.06"/>
    <n v="66"/>
    <x v="1"/>
    <x v="1"/>
    <s v="India"/>
    <n v="38"/>
    <s v="Medium"/>
    <s v="Average"/>
  </r>
  <r>
    <x v="2"/>
    <x v="8"/>
    <x v="2825"/>
    <x v="1"/>
    <s v="Masseyhaven"/>
    <x v="4"/>
    <n v="45.77"/>
    <n v="94"/>
    <x v="0"/>
    <x v="1"/>
    <s v="Russia, UK"/>
    <n v="345"/>
    <s v="High"/>
    <s v="Excellent"/>
  </r>
  <r>
    <x v="6"/>
    <x v="11"/>
    <x v="2826"/>
    <x v="0"/>
    <s v="Tiffanyburgh"/>
    <x v="4"/>
    <n v="4.6500000000000004"/>
    <n v="76"/>
    <x v="3"/>
    <x v="2"/>
    <s v="UAE, China, Israel"/>
    <n v="231"/>
    <s v="Low"/>
    <s v="Good"/>
  </r>
  <r>
    <x v="2"/>
    <x v="14"/>
    <x v="2827"/>
    <x v="0"/>
    <s v="Briannahaven"/>
    <x v="1"/>
    <n v="2.94"/>
    <n v="96"/>
    <x v="1"/>
    <x v="0"/>
    <s v="China, India"/>
    <n v="279"/>
    <s v="Low"/>
    <s v="Excellent"/>
  </r>
  <r>
    <x v="2"/>
    <x v="5"/>
    <x v="2828"/>
    <x v="1"/>
    <s v="Tylerberg"/>
    <x v="0"/>
    <n v="26.81"/>
    <n v="56"/>
    <x v="0"/>
    <x v="2"/>
    <s v="Russia"/>
    <n v="327"/>
    <s v="Medium"/>
    <s v="Average"/>
  </r>
  <r>
    <x v="4"/>
    <x v="18"/>
    <x v="2829"/>
    <x v="1"/>
    <s v="Swansonchester"/>
    <x v="0"/>
    <n v="39.58"/>
    <n v="92"/>
    <x v="1"/>
    <x v="2"/>
    <s v="Japan, Israel"/>
    <n v="102"/>
    <s v="High"/>
    <s v="Excellent"/>
  </r>
  <r>
    <x v="8"/>
    <x v="18"/>
    <x v="2830"/>
    <x v="1"/>
    <s v="Gloriamouth"/>
    <x v="4"/>
    <n v="7.59"/>
    <n v="71"/>
    <x v="3"/>
    <x v="0"/>
    <s v="France, Germany"/>
    <n v="353"/>
    <s v="Low"/>
    <s v="Average"/>
  </r>
  <r>
    <x v="1"/>
    <x v="2"/>
    <x v="2831"/>
    <x v="0"/>
    <s v="East Kelly"/>
    <x v="0"/>
    <n v="10.35"/>
    <n v="86"/>
    <x v="3"/>
    <x v="1"/>
    <s v="Israel, Germany, France"/>
    <n v="32"/>
    <s v="Low"/>
    <s v="Good"/>
  </r>
  <r>
    <x v="7"/>
    <x v="25"/>
    <x v="2832"/>
    <x v="1"/>
    <s v="Frazierbury"/>
    <x v="1"/>
    <n v="39.58"/>
    <n v="55"/>
    <x v="1"/>
    <x v="1"/>
    <s v="USA"/>
    <n v="242"/>
    <s v="High"/>
    <s v="Average"/>
  </r>
  <r>
    <x v="4"/>
    <x v="5"/>
    <x v="2833"/>
    <x v="1"/>
    <s v="East Alisonland"/>
    <x v="1"/>
    <n v="45.46"/>
    <n v="86"/>
    <x v="3"/>
    <x v="1"/>
    <s v="India, France"/>
    <n v="299"/>
    <s v="High"/>
    <s v="Good"/>
  </r>
  <r>
    <x v="8"/>
    <x v="24"/>
    <x v="2834"/>
    <x v="0"/>
    <s v="New Chadshire"/>
    <x v="2"/>
    <n v="12.97"/>
    <n v="86"/>
    <x v="4"/>
    <x v="2"/>
    <s v="Israel, Japan"/>
    <n v="13"/>
    <s v="Low"/>
    <s v="Good"/>
  </r>
  <r>
    <x v="1"/>
    <x v="12"/>
    <x v="2835"/>
    <x v="1"/>
    <s v="South Dana"/>
    <x v="0"/>
    <n v="25.63"/>
    <n v="84"/>
    <x v="4"/>
    <x v="0"/>
    <s v="USA, Japan, France"/>
    <n v="200"/>
    <s v="Medium"/>
    <s v="Good"/>
  </r>
  <r>
    <x v="6"/>
    <x v="7"/>
    <x v="2836"/>
    <x v="1"/>
    <s v="Robertafort"/>
    <x v="3"/>
    <n v="28.33"/>
    <n v="77"/>
    <x v="4"/>
    <x v="0"/>
    <s v="China, India"/>
    <n v="68"/>
    <s v="Medium"/>
    <s v="Good"/>
  </r>
  <r>
    <x v="7"/>
    <x v="3"/>
    <x v="2837"/>
    <x v="0"/>
    <s v="Carlosview"/>
    <x v="4"/>
    <n v="15.22"/>
    <n v="69"/>
    <x v="3"/>
    <x v="2"/>
    <s v="China, Japan, India"/>
    <n v="136"/>
    <s v="Medium"/>
    <s v="Average"/>
  </r>
  <r>
    <x v="0"/>
    <x v="1"/>
    <x v="2838"/>
    <x v="1"/>
    <s v="Port Andrew"/>
    <x v="0"/>
    <n v="46.56"/>
    <n v="91"/>
    <x v="3"/>
    <x v="1"/>
    <s v="France"/>
    <n v="255"/>
    <s v="High"/>
    <s v="Excellent"/>
  </r>
  <r>
    <x v="4"/>
    <x v="16"/>
    <x v="2839"/>
    <x v="1"/>
    <s v="Jonesmouth"/>
    <x v="4"/>
    <n v="20.69"/>
    <n v="76"/>
    <x v="3"/>
    <x v="1"/>
    <s v="UK, China, Israel"/>
    <n v="210"/>
    <s v="Medium"/>
    <s v="Good"/>
  </r>
  <r>
    <x v="8"/>
    <x v="25"/>
    <x v="2840"/>
    <x v="1"/>
    <s v="Marcusberg"/>
    <x v="2"/>
    <n v="5.8"/>
    <n v="86"/>
    <x v="0"/>
    <x v="2"/>
    <s v="France, Japan"/>
    <n v="67"/>
    <s v="Low"/>
    <s v="Good"/>
  </r>
  <r>
    <x v="7"/>
    <x v="13"/>
    <x v="2841"/>
    <x v="1"/>
    <s v="North Richardchester"/>
    <x v="4"/>
    <n v="8.09"/>
    <n v="63"/>
    <x v="2"/>
    <x v="0"/>
    <s v="Russia, Germany, India"/>
    <n v="288"/>
    <s v="Low"/>
    <s v="Average"/>
  </r>
  <r>
    <x v="5"/>
    <x v="19"/>
    <x v="2842"/>
    <x v="0"/>
    <s v="Ericside"/>
    <x v="4"/>
    <n v="1.53"/>
    <n v="50"/>
    <x v="0"/>
    <x v="0"/>
    <s v="UAE, China, Russia"/>
    <n v="122"/>
    <s v="Low"/>
    <s v="Average"/>
  </r>
  <r>
    <x v="7"/>
    <x v="18"/>
    <x v="2843"/>
    <x v="0"/>
    <s v="Joshuaburgh"/>
    <x v="3"/>
    <n v="12"/>
    <n v="51"/>
    <x v="4"/>
    <x v="1"/>
    <s v="UK, Germany, Russia"/>
    <n v="176"/>
    <s v="Low"/>
    <s v="Average"/>
  </r>
  <r>
    <x v="6"/>
    <x v="1"/>
    <x v="2844"/>
    <x v="0"/>
    <s v="Lake Ronaldfurt"/>
    <x v="4"/>
    <n v="47.61"/>
    <n v="65"/>
    <x v="2"/>
    <x v="1"/>
    <s v="Israel, France"/>
    <n v="30"/>
    <s v="High"/>
    <s v="Average"/>
  </r>
  <r>
    <x v="1"/>
    <x v="4"/>
    <x v="2845"/>
    <x v="0"/>
    <s v="Brownview"/>
    <x v="2"/>
    <n v="16.489999999999998"/>
    <n v="53"/>
    <x v="4"/>
    <x v="0"/>
    <s v="Japan, Russia"/>
    <n v="190"/>
    <s v="Medium"/>
    <s v="Average"/>
  </r>
  <r>
    <x v="6"/>
    <x v="17"/>
    <x v="2846"/>
    <x v="1"/>
    <s v="Curtisport"/>
    <x v="0"/>
    <n v="43.1"/>
    <n v="85"/>
    <x v="3"/>
    <x v="0"/>
    <s v="Russia, Germany"/>
    <n v="149"/>
    <s v="High"/>
    <s v="Good"/>
  </r>
  <r>
    <x v="2"/>
    <x v="6"/>
    <x v="2847"/>
    <x v="0"/>
    <s v="East Lisa"/>
    <x v="1"/>
    <n v="27.41"/>
    <n v="91"/>
    <x v="2"/>
    <x v="1"/>
    <s v="Germany, France, USA"/>
    <n v="213"/>
    <s v="Medium"/>
    <s v="Excellent"/>
  </r>
  <r>
    <x v="4"/>
    <x v="7"/>
    <x v="2848"/>
    <x v="0"/>
    <s v="South Daveport"/>
    <x v="0"/>
    <n v="33.81"/>
    <n v="81"/>
    <x v="3"/>
    <x v="2"/>
    <s v="UAE"/>
    <n v="101"/>
    <s v="Medium"/>
    <s v="Good"/>
  </r>
  <r>
    <x v="4"/>
    <x v="2"/>
    <x v="2849"/>
    <x v="0"/>
    <s v="Jenniferview"/>
    <x v="1"/>
    <n v="25.88"/>
    <n v="56"/>
    <x v="2"/>
    <x v="2"/>
    <s v="Japan, UAE, China"/>
    <n v="27"/>
    <s v="Medium"/>
    <s v="Average"/>
  </r>
  <r>
    <x v="8"/>
    <x v="16"/>
    <x v="2850"/>
    <x v="1"/>
    <s v="Lake Kathyfort"/>
    <x v="4"/>
    <n v="33.68"/>
    <n v="100"/>
    <x v="4"/>
    <x v="0"/>
    <s v="USA, China, UK"/>
    <n v="191"/>
    <s v="Medium"/>
    <s v="Excellent"/>
  </r>
  <r>
    <x v="8"/>
    <x v="7"/>
    <x v="2851"/>
    <x v="1"/>
    <s v="West Shawn"/>
    <x v="3"/>
    <n v="38.549999999999997"/>
    <n v="89"/>
    <x v="0"/>
    <x v="0"/>
    <s v="UK"/>
    <n v="236"/>
    <s v="High"/>
    <s v="Good"/>
  </r>
  <r>
    <x v="2"/>
    <x v="25"/>
    <x v="2852"/>
    <x v="1"/>
    <s v="Kathytown"/>
    <x v="4"/>
    <n v="4.17"/>
    <n v="97"/>
    <x v="3"/>
    <x v="1"/>
    <s v="UK"/>
    <n v="152"/>
    <s v="Low"/>
    <s v="Excellent"/>
  </r>
  <r>
    <x v="1"/>
    <x v="25"/>
    <x v="2853"/>
    <x v="1"/>
    <s v="East Jenniferbury"/>
    <x v="4"/>
    <n v="33.840000000000003"/>
    <n v="65"/>
    <x v="2"/>
    <x v="2"/>
    <s v="India, USA, UAE"/>
    <n v="246"/>
    <s v="Medium"/>
    <s v="Average"/>
  </r>
  <r>
    <x v="0"/>
    <x v="1"/>
    <x v="2854"/>
    <x v="1"/>
    <s v="Thomasshire"/>
    <x v="1"/>
    <n v="19.29"/>
    <n v="88"/>
    <x v="1"/>
    <x v="0"/>
    <s v="China, Japan, France"/>
    <n v="90"/>
    <s v="Medium"/>
    <s v="Good"/>
  </r>
  <r>
    <x v="0"/>
    <x v="22"/>
    <x v="2855"/>
    <x v="1"/>
    <s v="Reynoldsport"/>
    <x v="2"/>
    <n v="4.41"/>
    <n v="61"/>
    <x v="4"/>
    <x v="2"/>
    <s v="UAE, UK, Russia"/>
    <n v="349"/>
    <s v="Low"/>
    <s v="Average"/>
  </r>
  <r>
    <x v="1"/>
    <x v="4"/>
    <x v="2856"/>
    <x v="1"/>
    <s v="Cookmouth"/>
    <x v="3"/>
    <n v="22.51"/>
    <n v="91"/>
    <x v="2"/>
    <x v="1"/>
    <s v="USA, China"/>
    <n v="100"/>
    <s v="Medium"/>
    <s v="Excellent"/>
  </r>
  <r>
    <x v="7"/>
    <x v="23"/>
    <x v="2857"/>
    <x v="1"/>
    <s v="East Cheyenne"/>
    <x v="3"/>
    <n v="34.26"/>
    <n v="76"/>
    <x v="1"/>
    <x v="2"/>
    <s v="Russia"/>
    <n v="13"/>
    <s v="Medium"/>
    <s v="Good"/>
  </r>
  <r>
    <x v="1"/>
    <x v="16"/>
    <x v="2858"/>
    <x v="0"/>
    <s v="Port Stephen"/>
    <x v="2"/>
    <n v="6.89"/>
    <n v="95"/>
    <x v="4"/>
    <x v="1"/>
    <s v="UK"/>
    <n v="315"/>
    <s v="Low"/>
    <s v="Excellent"/>
  </r>
  <r>
    <x v="8"/>
    <x v="22"/>
    <x v="2859"/>
    <x v="0"/>
    <s v="West Robert"/>
    <x v="1"/>
    <n v="43.8"/>
    <n v="79"/>
    <x v="1"/>
    <x v="1"/>
    <s v="UK, UAE, China"/>
    <n v="225"/>
    <s v="High"/>
    <s v="Good"/>
  </r>
  <r>
    <x v="7"/>
    <x v="4"/>
    <x v="2860"/>
    <x v="1"/>
    <s v="East Marcus"/>
    <x v="1"/>
    <n v="6.73"/>
    <n v="73"/>
    <x v="1"/>
    <x v="2"/>
    <s v="India, USA"/>
    <n v="124"/>
    <s v="Low"/>
    <s v="Average"/>
  </r>
  <r>
    <x v="7"/>
    <x v="4"/>
    <x v="2861"/>
    <x v="1"/>
    <s v="Elizabethbury"/>
    <x v="1"/>
    <n v="43.09"/>
    <n v="78"/>
    <x v="0"/>
    <x v="1"/>
    <s v="Germany, UK"/>
    <n v="127"/>
    <s v="High"/>
    <s v="Good"/>
  </r>
  <r>
    <x v="6"/>
    <x v="23"/>
    <x v="2862"/>
    <x v="1"/>
    <s v="East Andrewport"/>
    <x v="2"/>
    <n v="31.14"/>
    <n v="61"/>
    <x v="0"/>
    <x v="1"/>
    <s v="France, Russia"/>
    <n v="181"/>
    <s v="Medium"/>
    <s v="Average"/>
  </r>
  <r>
    <x v="5"/>
    <x v="14"/>
    <x v="2863"/>
    <x v="1"/>
    <s v="New Garymouth"/>
    <x v="3"/>
    <n v="29.84"/>
    <n v="85"/>
    <x v="1"/>
    <x v="2"/>
    <s v="USA"/>
    <n v="195"/>
    <s v="Medium"/>
    <s v="Good"/>
  </r>
  <r>
    <x v="0"/>
    <x v="16"/>
    <x v="2864"/>
    <x v="1"/>
    <s v="West Susan"/>
    <x v="3"/>
    <n v="45.73"/>
    <n v="78"/>
    <x v="1"/>
    <x v="1"/>
    <s v="Russia, Germany, Israel"/>
    <n v="320"/>
    <s v="High"/>
    <s v="Good"/>
  </r>
  <r>
    <x v="5"/>
    <x v="11"/>
    <x v="2865"/>
    <x v="1"/>
    <s v="Salasstad"/>
    <x v="0"/>
    <n v="10.69"/>
    <n v="71"/>
    <x v="2"/>
    <x v="0"/>
    <s v="USA, India"/>
    <n v="365"/>
    <s v="Low"/>
    <s v="Average"/>
  </r>
  <r>
    <x v="9"/>
    <x v="11"/>
    <x v="2866"/>
    <x v="1"/>
    <s v="North Bonnie"/>
    <x v="3"/>
    <n v="26.31"/>
    <n v="72"/>
    <x v="4"/>
    <x v="0"/>
    <s v="China, France"/>
    <n v="162"/>
    <s v="Medium"/>
    <s v="Average"/>
  </r>
  <r>
    <x v="8"/>
    <x v="24"/>
    <x v="2867"/>
    <x v="0"/>
    <s v="Scottbury"/>
    <x v="3"/>
    <n v="44.24"/>
    <n v="54"/>
    <x v="1"/>
    <x v="1"/>
    <s v="Japan, USA"/>
    <n v="157"/>
    <s v="High"/>
    <s v="Average"/>
  </r>
  <r>
    <x v="7"/>
    <x v="24"/>
    <x v="2868"/>
    <x v="1"/>
    <s v="North Chadshire"/>
    <x v="2"/>
    <n v="9.1199999999999992"/>
    <n v="79"/>
    <x v="2"/>
    <x v="0"/>
    <s v="Germany, China, USA"/>
    <n v="362"/>
    <s v="Low"/>
    <s v="Good"/>
  </r>
  <r>
    <x v="7"/>
    <x v="1"/>
    <x v="2869"/>
    <x v="1"/>
    <s v="Boonemouth"/>
    <x v="4"/>
    <n v="13.63"/>
    <n v="79"/>
    <x v="2"/>
    <x v="2"/>
    <s v="France, China"/>
    <n v="206"/>
    <s v="Low"/>
    <s v="Good"/>
  </r>
  <r>
    <x v="9"/>
    <x v="25"/>
    <x v="2870"/>
    <x v="0"/>
    <s v="Josechester"/>
    <x v="4"/>
    <n v="48.15"/>
    <n v="83"/>
    <x v="4"/>
    <x v="2"/>
    <s v="UK, USA"/>
    <n v="264"/>
    <s v="High"/>
    <s v="Good"/>
  </r>
  <r>
    <x v="2"/>
    <x v="4"/>
    <x v="2871"/>
    <x v="1"/>
    <s v="Port Morganport"/>
    <x v="2"/>
    <n v="26.58"/>
    <n v="53"/>
    <x v="0"/>
    <x v="1"/>
    <s v="France"/>
    <n v="285"/>
    <s v="Medium"/>
    <s v="Average"/>
  </r>
  <r>
    <x v="2"/>
    <x v="9"/>
    <x v="2872"/>
    <x v="0"/>
    <s v="Davidshire"/>
    <x v="1"/>
    <n v="10.15"/>
    <n v="66"/>
    <x v="4"/>
    <x v="1"/>
    <s v="Germany"/>
    <n v="30"/>
    <s v="Low"/>
    <s v="Average"/>
  </r>
  <r>
    <x v="4"/>
    <x v="20"/>
    <x v="2873"/>
    <x v="0"/>
    <s v="East Adriennebury"/>
    <x v="1"/>
    <n v="2.37"/>
    <n v="56"/>
    <x v="2"/>
    <x v="1"/>
    <s v="Japan, France, Russia"/>
    <n v="161"/>
    <s v="Low"/>
    <s v="Average"/>
  </r>
  <r>
    <x v="3"/>
    <x v="8"/>
    <x v="2874"/>
    <x v="0"/>
    <s v="Brownstad"/>
    <x v="0"/>
    <n v="25.01"/>
    <n v="99"/>
    <x v="0"/>
    <x v="0"/>
    <s v="Israel, Japan"/>
    <n v="135"/>
    <s v="Medium"/>
    <s v="Excellent"/>
  </r>
  <r>
    <x v="8"/>
    <x v="21"/>
    <x v="2875"/>
    <x v="0"/>
    <s v="Wallport"/>
    <x v="2"/>
    <n v="4.33"/>
    <n v="85"/>
    <x v="2"/>
    <x v="0"/>
    <s v="UAE"/>
    <n v="192"/>
    <s v="Low"/>
    <s v="Good"/>
  </r>
  <r>
    <x v="6"/>
    <x v="6"/>
    <x v="2876"/>
    <x v="0"/>
    <s v="Emmamouth"/>
    <x v="4"/>
    <n v="27.68"/>
    <n v="58"/>
    <x v="4"/>
    <x v="2"/>
    <s v="Japan, UK, Germany"/>
    <n v="4"/>
    <s v="Medium"/>
    <s v="Average"/>
  </r>
  <r>
    <x v="7"/>
    <x v="9"/>
    <x v="2877"/>
    <x v="1"/>
    <s v="Kellerport"/>
    <x v="1"/>
    <n v="26.25"/>
    <n v="64"/>
    <x v="4"/>
    <x v="0"/>
    <s v="India, Japan"/>
    <n v="9"/>
    <s v="Medium"/>
    <s v="Average"/>
  </r>
  <r>
    <x v="1"/>
    <x v="5"/>
    <x v="2878"/>
    <x v="1"/>
    <s v="West Jamesbury"/>
    <x v="2"/>
    <n v="31.15"/>
    <n v="87"/>
    <x v="0"/>
    <x v="1"/>
    <s v="China, France, UAE"/>
    <n v="98"/>
    <s v="Medium"/>
    <s v="Good"/>
  </r>
  <r>
    <x v="1"/>
    <x v="0"/>
    <x v="2879"/>
    <x v="1"/>
    <s v="Williamport"/>
    <x v="2"/>
    <n v="43.63"/>
    <n v="55"/>
    <x v="3"/>
    <x v="2"/>
    <s v="USA"/>
    <n v="76"/>
    <s v="High"/>
    <s v="Average"/>
  </r>
  <r>
    <x v="7"/>
    <x v="20"/>
    <x v="2880"/>
    <x v="0"/>
    <s v="West Dawnport"/>
    <x v="0"/>
    <n v="32.67"/>
    <n v="51"/>
    <x v="4"/>
    <x v="2"/>
    <s v="Germany, Russia, UAE"/>
    <n v="225"/>
    <s v="Medium"/>
    <s v="Average"/>
  </r>
  <r>
    <x v="8"/>
    <x v="11"/>
    <x v="2881"/>
    <x v="0"/>
    <s v="Lake Eric"/>
    <x v="2"/>
    <n v="30.47"/>
    <n v="66"/>
    <x v="3"/>
    <x v="1"/>
    <s v="China, USA, Japan"/>
    <n v="6"/>
    <s v="Medium"/>
    <s v="Average"/>
  </r>
  <r>
    <x v="7"/>
    <x v="11"/>
    <x v="2882"/>
    <x v="0"/>
    <s v="South Robertland"/>
    <x v="2"/>
    <n v="11.28"/>
    <n v="69"/>
    <x v="2"/>
    <x v="2"/>
    <s v="USA, UAE, France"/>
    <n v="206"/>
    <s v="Low"/>
    <s v="Average"/>
  </r>
  <r>
    <x v="9"/>
    <x v="19"/>
    <x v="436"/>
    <x v="0"/>
    <s v="Scottland"/>
    <x v="0"/>
    <n v="6.9"/>
    <n v="98"/>
    <x v="3"/>
    <x v="2"/>
    <s v="France, USA, UK"/>
    <n v="173"/>
    <s v="Low"/>
    <s v="Excellent"/>
  </r>
  <r>
    <x v="4"/>
    <x v="7"/>
    <x v="2883"/>
    <x v="1"/>
    <s v="Mataton"/>
    <x v="2"/>
    <n v="2.11"/>
    <n v="54"/>
    <x v="2"/>
    <x v="2"/>
    <s v="Israel, Germany, UK"/>
    <n v="15"/>
    <s v="Low"/>
    <s v="Average"/>
  </r>
  <r>
    <x v="9"/>
    <x v="4"/>
    <x v="2884"/>
    <x v="0"/>
    <s v="Swansonhaven"/>
    <x v="3"/>
    <n v="42.72"/>
    <n v="95"/>
    <x v="0"/>
    <x v="2"/>
    <s v="USA, Japan"/>
    <n v="174"/>
    <s v="High"/>
    <s v="Excellent"/>
  </r>
  <r>
    <x v="3"/>
    <x v="16"/>
    <x v="2885"/>
    <x v="0"/>
    <s v="Evanmouth"/>
    <x v="1"/>
    <n v="32.880000000000003"/>
    <n v="62"/>
    <x v="1"/>
    <x v="2"/>
    <s v="Russia, Israel, India"/>
    <n v="264"/>
    <s v="Medium"/>
    <s v="Average"/>
  </r>
  <r>
    <x v="8"/>
    <x v="2"/>
    <x v="2886"/>
    <x v="0"/>
    <s v="East Kevinport"/>
    <x v="4"/>
    <n v="4.83"/>
    <n v="91"/>
    <x v="3"/>
    <x v="1"/>
    <s v="Israel, UK"/>
    <n v="131"/>
    <s v="Low"/>
    <s v="Excellent"/>
  </r>
  <r>
    <x v="5"/>
    <x v="24"/>
    <x v="2887"/>
    <x v="0"/>
    <s v="New Ashley"/>
    <x v="2"/>
    <n v="48.65"/>
    <n v="63"/>
    <x v="2"/>
    <x v="2"/>
    <s v="UAE"/>
    <n v="3"/>
    <s v="High"/>
    <s v="Average"/>
  </r>
  <r>
    <x v="1"/>
    <x v="23"/>
    <x v="2888"/>
    <x v="1"/>
    <s v="West Sherry"/>
    <x v="0"/>
    <n v="38.049999999999997"/>
    <n v="69"/>
    <x v="1"/>
    <x v="0"/>
    <s v="UK, Germany"/>
    <n v="20"/>
    <s v="High"/>
    <s v="Average"/>
  </r>
  <r>
    <x v="4"/>
    <x v="16"/>
    <x v="2889"/>
    <x v="1"/>
    <s v="Burkemouth"/>
    <x v="3"/>
    <n v="22.97"/>
    <n v="54"/>
    <x v="4"/>
    <x v="0"/>
    <s v="India"/>
    <n v="343"/>
    <s v="Medium"/>
    <s v="Average"/>
  </r>
  <r>
    <x v="1"/>
    <x v="21"/>
    <x v="2890"/>
    <x v="0"/>
    <s v="Mcdonaldtown"/>
    <x v="0"/>
    <n v="22.35"/>
    <n v="62"/>
    <x v="2"/>
    <x v="2"/>
    <s v="India, Japan"/>
    <n v="332"/>
    <s v="Medium"/>
    <s v="Average"/>
  </r>
  <r>
    <x v="7"/>
    <x v="22"/>
    <x v="2891"/>
    <x v="0"/>
    <s v="Thomasview"/>
    <x v="0"/>
    <n v="5.32"/>
    <n v="67"/>
    <x v="4"/>
    <x v="0"/>
    <s v="Israel, India"/>
    <n v="308"/>
    <s v="Low"/>
    <s v="Average"/>
  </r>
  <r>
    <x v="5"/>
    <x v="14"/>
    <x v="2892"/>
    <x v="1"/>
    <s v="Fernandezview"/>
    <x v="3"/>
    <n v="7.03"/>
    <n v="67"/>
    <x v="0"/>
    <x v="0"/>
    <s v="UK, Japan, UAE"/>
    <n v="53"/>
    <s v="Low"/>
    <s v="Average"/>
  </r>
  <r>
    <x v="4"/>
    <x v="8"/>
    <x v="2893"/>
    <x v="1"/>
    <s v="Bellville"/>
    <x v="0"/>
    <n v="18.97"/>
    <n v="93"/>
    <x v="2"/>
    <x v="0"/>
    <s v="Russia, China"/>
    <n v="70"/>
    <s v="Medium"/>
    <s v="Excellent"/>
  </r>
  <r>
    <x v="8"/>
    <x v="0"/>
    <x v="2894"/>
    <x v="0"/>
    <s v="Valdezstad"/>
    <x v="2"/>
    <n v="7.73"/>
    <n v="66"/>
    <x v="1"/>
    <x v="2"/>
    <s v="France, Russia, UK"/>
    <n v="288"/>
    <s v="Low"/>
    <s v="Average"/>
  </r>
  <r>
    <x v="7"/>
    <x v="12"/>
    <x v="2895"/>
    <x v="1"/>
    <s v="East Laurenburgh"/>
    <x v="3"/>
    <n v="6.5"/>
    <n v="56"/>
    <x v="0"/>
    <x v="2"/>
    <s v="China"/>
    <n v="32"/>
    <s v="Low"/>
    <s v="Average"/>
  </r>
  <r>
    <x v="0"/>
    <x v="11"/>
    <x v="2896"/>
    <x v="1"/>
    <s v="East Marilynport"/>
    <x v="0"/>
    <n v="21.88"/>
    <n v="63"/>
    <x v="0"/>
    <x v="1"/>
    <s v="India, China, France"/>
    <n v="75"/>
    <s v="Medium"/>
    <s v="Average"/>
  </r>
  <r>
    <x v="7"/>
    <x v="2"/>
    <x v="2897"/>
    <x v="1"/>
    <s v="Karenshire"/>
    <x v="3"/>
    <n v="36.799999999999997"/>
    <n v="90"/>
    <x v="1"/>
    <x v="0"/>
    <s v="Russia"/>
    <n v="276"/>
    <s v="High"/>
    <s v="Excellent"/>
  </r>
  <r>
    <x v="8"/>
    <x v="9"/>
    <x v="2898"/>
    <x v="1"/>
    <s v="Davilaburgh"/>
    <x v="0"/>
    <n v="32.299999999999997"/>
    <n v="85"/>
    <x v="4"/>
    <x v="1"/>
    <s v="Israel, UAE"/>
    <n v="132"/>
    <s v="Medium"/>
    <s v="Good"/>
  </r>
  <r>
    <x v="6"/>
    <x v="6"/>
    <x v="2899"/>
    <x v="1"/>
    <s v="Port Angela"/>
    <x v="3"/>
    <n v="23.78"/>
    <n v="98"/>
    <x v="1"/>
    <x v="1"/>
    <s v="UK"/>
    <n v="326"/>
    <s v="Medium"/>
    <s v="Excellent"/>
  </r>
  <r>
    <x v="6"/>
    <x v="7"/>
    <x v="2900"/>
    <x v="0"/>
    <s v="Robertsfort"/>
    <x v="0"/>
    <n v="8.8800000000000008"/>
    <n v="73"/>
    <x v="0"/>
    <x v="2"/>
    <s v="China, Germany, Israel"/>
    <n v="106"/>
    <s v="Low"/>
    <s v="Average"/>
  </r>
  <r>
    <x v="6"/>
    <x v="11"/>
    <x v="2901"/>
    <x v="0"/>
    <s v="North Jesse"/>
    <x v="3"/>
    <n v="32.15"/>
    <n v="70"/>
    <x v="0"/>
    <x v="0"/>
    <s v="UK, Israel, Germany"/>
    <n v="268"/>
    <s v="Medium"/>
    <s v="Average"/>
  </r>
  <r>
    <x v="2"/>
    <x v="18"/>
    <x v="2902"/>
    <x v="0"/>
    <s v="Codyville"/>
    <x v="3"/>
    <n v="38.94"/>
    <n v="94"/>
    <x v="4"/>
    <x v="0"/>
    <s v="UK"/>
    <n v="226"/>
    <s v="High"/>
    <s v="Excellent"/>
  </r>
  <r>
    <x v="7"/>
    <x v="3"/>
    <x v="2903"/>
    <x v="1"/>
    <s v="Port Patriciaborough"/>
    <x v="3"/>
    <n v="49.87"/>
    <n v="92"/>
    <x v="4"/>
    <x v="2"/>
    <s v="Japan, UAE"/>
    <n v="352"/>
    <s v="High"/>
    <s v="Excellent"/>
  </r>
  <r>
    <x v="4"/>
    <x v="22"/>
    <x v="2904"/>
    <x v="0"/>
    <s v="Lake Gail"/>
    <x v="2"/>
    <n v="28.95"/>
    <n v="86"/>
    <x v="0"/>
    <x v="1"/>
    <s v="UK, France"/>
    <n v="205"/>
    <s v="Medium"/>
    <s v="Good"/>
  </r>
  <r>
    <x v="1"/>
    <x v="21"/>
    <x v="2905"/>
    <x v="0"/>
    <s v="East Angelafurt"/>
    <x v="0"/>
    <n v="46.79"/>
    <n v="70"/>
    <x v="2"/>
    <x v="1"/>
    <s v="UK, India"/>
    <n v="355"/>
    <s v="High"/>
    <s v="Average"/>
  </r>
  <r>
    <x v="5"/>
    <x v="1"/>
    <x v="2906"/>
    <x v="1"/>
    <s v="Alexmouth"/>
    <x v="2"/>
    <n v="0.67"/>
    <n v="94"/>
    <x v="4"/>
    <x v="2"/>
    <s v="India, Japan"/>
    <n v="305"/>
    <s v="Low"/>
    <s v="Excellent"/>
  </r>
  <r>
    <x v="8"/>
    <x v="25"/>
    <x v="2907"/>
    <x v="1"/>
    <s v="New Matthewport"/>
    <x v="3"/>
    <n v="43.52"/>
    <n v="97"/>
    <x v="4"/>
    <x v="1"/>
    <s v="Israel, USA, Germany"/>
    <n v="217"/>
    <s v="High"/>
    <s v="Excellent"/>
  </r>
  <r>
    <x v="6"/>
    <x v="18"/>
    <x v="2908"/>
    <x v="0"/>
    <s v="East Bryan"/>
    <x v="4"/>
    <n v="29.13"/>
    <n v="83"/>
    <x v="3"/>
    <x v="1"/>
    <s v="France, Germany"/>
    <n v="353"/>
    <s v="Medium"/>
    <s v="Good"/>
  </r>
  <r>
    <x v="6"/>
    <x v="18"/>
    <x v="2909"/>
    <x v="0"/>
    <s v="Pereztown"/>
    <x v="0"/>
    <n v="40.33"/>
    <n v="54"/>
    <x v="3"/>
    <x v="2"/>
    <s v="India, China, UK"/>
    <n v="112"/>
    <s v="High"/>
    <s v="Average"/>
  </r>
  <r>
    <x v="5"/>
    <x v="10"/>
    <x v="2910"/>
    <x v="1"/>
    <s v="Port Andrew"/>
    <x v="0"/>
    <n v="26.72"/>
    <n v="88"/>
    <x v="1"/>
    <x v="2"/>
    <s v="Russia"/>
    <n v="158"/>
    <s v="Medium"/>
    <s v="Good"/>
  </r>
  <r>
    <x v="3"/>
    <x v="4"/>
    <x v="2911"/>
    <x v="0"/>
    <s v="Murphyland"/>
    <x v="0"/>
    <n v="25.3"/>
    <n v="67"/>
    <x v="2"/>
    <x v="1"/>
    <s v="India, UAE"/>
    <n v="193"/>
    <s v="Medium"/>
    <s v="Average"/>
  </r>
  <r>
    <x v="8"/>
    <x v="8"/>
    <x v="2912"/>
    <x v="1"/>
    <s v="East Dianeview"/>
    <x v="0"/>
    <n v="42.09"/>
    <n v="73"/>
    <x v="4"/>
    <x v="1"/>
    <s v="China, USA, UAE"/>
    <n v="33"/>
    <s v="High"/>
    <s v="Average"/>
  </r>
  <r>
    <x v="6"/>
    <x v="22"/>
    <x v="2913"/>
    <x v="0"/>
    <s v="Rosemouth"/>
    <x v="1"/>
    <n v="32.31"/>
    <n v="65"/>
    <x v="2"/>
    <x v="2"/>
    <s v="UAE"/>
    <n v="359"/>
    <s v="Medium"/>
    <s v="Average"/>
  </r>
  <r>
    <x v="8"/>
    <x v="6"/>
    <x v="2914"/>
    <x v="0"/>
    <s v="Port Craigberg"/>
    <x v="2"/>
    <n v="17.579999999999998"/>
    <n v="51"/>
    <x v="4"/>
    <x v="1"/>
    <s v="Germany, China, France"/>
    <n v="99"/>
    <s v="Medium"/>
    <s v="Average"/>
  </r>
  <r>
    <x v="3"/>
    <x v="17"/>
    <x v="2915"/>
    <x v="1"/>
    <s v="Elijahfurt"/>
    <x v="0"/>
    <n v="31.57"/>
    <n v="73"/>
    <x v="0"/>
    <x v="1"/>
    <s v="UK, UAE"/>
    <n v="281"/>
    <s v="Medium"/>
    <s v="Average"/>
  </r>
  <r>
    <x v="8"/>
    <x v="13"/>
    <x v="2916"/>
    <x v="1"/>
    <s v="Acostaton"/>
    <x v="0"/>
    <n v="34.44"/>
    <n v="51"/>
    <x v="3"/>
    <x v="1"/>
    <s v="USA"/>
    <n v="220"/>
    <s v="Medium"/>
    <s v="Average"/>
  </r>
  <r>
    <x v="3"/>
    <x v="18"/>
    <x v="2917"/>
    <x v="0"/>
    <s v="Manuelshire"/>
    <x v="2"/>
    <n v="1.19"/>
    <n v="79"/>
    <x v="4"/>
    <x v="2"/>
    <s v="China"/>
    <n v="231"/>
    <s v="Low"/>
    <s v="Good"/>
  </r>
  <r>
    <x v="5"/>
    <x v="23"/>
    <x v="2918"/>
    <x v="1"/>
    <s v="Simmonsstad"/>
    <x v="3"/>
    <n v="2.5299999999999998"/>
    <n v="62"/>
    <x v="0"/>
    <x v="1"/>
    <s v="Russia"/>
    <n v="360"/>
    <s v="Low"/>
    <s v="Average"/>
  </r>
  <r>
    <x v="7"/>
    <x v="10"/>
    <x v="2919"/>
    <x v="1"/>
    <s v="East Codyborough"/>
    <x v="0"/>
    <n v="49.5"/>
    <n v="96"/>
    <x v="4"/>
    <x v="2"/>
    <s v="Russia, Israel"/>
    <n v="277"/>
    <s v="High"/>
    <s v="Excellent"/>
  </r>
  <r>
    <x v="0"/>
    <x v="25"/>
    <x v="2920"/>
    <x v="1"/>
    <s v="West Jodymouth"/>
    <x v="3"/>
    <n v="21.96"/>
    <n v="57"/>
    <x v="0"/>
    <x v="0"/>
    <s v="USA"/>
    <n v="291"/>
    <s v="Medium"/>
    <s v="Average"/>
  </r>
  <r>
    <x v="5"/>
    <x v="14"/>
    <x v="2921"/>
    <x v="1"/>
    <s v="South John"/>
    <x v="1"/>
    <n v="11.86"/>
    <n v="63"/>
    <x v="0"/>
    <x v="0"/>
    <s v="UK, Germany"/>
    <n v="295"/>
    <s v="Low"/>
    <s v="Average"/>
  </r>
  <r>
    <x v="0"/>
    <x v="5"/>
    <x v="2922"/>
    <x v="0"/>
    <s v="South Karen"/>
    <x v="0"/>
    <n v="40.49"/>
    <n v="93"/>
    <x v="0"/>
    <x v="0"/>
    <s v="Israel, France"/>
    <n v="150"/>
    <s v="High"/>
    <s v="Excellent"/>
  </r>
  <r>
    <x v="3"/>
    <x v="10"/>
    <x v="2923"/>
    <x v="1"/>
    <s v="Port Robert"/>
    <x v="4"/>
    <n v="15.65"/>
    <n v="61"/>
    <x v="2"/>
    <x v="2"/>
    <s v="Israel, India"/>
    <n v="85"/>
    <s v="Medium"/>
    <s v="Average"/>
  </r>
  <r>
    <x v="0"/>
    <x v="5"/>
    <x v="2924"/>
    <x v="0"/>
    <s v="Marilynside"/>
    <x v="1"/>
    <n v="16.63"/>
    <n v="56"/>
    <x v="0"/>
    <x v="0"/>
    <s v="China"/>
    <n v="31"/>
    <s v="Medium"/>
    <s v="Average"/>
  </r>
  <r>
    <x v="0"/>
    <x v="24"/>
    <x v="2925"/>
    <x v="1"/>
    <s v="Port Justin"/>
    <x v="3"/>
    <n v="24.67"/>
    <n v="100"/>
    <x v="2"/>
    <x v="0"/>
    <s v="Russia, USA, UK"/>
    <n v="22"/>
    <s v="Medium"/>
    <s v="Excellent"/>
  </r>
  <r>
    <x v="2"/>
    <x v="5"/>
    <x v="2926"/>
    <x v="1"/>
    <s v="Port Gabriel"/>
    <x v="4"/>
    <n v="37.44"/>
    <n v="71"/>
    <x v="3"/>
    <x v="2"/>
    <s v="UK"/>
    <n v="129"/>
    <s v="High"/>
    <s v="Average"/>
  </r>
  <r>
    <x v="6"/>
    <x v="17"/>
    <x v="2927"/>
    <x v="1"/>
    <s v="Jimenezfurt"/>
    <x v="4"/>
    <n v="35.090000000000003"/>
    <n v="82"/>
    <x v="4"/>
    <x v="0"/>
    <s v="India"/>
    <n v="199"/>
    <s v="High"/>
    <s v="Good"/>
  </r>
  <r>
    <x v="3"/>
    <x v="22"/>
    <x v="2928"/>
    <x v="1"/>
    <s v="South Ashley"/>
    <x v="2"/>
    <n v="30.18"/>
    <n v="100"/>
    <x v="2"/>
    <x v="1"/>
    <s v="Israel, India"/>
    <n v="219"/>
    <s v="Medium"/>
    <s v="Excellent"/>
  </r>
  <r>
    <x v="7"/>
    <x v="25"/>
    <x v="2929"/>
    <x v="1"/>
    <s v="Allisonview"/>
    <x v="0"/>
    <n v="19.64"/>
    <n v="81"/>
    <x v="2"/>
    <x v="2"/>
    <s v="Russia, India"/>
    <n v="202"/>
    <s v="Medium"/>
    <s v="Good"/>
  </r>
  <r>
    <x v="5"/>
    <x v="18"/>
    <x v="2930"/>
    <x v="0"/>
    <s v="South Deanside"/>
    <x v="4"/>
    <n v="36.200000000000003"/>
    <n v="92"/>
    <x v="3"/>
    <x v="1"/>
    <s v="China"/>
    <n v="199"/>
    <s v="High"/>
    <s v="Excellent"/>
  </r>
  <r>
    <x v="1"/>
    <x v="15"/>
    <x v="2931"/>
    <x v="1"/>
    <s v="Lake Daisy"/>
    <x v="0"/>
    <n v="3.93"/>
    <n v="87"/>
    <x v="4"/>
    <x v="2"/>
    <s v="UK, Germany, Russia"/>
    <n v="96"/>
    <s v="Low"/>
    <s v="Good"/>
  </r>
  <r>
    <x v="8"/>
    <x v="3"/>
    <x v="2932"/>
    <x v="0"/>
    <s v="New Brandonside"/>
    <x v="3"/>
    <n v="28.71"/>
    <n v="53"/>
    <x v="2"/>
    <x v="0"/>
    <s v="UAE, India, Japan"/>
    <n v="194"/>
    <s v="Medium"/>
    <s v="Average"/>
  </r>
  <r>
    <x v="2"/>
    <x v="18"/>
    <x v="2933"/>
    <x v="1"/>
    <s v="New Scott"/>
    <x v="4"/>
    <n v="34.61"/>
    <n v="82"/>
    <x v="3"/>
    <x v="0"/>
    <s v="UK"/>
    <n v="200"/>
    <s v="Medium"/>
    <s v="Good"/>
  </r>
  <r>
    <x v="5"/>
    <x v="22"/>
    <x v="2934"/>
    <x v="0"/>
    <s v="Mckeefurt"/>
    <x v="3"/>
    <n v="44.18"/>
    <n v="50"/>
    <x v="1"/>
    <x v="1"/>
    <s v="France"/>
    <n v="123"/>
    <s v="High"/>
    <s v="Average"/>
  </r>
  <r>
    <x v="7"/>
    <x v="17"/>
    <x v="2935"/>
    <x v="0"/>
    <s v="Masonburgh"/>
    <x v="3"/>
    <n v="36.08"/>
    <n v="99"/>
    <x v="0"/>
    <x v="1"/>
    <s v="China"/>
    <n v="94"/>
    <s v="High"/>
    <s v="Excellent"/>
  </r>
  <r>
    <x v="8"/>
    <x v="11"/>
    <x v="2936"/>
    <x v="0"/>
    <s v="Laurenside"/>
    <x v="1"/>
    <n v="41.28"/>
    <n v="74"/>
    <x v="4"/>
    <x v="0"/>
    <s v="Japan"/>
    <n v="56"/>
    <s v="High"/>
    <s v="Average"/>
  </r>
  <r>
    <x v="4"/>
    <x v="23"/>
    <x v="2937"/>
    <x v="1"/>
    <s v="Barnestown"/>
    <x v="0"/>
    <n v="7.66"/>
    <n v="81"/>
    <x v="1"/>
    <x v="1"/>
    <s v="Japan, India, France"/>
    <n v="29"/>
    <s v="Low"/>
    <s v="Good"/>
  </r>
  <r>
    <x v="4"/>
    <x v="14"/>
    <x v="2938"/>
    <x v="1"/>
    <s v="Port Carlos"/>
    <x v="3"/>
    <n v="43.23"/>
    <n v="76"/>
    <x v="3"/>
    <x v="1"/>
    <s v="Japan, China"/>
    <n v="252"/>
    <s v="High"/>
    <s v="Good"/>
  </r>
  <r>
    <x v="7"/>
    <x v="20"/>
    <x v="2939"/>
    <x v="1"/>
    <s v="Michaelshire"/>
    <x v="3"/>
    <n v="42.96"/>
    <n v="82"/>
    <x v="0"/>
    <x v="0"/>
    <s v="Germany, Russia, China"/>
    <n v="81"/>
    <s v="High"/>
    <s v="Good"/>
  </r>
  <r>
    <x v="4"/>
    <x v="16"/>
    <x v="2940"/>
    <x v="0"/>
    <s v="North Collinfurt"/>
    <x v="1"/>
    <n v="28.65"/>
    <n v="73"/>
    <x v="4"/>
    <x v="2"/>
    <s v="Germany, India"/>
    <n v="270"/>
    <s v="Medium"/>
    <s v="Average"/>
  </r>
  <r>
    <x v="7"/>
    <x v="13"/>
    <x v="2941"/>
    <x v="1"/>
    <s v="West Doris"/>
    <x v="3"/>
    <n v="31.63"/>
    <n v="96"/>
    <x v="4"/>
    <x v="2"/>
    <s v="UK, France, India"/>
    <n v="158"/>
    <s v="Medium"/>
    <s v="Excellent"/>
  </r>
  <r>
    <x v="9"/>
    <x v="1"/>
    <x v="2942"/>
    <x v="1"/>
    <s v="Cynthiaton"/>
    <x v="1"/>
    <n v="48.13"/>
    <n v="79"/>
    <x v="1"/>
    <x v="0"/>
    <s v="UAE"/>
    <n v="299"/>
    <s v="High"/>
    <s v="Good"/>
  </r>
  <r>
    <x v="0"/>
    <x v="0"/>
    <x v="2943"/>
    <x v="1"/>
    <s v="Benjaminmouth"/>
    <x v="0"/>
    <n v="45.32"/>
    <n v="70"/>
    <x v="3"/>
    <x v="1"/>
    <s v="China, India, Russia"/>
    <n v="329"/>
    <s v="High"/>
    <s v="Average"/>
  </r>
  <r>
    <x v="3"/>
    <x v="3"/>
    <x v="2944"/>
    <x v="1"/>
    <s v="West James"/>
    <x v="1"/>
    <n v="47.04"/>
    <n v="78"/>
    <x v="2"/>
    <x v="1"/>
    <s v="UK, China"/>
    <n v="274"/>
    <s v="High"/>
    <s v="Good"/>
  </r>
  <r>
    <x v="5"/>
    <x v="16"/>
    <x v="2945"/>
    <x v="1"/>
    <s v="Reneeberg"/>
    <x v="2"/>
    <n v="46.91"/>
    <n v="69"/>
    <x v="2"/>
    <x v="2"/>
    <s v="France"/>
    <n v="79"/>
    <s v="High"/>
    <s v="Average"/>
  </r>
  <r>
    <x v="2"/>
    <x v="14"/>
    <x v="2946"/>
    <x v="1"/>
    <s v="Lake Brandon"/>
    <x v="3"/>
    <n v="29.22"/>
    <n v="69"/>
    <x v="2"/>
    <x v="0"/>
    <s v="USA, Russia"/>
    <n v="56"/>
    <s v="Medium"/>
    <s v="Average"/>
  </r>
  <r>
    <x v="6"/>
    <x v="3"/>
    <x v="2947"/>
    <x v="1"/>
    <s v="South Melissa"/>
    <x v="4"/>
    <n v="6.31"/>
    <n v="61"/>
    <x v="2"/>
    <x v="0"/>
    <s v="UAE"/>
    <n v="32"/>
    <s v="Low"/>
    <s v="Average"/>
  </r>
  <r>
    <x v="0"/>
    <x v="2"/>
    <x v="2948"/>
    <x v="1"/>
    <s v="Wilsonberg"/>
    <x v="4"/>
    <n v="48.62"/>
    <n v="53"/>
    <x v="4"/>
    <x v="0"/>
    <s v="Russia"/>
    <n v="84"/>
    <s v="High"/>
    <s v="Average"/>
  </r>
  <r>
    <x v="8"/>
    <x v="20"/>
    <x v="2949"/>
    <x v="0"/>
    <s v="Lake Laurenton"/>
    <x v="2"/>
    <n v="36.869999999999997"/>
    <n v="73"/>
    <x v="0"/>
    <x v="0"/>
    <s v="UK, Germany, France"/>
    <n v="139"/>
    <s v="High"/>
    <s v="Average"/>
  </r>
  <r>
    <x v="1"/>
    <x v="21"/>
    <x v="2950"/>
    <x v="1"/>
    <s v="Port Kylemouth"/>
    <x v="2"/>
    <n v="23.01"/>
    <n v="71"/>
    <x v="2"/>
    <x v="1"/>
    <s v="UAE, Germany, France"/>
    <n v="236"/>
    <s v="Medium"/>
    <s v="Average"/>
  </r>
  <r>
    <x v="3"/>
    <x v="11"/>
    <x v="2951"/>
    <x v="0"/>
    <s v="New Jillian"/>
    <x v="0"/>
    <n v="25.2"/>
    <n v="87"/>
    <x v="1"/>
    <x v="1"/>
    <s v="France, Japan"/>
    <n v="49"/>
    <s v="Medium"/>
    <s v="Good"/>
  </r>
  <r>
    <x v="5"/>
    <x v="9"/>
    <x v="2952"/>
    <x v="1"/>
    <s v="Jacksonville"/>
    <x v="2"/>
    <n v="22.4"/>
    <n v="52"/>
    <x v="0"/>
    <x v="2"/>
    <s v="France, USA, India"/>
    <n v="99"/>
    <s v="Medium"/>
    <s v="Average"/>
  </r>
  <r>
    <x v="8"/>
    <x v="20"/>
    <x v="2953"/>
    <x v="1"/>
    <s v="New Donberg"/>
    <x v="1"/>
    <n v="24.77"/>
    <n v="68"/>
    <x v="3"/>
    <x v="2"/>
    <s v="India, Israel"/>
    <n v="12"/>
    <s v="Medium"/>
    <s v="Average"/>
  </r>
  <r>
    <x v="1"/>
    <x v="2"/>
    <x v="2954"/>
    <x v="0"/>
    <s v="Lake Nathaniel"/>
    <x v="0"/>
    <n v="4.28"/>
    <n v="89"/>
    <x v="0"/>
    <x v="2"/>
    <s v="Japan, Israel"/>
    <n v="221"/>
    <s v="Low"/>
    <s v="Good"/>
  </r>
  <r>
    <x v="7"/>
    <x v="12"/>
    <x v="2955"/>
    <x v="1"/>
    <s v="East Susan"/>
    <x v="1"/>
    <n v="32.020000000000003"/>
    <n v="64"/>
    <x v="1"/>
    <x v="1"/>
    <s v="Israel, France, Germany"/>
    <n v="154"/>
    <s v="Medium"/>
    <s v="Average"/>
  </r>
  <r>
    <x v="7"/>
    <x v="14"/>
    <x v="2956"/>
    <x v="1"/>
    <s v="South Ryan"/>
    <x v="0"/>
    <n v="21.11"/>
    <n v="61"/>
    <x v="2"/>
    <x v="2"/>
    <s v="China"/>
    <n v="74"/>
    <s v="Medium"/>
    <s v="Average"/>
  </r>
  <r>
    <x v="0"/>
    <x v="9"/>
    <x v="2957"/>
    <x v="1"/>
    <s v="Shannonfort"/>
    <x v="0"/>
    <n v="16.8"/>
    <n v="72"/>
    <x v="2"/>
    <x v="2"/>
    <s v="UK, Russia"/>
    <n v="353"/>
    <s v="Medium"/>
    <s v="Average"/>
  </r>
  <r>
    <x v="0"/>
    <x v="17"/>
    <x v="2958"/>
    <x v="0"/>
    <s v="East Charlestown"/>
    <x v="2"/>
    <n v="24.92"/>
    <n v="84"/>
    <x v="2"/>
    <x v="0"/>
    <s v="France, Japan"/>
    <n v="31"/>
    <s v="Medium"/>
    <s v="Good"/>
  </r>
  <r>
    <x v="6"/>
    <x v="9"/>
    <x v="2959"/>
    <x v="1"/>
    <s v="Edwardsview"/>
    <x v="2"/>
    <n v="37.72"/>
    <n v="89"/>
    <x v="2"/>
    <x v="0"/>
    <s v="France, Japan"/>
    <n v="324"/>
    <s v="High"/>
    <s v="Good"/>
  </r>
  <r>
    <x v="5"/>
    <x v="2"/>
    <x v="2960"/>
    <x v="0"/>
    <s v="Lake Robert"/>
    <x v="1"/>
    <n v="47.37"/>
    <n v="60"/>
    <x v="4"/>
    <x v="0"/>
    <s v="USA, France"/>
    <n v="23"/>
    <s v="High"/>
    <s v="Average"/>
  </r>
  <r>
    <x v="8"/>
    <x v="20"/>
    <x v="2961"/>
    <x v="0"/>
    <s v="South Deannaside"/>
    <x v="4"/>
    <n v="40.97"/>
    <n v="97"/>
    <x v="2"/>
    <x v="2"/>
    <s v="China"/>
    <n v="186"/>
    <s v="High"/>
    <s v="Excellent"/>
  </r>
  <r>
    <x v="6"/>
    <x v="2"/>
    <x v="2962"/>
    <x v="0"/>
    <s v="South Alexanderfort"/>
    <x v="1"/>
    <n v="7.3"/>
    <n v="84"/>
    <x v="2"/>
    <x v="2"/>
    <s v="Israel, Russia"/>
    <n v="280"/>
    <s v="Low"/>
    <s v="Good"/>
  </r>
  <r>
    <x v="4"/>
    <x v="22"/>
    <x v="2963"/>
    <x v="1"/>
    <s v="Derrickview"/>
    <x v="0"/>
    <n v="33.68"/>
    <n v="69"/>
    <x v="4"/>
    <x v="0"/>
    <s v="Russia"/>
    <n v="64"/>
    <s v="Medium"/>
    <s v="Average"/>
  </r>
  <r>
    <x v="1"/>
    <x v="5"/>
    <x v="2964"/>
    <x v="1"/>
    <s v="Brandyborough"/>
    <x v="3"/>
    <n v="11.07"/>
    <n v="77"/>
    <x v="4"/>
    <x v="1"/>
    <s v="Israel, USA"/>
    <n v="36"/>
    <s v="Low"/>
    <s v="Good"/>
  </r>
  <r>
    <x v="4"/>
    <x v="9"/>
    <x v="2965"/>
    <x v="1"/>
    <s v="Matthewshire"/>
    <x v="3"/>
    <n v="42.97"/>
    <n v="75"/>
    <x v="1"/>
    <x v="0"/>
    <s v="Germany, UAE"/>
    <n v="221"/>
    <s v="High"/>
    <s v="Good"/>
  </r>
  <r>
    <x v="3"/>
    <x v="18"/>
    <x v="2966"/>
    <x v="1"/>
    <s v="Robertmouth"/>
    <x v="4"/>
    <n v="27.02"/>
    <n v="63"/>
    <x v="4"/>
    <x v="1"/>
    <s v="India"/>
    <n v="170"/>
    <s v="Medium"/>
    <s v="Average"/>
  </r>
  <r>
    <x v="3"/>
    <x v="21"/>
    <x v="2967"/>
    <x v="1"/>
    <s v="Port Hannah"/>
    <x v="1"/>
    <n v="0.82"/>
    <n v="99"/>
    <x v="4"/>
    <x v="0"/>
    <s v="France"/>
    <n v="197"/>
    <s v="Low"/>
    <s v="Excellent"/>
  </r>
  <r>
    <x v="6"/>
    <x v="16"/>
    <x v="2968"/>
    <x v="1"/>
    <s v="Elizabethberg"/>
    <x v="0"/>
    <n v="33.65"/>
    <n v="80"/>
    <x v="1"/>
    <x v="1"/>
    <s v="France, USA"/>
    <n v="43"/>
    <s v="Medium"/>
    <s v="Good"/>
  </r>
  <r>
    <x v="4"/>
    <x v="1"/>
    <x v="2969"/>
    <x v="0"/>
    <s v="Martinezbury"/>
    <x v="4"/>
    <n v="45.29"/>
    <n v="59"/>
    <x v="4"/>
    <x v="1"/>
    <s v="Japan"/>
    <n v="188"/>
    <s v="High"/>
    <s v="Average"/>
  </r>
  <r>
    <x v="9"/>
    <x v="2"/>
    <x v="2970"/>
    <x v="0"/>
    <s v="Riverashire"/>
    <x v="0"/>
    <n v="29.51"/>
    <n v="75"/>
    <x v="2"/>
    <x v="2"/>
    <s v="India, Germany, USA"/>
    <n v="212"/>
    <s v="Medium"/>
    <s v="Good"/>
  </r>
  <r>
    <x v="9"/>
    <x v="8"/>
    <x v="2971"/>
    <x v="0"/>
    <s v="West Sharonborough"/>
    <x v="0"/>
    <n v="37.64"/>
    <n v="94"/>
    <x v="1"/>
    <x v="2"/>
    <s v="Israel"/>
    <n v="251"/>
    <s v="High"/>
    <s v="Excellent"/>
  </r>
  <r>
    <x v="8"/>
    <x v="1"/>
    <x v="2972"/>
    <x v="0"/>
    <s v="West Gary"/>
    <x v="3"/>
    <n v="31.23"/>
    <n v="73"/>
    <x v="1"/>
    <x v="0"/>
    <s v="Russia, Israel, China"/>
    <n v="287"/>
    <s v="Medium"/>
    <s v="Average"/>
  </r>
  <r>
    <x v="9"/>
    <x v="18"/>
    <x v="2973"/>
    <x v="1"/>
    <s v="New Sandratown"/>
    <x v="1"/>
    <n v="18.87"/>
    <n v="51"/>
    <x v="2"/>
    <x v="0"/>
    <s v="UAE"/>
    <n v="342"/>
    <s v="Medium"/>
    <s v="Average"/>
  </r>
  <r>
    <x v="3"/>
    <x v="1"/>
    <x v="2974"/>
    <x v="1"/>
    <s v="Millerburgh"/>
    <x v="4"/>
    <n v="36.83"/>
    <n v="58"/>
    <x v="2"/>
    <x v="0"/>
    <s v="Russia, Israel, Japan"/>
    <n v="339"/>
    <s v="High"/>
    <s v="Average"/>
  </r>
  <r>
    <x v="8"/>
    <x v="12"/>
    <x v="2975"/>
    <x v="1"/>
    <s v="Rodriguezland"/>
    <x v="1"/>
    <n v="27.17"/>
    <n v="56"/>
    <x v="2"/>
    <x v="2"/>
    <s v="India, France"/>
    <n v="232"/>
    <s v="Medium"/>
    <s v="Average"/>
  </r>
  <r>
    <x v="5"/>
    <x v="19"/>
    <x v="2976"/>
    <x v="1"/>
    <s v="Port Emily"/>
    <x v="0"/>
    <n v="5.95"/>
    <n v="88"/>
    <x v="2"/>
    <x v="2"/>
    <s v="China"/>
    <n v="183"/>
    <s v="Low"/>
    <s v="Good"/>
  </r>
  <r>
    <x v="7"/>
    <x v="8"/>
    <x v="2977"/>
    <x v="1"/>
    <s v="Lake Rayberg"/>
    <x v="2"/>
    <n v="6.22"/>
    <n v="77"/>
    <x v="4"/>
    <x v="1"/>
    <s v="France, India, USA"/>
    <n v="273"/>
    <s v="Low"/>
    <s v="Good"/>
  </r>
  <r>
    <x v="4"/>
    <x v="20"/>
    <x v="2978"/>
    <x v="0"/>
    <s v="Lake Victorside"/>
    <x v="3"/>
    <n v="26.58"/>
    <n v="100"/>
    <x v="2"/>
    <x v="0"/>
    <s v="UAE, USA, India"/>
    <n v="17"/>
    <s v="Medium"/>
    <s v="Excellent"/>
  </r>
  <r>
    <x v="1"/>
    <x v="0"/>
    <x v="2979"/>
    <x v="1"/>
    <s v="Lake Jamiestad"/>
    <x v="0"/>
    <n v="5.97"/>
    <n v="60"/>
    <x v="4"/>
    <x v="1"/>
    <s v="France"/>
    <n v="150"/>
    <s v="Low"/>
    <s v="Average"/>
  </r>
  <r>
    <x v="3"/>
    <x v="14"/>
    <x v="2980"/>
    <x v="1"/>
    <s v="Ashleymouth"/>
    <x v="1"/>
    <n v="1.31"/>
    <n v="88"/>
    <x v="0"/>
    <x v="2"/>
    <s v="Israel, Germany, USA"/>
    <n v="124"/>
    <s v="Low"/>
    <s v="Good"/>
  </r>
  <r>
    <x v="6"/>
    <x v="23"/>
    <x v="2981"/>
    <x v="0"/>
    <s v="Lake Todd"/>
    <x v="2"/>
    <n v="29.2"/>
    <n v="79"/>
    <x v="2"/>
    <x v="1"/>
    <s v="UK"/>
    <n v="309"/>
    <s v="Medium"/>
    <s v="Good"/>
  </r>
  <r>
    <x v="1"/>
    <x v="2"/>
    <x v="2982"/>
    <x v="1"/>
    <s v="South Lisamouth"/>
    <x v="2"/>
    <n v="41.05"/>
    <n v="51"/>
    <x v="2"/>
    <x v="1"/>
    <s v="Russia"/>
    <n v="46"/>
    <s v="High"/>
    <s v="Average"/>
  </r>
  <r>
    <x v="7"/>
    <x v="21"/>
    <x v="2983"/>
    <x v="0"/>
    <s v="New Gregory"/>
    <x v="4"/>
    <n v="37.71"/>
    <n v="69"/>
    <x v="3"/>
    <x v="0"/>
    <s v="China, Russia, UK"/>
    <n v="152"/>
    <s v="High"/>
    <s v="Average"/>
  </r>
  <r>
    <x v="9"/>
    <x v="19"/>
    <x v="2984"/>
    <x v="0"/>
    <s v="Maryfort"/>
    <x v="4"/>
    <n v="29.1"/>
    <n v="66"/>
    <x v="4"/>
    <x v="2"/>
    <s v="France"/>
    <n v="28"/>
    <s v="Medium"/>
    <s v="Average"/>
  </r>
  <r>
    <x v="7"/>
    <x v="15"/>
    <x v="2985"/>
    <x v="1"/>
    <s v="New Wesley"/>
    <x v="2"/>
    <n v="19.920000000000002"/>
    <n v="82"/>
    <x v="0"/>
    <x v="0"/>
    <s v="Japan, China"/>
    <n v="184"/>
    <s v="Medium"/>
    <s v="Good"/>
  </r>
  <r>
    <x v="0"/>
    <x v="4"/>
    <x v="2986"/>
    <x v="1"/>
    <s v="Julieborough"/>
    <x v="0"/>
    <n v="44.5"/>
    <n v="70"/>
    <x v="4"/>
    <x v="2"/>
    <s v="USA, India"/>
    <n v="185"/>
    <s v="High"/>
    <s v="Average"/>
  </r>
  <r>
    <x v="2"/>
    <x v="0"/>
    <x v="2987"/>
    <x v="1"/>
    <s v="North Mariatown"/>
    <x v="3"/>
    <n v="3.13"/>
    <n v="97"/>
    <x v="0"/>
    <x v="1"/>
    <s v="UK, UAE"/>
    <n v="204"/>
    <s v="Low"/>
    <s v="Excellent"/>
  </r>
  <r>
    <x v="0"/>
    <x v="17"/>
    <x v="2988"/>
    <x v="1"/>
    <s v="East Vincent"/>
    <x v="1"/>
    <n v="15.99"/>
    <n v="89"/>
    <x v="1"/>
    <x v="2"/>
    <s v="UAE, France"/>
    <n v="51"/>
    <s v="Medium"/>
    <s v="Good"/>
  </r>
  <r>
    <x v="2"/>
    <x v="18"/>
    <x v="2989"/>
    <x v="0"/>
    <s v="Paceborough"/>
    <x v="2"/>
    <n v="40.25"/>
    <n v="84"/>
    <x v="2"/>
    <x v="2"/>
    <s v="Germany, Japan, UAE"/>
    <n v="305"/>
    <s v="High"/>
    <s v="Good"/>
  </r>
  <r>
    <x v="2"/>
    <x v="1"/>
    <x v="2990"/>
    <x v="0"/>
    <s v="East Elaineburgh"/>
    <x v="4"/>
    <n v="9.4499999999999993"/>
    <n v="61"/>
    <x v="3"/>
    <x v="0"/>
    <s v="Israel, USA"/>
    <n v="132"/>
    <s v="Low"/>
    <s v="Average"/>
  </r>
  <r>
    <x v="0"/>
    <x v="10"/>
    <x v="2991"/>
    <x v="0"/>
    <s v="East Shawna"/>
    <x v="1"/>
    <n v="22.11"/>
    <n v="68"/>
    <x v="3"/>
    <x v="0"/>
    <s v="Israel"/>
    <n v="338"/>
    <s v="Medium"/>
    <s v="Average"/>
  </r>
  <r>
    <x v="7"/>
    <x v="20"/>
    <x v="2992"/>
    <x v="0"/>
    <s v="Douglasborough"/>
    <x v="0"/>
    <n v="47.72"/>
    <n v="96"/>
    <x v="0"/>
    <x v="0"/>
    <s v="Germany, Israel, UK"/>
    <n v="336"/>
    <s v="High"/>
    <s v="Excellent"/>
  </r>
  <r>
    <x v="4"/>
    <x v="12"/>
    <x v="2993"/>
    <x v="1"/>
    <s v="Bellhaven"/>
    <x v="2"/>
    <n v="14.58"/>
    <n v="83"/>
    <x v="4"/>
    <x v="2"/>
    <s v="Japan, Russia, France"/>
    <n v="3"/>
    <s v="Low"/>
    <s v="Good"/>
  </r>
  <r>
    <x v="9"/>
    <x v="11"/>
    <x v="2994"/>
    <x v="0"/>
    <s v="Deniseview"/>
    <x v="2"/>
    <n v="13.69"/>
    <n v="66"/>
    <x v="1"/>
    <x v="2"/>
    <s v="UAE, India, France"/>
    <n v="339"/>
    <s v="Low"/>
    <s v="Average"/>
  </r>
  <r>
    <x v="1"/>
    <x v="8"/>
    <x v="2995"/>
    <x v="0"/>
    <s v="Port Brittany"/>
    <x v="4"/>
    <n v="20.51"/>
    <n v="95"/>
    <x v="0"/>
    <x v="0"/>
    <s v="Israel"/>
    <n v="210"/>
    <s v="Medium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7" firstHeaderRow="1" firstDataRow="1" firstDataCol="1"/>
  <pivotFields count="14">
    <pivotField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axis="axisRow" showAll="0">
      <items count="27">
        <item x="22"/>
        <item h="1" x="24"/>
        <item x="11"/>
        <item h="1" x="15"/>
        <item x="18"/>
        <item h="1" x="23"/>
        <item x="4"/>
        <item h="1" x="9"/>
        <item x="0"/>
        <item h="1" x="20"/>
        <item x="3"/>
        <item h="1" x="5"/>
        <item x="6"/>
        <item h="1" x="2"/>
        <item x="8"/>
        <item h="1" x="16"/>
        <item x="21"/>
        <item h="1" x="13"/>
        <item x="1"/>
        <item h="1" x="14"/>
        <item x="12"/>
        <item h="1" x="25"/>
        <item x="17"/>
        <item h="1" x="10"/>
        <item x="7"/>
        <item h="1"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2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  <i>
      <x v="22"/>
    </i>
    <i>
      <x v="24"/>
    </i>
    <i t="grand">
      <x/>
    </i>
  </rowItems>
  <colItems count="1">
    <i/>
  </colItems>
  <dataFields count="1">
    <dataField name="Count of Mission Name" fld="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G36:H42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2">
  <location ref="J3:K14" firstHeaderRow="1" firstDataRow="1" firstDataCol="1"/>
  <pivotFields count="14">
    <pivotField axis="axisRow"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0"/>
        <item x="4"/>
        <item x="3"/>
        <item x="1"/>
        <item x="2"/>
        <item t="default"/>
      </items>
    </pivotField>
    <pivotField showAll="0"/>
    <pivotField dataField="1" showAll="0"/>
    <pivotField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uccess Rate (%)" fld="7" subtotal="average" baseField="0" baseItem="0"/>
  </dataFields>
  <chartFormats count="4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G9:H13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G17" firstHeaderRow="0" firstDataRow="0" firstDataCol="0" rowPageCount="1" colPageCount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6:E42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ission Name"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:E14" firstHeaderRow="1" firstDataRow="1" firstDataCol="1"/>
  <pivotFields count="14">
    <pivotField axis="axisRow"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ission Name" fld="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G3:H6" firstHeaderRow="1" firstDataRow="1" firstDataCol="1"/>
  <pivotFields count="14">
    <pivotField showAll="0"/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dataField="1"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Mission Name" fld="2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6:B47" firstHeaderRow="1" firstDataRow="1" firstDataCol="1"/>
  <pivotFields count="14">
    <pivotField axis="axisRow" showAll="0">
      <items count="11">
        <item x="0"/>
        <item x="7"/>
        <item x="6"/>
        <item x="4"/>
        <item x="2"/>
        <item x="1"/>
        <item x="9"/>
        <item x="3"/>
        <item x="8"/>
        <item x="5"/>
        <item t="default"/>
      </items>
    </pivotField>
    <pivotField showAll="0">
      <items count="27">
        <item x="22"/>
        <item x="24"/>
        <item x="11"/>
        <item x="15"/>
        <item x="18"/>
        <item x="23"/>
        <item x="4"/>
        <item x="9"/>
        <item x="0"/>
        <item x="20"/>
        <item x="3"/>
        <item x="5"/>
        <item x="6"/>
        <item x="2"/>
        <item x="8"/>
        <item x="16"/>
        <item x="21"/>
        <item x="13"/>
        <item x="1"/>
        <item x="14"/>
        <item x="12"/>
        <item x="25"/>
        <item x="17"/>
        <item x="10"/>
        <item x="7"/>
        <item x="19"/>
        <item t="default"/>
      </items>
    </pivotField>
    <pivotField showAll="0">
      <items count="2997">
        <item x="259"/>
        <item x="2777"/>
        <item x="6"/>
        <item x="1340"/>
        <item x="2124"/>
        <item x="1373"/>
        <item x="2341"/>
        <item x="1076"/>
        <item x="2964"/>
        <item x="368"/>
        <item x="2512"/>
        <item x="1900"/>
        <item x="1756"/>
        <item x="313"/>
        <item x="372"/>
        <item x="1313"/>
        <item x="1030"/>
        <item x="2959"/>
        <item x="420"/>
        <item x="2472"/>
        <item x="1304"/>
        <item x="1676"/>
        <item x="2358"/>
        <item x="2417"/>
        <item x="2064"/>
        <item x="1185"/>
        <item x="36"/>
        <item x="1140"/>
        <item x="2936"/>
        <item x="1290"/>
        <item x="942"/>
        <item x="74"/>
        <item x="143"/>
        <item x="253"/>
        <item x="690"/>
        <item x="1393"/>
        <item x="444"/>
        <item x="542"/>
        <item x="2155"/>
        <item x="2415"/>
        <item x="516"/>
        <item x="452"/>
        <item x="2796"/>
        <item x="1863"/>
        <item x="1309"/>
        <item x="534"/>
        <item x="792"/>
        <item x="899"/>
        <item x="1065"/>
        <item x="959"/>
        <item x="1770"/>
        <item x="2118"/>
        <item x="1533"/>
        <item x="1294"/>
        <item x="1444"/>
        <item x="1001"/>
        <item x="906"/>
        <item x="664"/>
        <item x="273"/>
        <item x="2389"/>
        <item x="784"/>
        <item x="2291"/>
        <item x="293"/>
        <item x="2806"/>
        <item x="331"/>
        <item x="281"/>
        <item x="1395"/>
        <item x="696"/>
        <item x="506"/>
        <item x="2921"/>
        <item x="231"/>
        <item x="1201"/>
        <item x="387"/>
        <item x="2338"/>
        <item x="1358"/>
        <item x="2273"/>
        <item x="651"/>
        <item x="2110"/>
        <item x="307"/>
        <item x="973"/>
        <item x="2377"/>
        <item x="1126"/>
        <item x="1300"/>
        <item x="2133"/>
        <item x="883"/>
        <item x="2732"/>
        <item x="125"/>
        <item x="541"/>
        <item x="2189"/>
        <item x="888"/>
        <item x="2663"/>
        <item x="2263"/>
        <item x="2490"/>
        <item x="1514"/>
        <item x="1132"/>
        <item x="2080"/>
        <item x="1417"/>
        <item x="2077"/>
        <item x="220"/>
        <item x="631"/>
        <item x="1821"/>
        <item x="1901"/>
        <item x="1532"/>
        <item x="354"/>
        <item x="1614"/>
        <item x="2787"/>
        <item x="1428"/>
        <item x="766"/>
        <item x="96"/>
        <item x="442"/>
        <item x="2429"/>
        <item x="2109"/>
        <item x="1068"/>
        <item x="565"/>
        <item x="1806"/>
        <item x="521"/>
        <item x="655"/>
        <item x="828"/>
        <item x="1177"/>
        <item x="1723"/>
        <item x="119"/>
        <item x="2938"/>
        <item x="788"/>
        <item x="2985"/>
        <item x="1041"/>
        <item x="237"/>
        <item x="112"/>
        <item x="1462"/>
        <item x="2167"/>
        <item x="2477"/>
        <item x="439"/>
        <item x="2369"/>
        <item x="1045"/>
        <item x="1985"/>
        <item x="530"/>
        <item x="1312"/>
        <item x="544"/>
        <item x="338"/>
        <item x="692"/>
        <item x="2725"/>
        <item x="1869"/>
        <item x="805"/>
        <item x="1348"/>
        <item x="523"/>
        <item x="101"/>
        <item x="2303"/>
        <item x="559"/>
        <item x="1138"/>
        <item x="810"/>
        <item x="827"/>
        <item x="385"/>
        <item x="2043"/>
        <item x="1270"/>
        <item x="2617"/>
        <item x="2577"/>
        <item x="2587"/>
        <item x="1975"/>
        <item x="677"/>
        <item x="2811"/>
        <item x="890"/>
        <item x="1664"/>
        <item x="1321"/>
        <item x="965"/>
        <item x="1296"/>
        <item x="4"/>
        <item x="2607"/>
        <item x="963"/>
        <item x="1837"/>
        <item x="2703"/>
        <item x="1213"/>
        <item x="2851"/>
        <item x="2173"/>
        <item x="2592"/>
        <item x="2570"/>
        <item x="103"/>
        <item x="28"/>
        <item x="2614"/>
        <item x="257"/>
        <item x="533"/>
        <item x="2551"/>
        <item x="1098"/>
        <item x="1454"/>
        <item x="481"/>
        <item x="2483"/>
        <item x="1982"/>
        <item x="2576"/>
        <item x="727"/>
        <item x="2766"/>
        <item x="2984"/>
        <item x="1755"/>
        <item x="580"/>
        <item x="2707"/>
        <item x="503"/>
        <item x="8"/>
        <item x="760"/>
        <item x="1517"/>
        <item x="2464"/>
        <item x="40"/>
        <item x="1947"/>
        <item x="2445"/>
        <item x="1391"/>
        <item x="2733"/>
        <item x="2140"/>
        <item x="2432"/>
        <item x="1458"/>
        <item x="177"/>
        <item x="1603"/>
        <item x="1388"/>
        <item x="501"/>
        <item x="2823"/>
        <item x="2583"/>
        <item x="1374"/>
        <item x="1976"/>
        <item x="1382"/>
        <item x="1899"/>
        <item x="1647"/>
        <item x="691"/>
        <item x="2437"/>
        <item x="2819"/>
        <item x="269"/>
        <item x="2392"/>
        <item x="1483"/>
        <item x="1064"/>
        <item x="2537"/>
        <item x="404"/>
        <item x="218"/>
        <item x="132"/>
        <item x="2496"/>
        <item x="1706"/>
        <item x="1089"/>
        <item x="2108"/>
        <item x="1485"/>
        <item x="216"/>
        <item x="1710"/>
        <item x="1661"/>
        <item x="2498"/>
        <item x="2925"/>
        <item x="642"/>
        <item x="795"/>
        <item x="2059"/>
        <item x="2975"/>
        <item x="1180"/>
        <item x="656"/>
        <item x="1703"/>
        <item x="1810"/>
        <item x="2427"/>
        <item x="44"/>
        <item x="2408"/>
        <item x="2598"/>
        <item x="363"/>
        <item x="2257"/>
        <item x="2869"/>
        <item x="2083"/>
        <item x="2961"/>
        <item x="135"/>
        <item x="2519"/>
        <item x="1468"/>
        <item x="990"/>
        <item x="616"/>
        <item x="2018"/>
        <item x="955"/>
        <item x="418"/>
        <item x="1750"/>
        <item x="347"/>
        <item x="1617"/>
        <item x="2678"/>
        <item x="2717"/>
        <item x="2650"/>
        <item x="1035"/>
        <item x="1626"/>
        <item x="476"/>
        <item x="2568"/>
        <item x="880"/>
        <item x="1677"/>
        <item x="2395"/>
        <item x="1886"/>
        <item x="48"/>
        <item x="2007"/>
        <item x="1480"/>
        <item x="914"/>
        <item x="1355"/>
        <item x="2179"/>
        <item x="2775"/>
        <item x="668"/>
        <item x="1962"/>
        <item x="2262"/>
        <item x="1970"/>
        <item x="2087"/>
        <item x="341"/>
        <item x="2965"/>
        <item x="298"/>
        <item x="707"/>
        <item x="2916"/>
        <item x="1028"/>
        <item x="2463"/>
        <item x="1693"/>
        <item x="2824"/>
        <item x="291"/>
        <item x="1712"/>
        <item x="2450"/>
        <item x="1461"/>
        <item x="1122"/>
        <item x="466"/>
        <item x="2470"/>
        <item x="1788"/>
        <item x="433"/>
        <item x="2330"/>
        <item x="1637"/>
        <item x="2541"/>
        <item x="1798"/>
        <item x="2230"/>
        <item x="995"/>
        <item x="2963"/>
        <item x="1127"/>
        <item x="1894"/>
        <item x="2092"/>
        <item x="1197"/>
        <item x="1362"/>
        <item x="1992"/>
        <item x="1209"/>
        <item x="1438"/>
        <item x="2958"/>
        <item x="140"/>
        <item x="2615"/>
        <item x="2580"/>
        <item x="2523"/>
        <item x="1494"/>
        <item x="1950"/>
        <item x="2807"/>
        <item x="2104"/>
        <item x="933"/>
        <item x="2821"/>
        <item x="2852"/>
        <item x="720"/>
        <item x="2872"/>
        <item x="1921"/>
        <item x="447"/>
        <item x="2442"/>
        <item x="2973"/>
        <item x="1491"/>
        <item x="1130"/>
        <item x="2831"/>
        <item x="571"/>
        <item x="634"/>
        <item x="2430"/>
        <item x="804"/>
        <item x="980"/>
        <item x="1634"/>
        <item x="2716"/>
        <item x="2571"/>
        <item x="2822"/>
        <item x="2926"/>
        <item x="310"/>
        <item x="2877"/>
        <item x="22"/>
        <item x="1302"/>
        <item x="1763"/>
        <item x="198"/>
        <item x="1061"/>
        <item x="1861"/>
        <item x="255"/>
        <item x="2982"/>
        <item x="2794"/>
        <item x="9"/>
        <item x="482"/>
        <item x="2646"/>
        <item x="740"/>
        <item x="876"/>
        <item x="2605"/>
        <item x="2014"/>
        <item x="2393"/>
        <item x="1093"/>
        <item x="2238"/>
        <item x="2400"/>
        <item x="937"/>
        <item x="2922"/>
        <item x="2514"/>
        <item x="2540"/>
        <item x="1662"/>
        <item x="2157"/>
        <item x="730"/>
        <item x="2331"/>
        <item x="1987"/>
        <item x="1999"/>
        <item x="1566"/>
        <item x="511"/>
        <item x="968"/>
        <item x="360"/>
        <item x="2075"/>
        <item x="1179"/>
        <item x="657"/>
        <item x="318"/>
        <item x="2346"/>
        <item x="2889"/>
        <item x="470"/>
        <item x="1239"/>
        <item x="2778"/>
        <item x="1883"/>
        <item x="176"/>
        <item x="2302"/>
        <item x="1070"/>
        <item x="2841"/>
        <item x="637"/>
        <item x="2913"/>
        <item x="1055"/>
        <item x="2683"/>
        <item x="1629"/>
        <item x="1761"/>
        <item x="2659"/>
        <item x="186"/>
        <item x="2411"/>
        <item x="2562"/>
        <item x="87"/>
        <item x="2405"/>
        <item x="1396"/>
        <item x="248"/>
        <item x="2723"/>
        <item x="1086"/>
        <item x="1521"/>
        <item x="2693"/>
        <item x="578"/>
        <item x="744"/>
        <item x="204"/>
        <item x="1774"/>
        <item x="865"/>
        <item x="1129"/>
        <item x="450"/>
        <item x="1831"/>
        <item x="846"/>
        <item x="2954"/>
        <item x="2931"/>
        <item x="2555"/>
        <item x="2089"/>
        <item x="985"/>
        <item x="2485"/>
        <item x="2623"/>
        <item x="429"/>
        <item x="2259"/>
        <item x="1349"/>
        <item x="1165"/>
        <item x="2186"/>
        <item x="1912"/>
        <item x="2056"/>
        <item x="1815"/>
        <item x="1719"/>
        <item x="2898"/>
        <item x="2914"/>
        <item x="386"/>
        <item x="2304"/>
        <item x="436"/>
        <item x="816"/>
        <item x="2006"/>
        <item x="741"/>
        <item x="1385"/>
        <item x="2434"/>
        <item x="2711"/>
        <item x="1546"/>
        <item x="1525"/>
        <item x="2554"/>
        <item x="2567"/>
        <item x="1027"/>
        <item x="2535"/>
        <item x="2529"/>
        <item x="2011"/>
        <item x="2956"/>
        <item x="1512"/>
        <item x="785"/>
        <item x="1350"/>
        <item x="353"/>
        <item x="2256"/>
        <item x="2747"/>
        <item x="1024"/>
        <item x="1816"/>
        <item x="53"/>
        <item x="348"/>
        <item x="330"/>
        <item x="1040"/>
        <item x="1173"/>
        <item x="1083"/>
        <item x="2853"/>
        <item x="1291"/>
        <item x="381"/>
        <item x="2783"/>
        <item x="496"/>
        <item x="752"/>
        <item x="2039"/>
        <item x="1790"/>
        <item x="2526"/>
        <item x="1463"/>
        <item x="597"/>
        <item x="976"/>
        <item x="1592"/>
        <item x="1764"/>
        <item x="935"/>
        <item x="2664"/>
        <item x="647"/>
        <item x="2643"/>
        <item x="2439"/>
        <item x="839"/>
        <item x="1589"/>
        <item x="1665"/>
        <item x="182"/>
        <item x="2100"/>
        <item x="1447"/>
        <item x="2208"/>
        <item x="1542"/>
        <item x="2176"/>
        <item x="42"/>
        <item x="1762"/>
        <item x="2797"/>
        <item x="200"/>
        <item x="2627"/>
        <item x="2013"/>
        <item x="2918"/>
        <item x="710"/>
        <item x="2694"/>
        <item x="2742"/>
        <item x="2172"/>
        <item x="992"/>
        <item x="2630"/>
        <item x="1701"/>
        <item x="1934"/>
        <item x="328"/>
        <item x="1082"/>
        <item x="2502"/>
        <item x="1943"/>
        <item x="284"/>
        <item x="2113"/>
        <item x="1078"/>
        <item x="256"/>
        <item x="2612"/>
        <item x="1336"/>
        <item x="2163"/>
        <item x="2194"/>
        <item x="566"/>
        <item x="2371"/>
        <item x="1892"/>
        <item x="770"/>
        <item x="2354"/>
        <item x="1642"/>
        <item x="884"/>
        <item x="1343"/>
        <item x="369"/>
        <item x="24"/>
        <item x="2924"/>
        <item x="362"/>
        <item x="971"/>
        <item x="2352"/>
        <item x="2320"/>
        <item x="2096"/>
        <item x="2368"/>
        <item x="2474"/>
        <item x="1085"/>
        <item x="834"/>
        <item x="319"/>
        <item x="2156"/>
        <item x="427"/>
        <item x="1623"/>
        <item x="856"/>
        <item x="1406"/>
        <item x="969"/>
        <item x="188"/>
        <item x="2032"/>
        <item x="2420"/>
        <item x="529"/>
        <item x="2136"/>
        <item x="1913"/>
        <item x="507"/>
        <item x="434"/>
        <item x="1951"/>
        <item x="117"/>
        <item x="708"/>
        <item x="1649"/>
        <item x="1574"/>
        <item x="946"/>
        <item x="1280"/>
        <item x="2187"/>
        <item x="400"/>
        <item x="602"/>
        <item x="833"/>
        <item x="2258"/>
        <item x="1852"/>
        <item x="2235"/>
        <item x="2090"/>
        <item x="1817"/>
        <item x="471"/>
        <item x="1401"/>
        <item x="1594"/>
        <item x="2899"/>
        <item x="2521"/>
        <item x="2396"/>
        <item x="2002"/>
        <item x="1682"/>
        <item x="2473"/>
        <item x="2313"/>
        <item x="808"/>
        <item x="1530"/>
        <item x="2737"/>
        <item x="939"/>
        <item x="2888"/>
        <item x="2282"/>
        <item x="17"/>
        <item x="1903"/>
        <item x="2906"/>
        <item x="1364"/>
        <item x="638"/>
        <item x="1048"/>
        <item x="2078"/>
        <item x="1408"/>
        <item x="408"/>
        <item x="2713"/>
        <item x="2359"/>
        <item x="2008"/>
        <item x="1088"/>
        <item x="59"/>
        <item x="1283"/>
        <item x="2446"/>
        <item x="2774"/>
        <item x="2722"/>
        <item x="557"/>
        <item x="735"/>
        <item x="343"/>
        <item x="2201"/>
        <item x="1009"/>
        <item x="2863"/>
        <item x="2706"/>
        <item x="2674"/>
        <item x="913"/>
        <item x="592"/>
        <item x="45"/>
        <item x="1200"/>
        <item x="1246"/>
        <item x="2334"/>
        <item x="465"/>
        <item x="1022"/>
        <item x="1757"/>
        <item x="1773"/>
        <item x="838"/>
        <item x="753"/>
        <item x="1781"/>
        <item x="2234"/>
        <item x="663"/>
        <item x="962"/>
        <item x="739"/>
        <item x="829"/>
        <item x="2651"/>
        <item x="1760"/>
        <item x="800"/>
        <item x="106"/>
        <item x="1436"/>
        <item x="480"/>
        <item x="2812"/>
        <item x="950"/>
        <item x="88"/>
        <item x="1606"/>
        <item x="1193"/>
        <item x="617"/>
        <item x="1720"/>
        <item x="1102"/>
        <item x="2255"/>
        <item x="260"/>
        <item x="449"/>
        <item x="2021"/>
        <item x="1717"/>
        <item x="1667"/>
        <item x="2085"/>
        <item x="1633"/>
        <item x="873"/>
        <item x="666"/>
        <item x="1800"/>
        <item x="2151"/>
        <item x="570"/>
        <item x="1651"/>
        <item x="2114"/>
        <item x="1616"/>
        <item x="2316"/>
        <item x="2795"/>
        <item x="2277"/>
        <item x="290"/>
        <item x="2197"/>
        <item x="127"/>
        <item x="249"/>
        <item x="761"/>
        <item x="2753"/>
        <item x="2543"/>
        <item x="1732"/>
        <item x="68"/>
        <item x="212"/>
        <item x="2951"/>
        <item x="1559"/>
        <item x="643"/>
        <item x="1604"/>
        <item x="947"/>
        <item x="1996"/>
        <item x="358"/>
        <item x="5"/>
        <item x="2306"/>
        <item x="397"/>
        <item x="1650"/>
        <item x="2696"/>
        <item x="2098"/>
        <item x="2838"/>
        <item x="2000"/>
        <item x="1711"/>
        <item x="515"/>
        <item x="2867"/>
        <item x="636"/>
        <item x="38"/>
        <item x="2735"/>
        <item x="1133"/>
        <item x="948"/>
        <item x="886"/>
        <item x="1176"/>
        <item x="1421"/>
        <item x="2843"/>
        <item x="1135"/>
        <item x="2776"/>
        <item x="492"/>
        <item x="2348"/>
        <item x="1182"/>
        <item x="438"/>
        <item x="614"/>
        <item x="1745"/>
        <item x="2539"/>
        <item x="234"/>
        <item x="999"/>
        <item x="1058"/>
        <item x="1324"/>
        <item x="1143"/>
        <item x="1851"/>
        <item x="2542"/>
        <item x="1715"/>
        <item x="1722"/>
        <item x="925"/>
        <item x="2834"/>
        <item x="244"/>
        <item x="1684"/>
        <item x="860"/>
        <item x="1870"/>
        <item x="2741"/>
        <item x="1289"/>
        <item x="336"/>
        <item x="1023"/>
        <item x="2699"/>
        <item x="15"/>
        <item x="1506"/>
        <item x="595"/>
        <item x="2780"/>
        <item x="2119"/>
        <item x="2207"/>
        <item x="1011"/>
        <item x="2983"/>
        <item x="171"/>
        <item x="2900"/>
        <item x="2595"/>
        <item x="2849"/>
        <item x="1229"/>
        <item x="239"/>
        <item x="2088"/>
        <item x="605"/>
        <item x="2635"/>
        <item x="2165"/>
        <item x="1791"/>
        <item x="2465"/>
        <item x="724"/>
        <item x="288"/>
        <item x="2322"/>
        <item x="1735"/>
        <item x="1925"/>
        <item x="2101"/>
        <item x="2170"/>
        <item x="619"/>
        <item x="2413"/>
        <item x="2697"/>
        <item x="1071"/>
        <item x="1547"/>
        <item x="1119"/>
        <item x="624"/>
        <item x="1582"/>
        <item x="146"/>
        <item x="2353"/>
        <item x="224"/>
        <item x="2686"/>
        <item x="694"/>
        <item x="2270"/>
        <item x="1352"/>
        <item x="34"/>
        <item x="1199"/>
        <item x="2310"/>
        <item x="283"/>
        <item x="822"/>
        <item x="95"/>
        <item x="128"/>
        <item x="21"/>
        <item x="1402"/>
        <item x="712"/>
        <item x="1156"/>
        <item x="1215"/>
        <item x="762"/>
        <item x="2601"/>
        <item x="555"/>
        <item x="561"/>
        <item x="1365"/>
        <item x="1460"/>
        <item x="996"/>
        <item x="2225"/>
        <item x="390"/>
        <item x="1928"/>
        <item x="289"/>
        <item x="2449"/>
        <item x="430"/>
        <item x="2033"/>
        <item x="25"/>
        <item x="2639"/>
        <item x="2976"/>
        <item x="1347"/>
        <item x="907"/>
        <item x="2127"/>
        <item x="325"/>
        <item x="453"/>
        <item x="2636"/>
        <item x="665"/>
        <item x="711"/>
        <item x="233"/>
        <item x="977"/>
        <item x="2656"/>
        <item x="1939"/>
        <item x="1159"/>
        <item x="1054"/>
        <item x="1548"/>
        <item x="2919"/>
        <item x="790"/>
        <item x="468"/>
        <item x="1683"/>
        <item x="1248"/>
        <item x="2552"/>
        <item x="271"/>
        <item x="2280"/>
        <item x="918"/>
        <item x="79"/>
        <item x="1432"/>
        <item x="111"/>
        <item x="2079"/>
        <item x="2265"/>
        <item x="2882"/>
        <item x="2501"/>
        <item x="1260"/>
        <item x="1381"/>
        <item x="558"/>
        <item x="2947"/>
        <item x="1306"/>
        <item x="1909"/>
        <item x="1652"/>
        <item x="676"/>
        <item x="2142"/>
        <item x="847"/>
        <item x="1658"/>
        <item x="1407"/>
        <item x="1875"/>
        <item x="2805"/>
        <item x="1420"/>
        <item x="316"/>
        <item x="537"/>
        <item x="2422"/>
        <item x="1576"/>
        <item x="1853"/>
        <item x="2296"/>
        <item x="2287"/>
        <item x="2272"/>
        <item x="2971"/>
        <item x="376"/>
        <item x="620"/>
        <item x="1245"/>
        <item x="823"/>
        <item x="1696"/>
        <item x="2192"/>
        <item x="2375"/>
        <item x="2835"/>
        <item x="2569"/>
        <item x="1891"/>
        <item x="424"/>
        <item x="1945"/>
        <item x="2631"/>
        <item x="232"/>
        <item x="2993"/>
        <item x="2558"/>
        <item x="2017"/>
        <item x="35"/>
        <item x="445"/>
        <item x="357"/>
        <item x="2370"/>
        <item x="2128"/>
        <item x="2401"/>
        <item x="1813"/>
        <item x="1556"/>
        <item x="295"/>
        <item x="2770"/>
        <item x="1906"/>
        <item x="2507"/>
        <item x="1174"/>
        <item x="2600"/>
        <item x="1315"/>
        <item x="326"/>
        <item x="1984"/>
        <item x="2111"/>
        <item x="1805"/>
        <item x="1139"/>
        <item x="2347"/>
        <item x="1375"/>
        <item x="2134"/>
        <item x="2447"/>
        <item x="588"/>
        <item x="509"/>
        <item x="1136"/>
        <item x="1257"/>
        <item x="2799"/>
        <item x="90"/>
        <item x="2251"/>
        <item x="2308"/>
        <item x="2752"/>
        <item x="2099"/>
        <item x="2654"/>
        <item x="2250"/>
        <item x="350"/>
        <item x="1152"/>
        <item x="546"/>
        <item x="1292"/>
        <item x="1588"/>
        <item x="2560"/>
        <item x="69"/>
        <item x="1775"/>
        <item x="64"/>
        <item x="954"/>
        <item x="851"/>
        <item x="29"/>
        <item x="877"/>
        <item x="1216"/>
        <item x="987"/>
        <item x="2475"/>
        <item x="1575"/>
        <item x="2454"/>
        <item x="2929"/>
        <item x="329"/>
        <item x="2704"/>
        <item x="2044"/>
        <item x="1319"/>
        <item x="2948"/>
        <item x="1529"/>
        <item x="993"/>
        <item x="1386"/>
        <item x="428"/>
        <item x="2885"/>
        <item x="1383"/>
        <item x="857"/>
        <item x="563"/>
        <item x="1714"/>
        <item x="83"/>
        <item x="1031"/>
        <item x="1930"/>
        <item x="2335"/>
        <item x="644"/>
        <item x="1368"/>
        <item x="2046"/>
        <item x="1753"/>
        <item x="275"/>
        <item x="875"/>
        <item x="334"/>
        <item x="2881"/>
        <item x="1702"/>
        <item x="604"/>
        <item x="2624"/>
        <item x="910"/>
        <item x="1527"/>
        <item x="2868"/>
        <item x="574"/>
        <item x="2222"/>
        <item x="1370"/>
        <item x="1792"/>
        <item x="1539"/>
        <item x="1725"/>
        <item x="1307"/>
        <item x="178"/>
        <item x="2789"/>
        <item x="1351"/>
        <item x="214"/>
        <item x="2183"/>
        <item x="944"/>
        <item x="1206"/>
        <item x="1690"/>
        <item x="1233"/>
        <item x="1673"/>
        <item x="756"/>
        <item x="1207"/>
        <item x="1846"/>
        <item x="1211"/>
        <item x="881"/>
        <item x="1625"/>
        <item x="1927"/>
        <item x="943"/>
        <item x="1878"/>
        <item x="2261"/>
        <item x="2476"/>
        <item x="1077"/>
        <item x="2608"/>
        <item x="1046"/>
        <item x="425"/>
        <item x="2219"/>
        <item x="2202"/>
        <item x="952"/>
        <item x="1876"/>
        <item x="1042"/>
        <item x="2944"/>
        <item x="2001"/>
        <item x="1503"/>
        <item x="2213"/>
        <item x="1241"/>
        <item x="2457"/>
        <item x="1003"/>
        <item x="1160"/>
        <item x="1369"/>
        <item x="355"/>
        <item x="1416"/>
        <item x="2858"/>
        <item x="1337"/>
        <item x="1455"/>
        <item x="1037"/>
        <item x="1884"/>
        <item x="731"/>
        <item x="413"/>
        <item x="1784"/>
        <item x="698"/>
        <item x="1515"/>
        <item x="831"/>
        <item x="2538"/>
        <item x="2574"/>
        <item x="305"/>
        <item x="2478"/>
        <item x="488"/>
        <item x="252"/>
        <item x="1944"/>
        <item x="91"/>
        <item x="58"/>
        <item x="1038"/>
        <item x="970"/>
        <item x="2055"/>
        <item x="1478"/>
        <item x="1820"/>
        <item x="859"/>
        <item x="1029"/>
        <item x="163"/>
        <item x="196"/>
        <item x="2832"/>
        <item x="417"/>
        <item x="782"/>
        <item x="440"/>
        <item x="1535"/>
        <item x="778"/>
        <item x="603"/>
        <item x="2071"/>
        <item x="1953"/>
        <item x="2402"/>
        <item x="1377"/>
        <item x="2727"/>
        <item x="1840"/>
        <item x="512"/>
        <item x="2143"/>
        <item x="152"/>
        <item x="855"/>
        <item x="210"/>
        <item x="1459"/>
        <item x="2025"/>
        <item x="270"/>
        <item x="649"/>
        <item x="2855"/>
        <item x="1397"/>
        <item x="1854"/>
        <item x="519"/>
        <item x="1465"/>
        <item x="2791"/>
        <item x="1778"/>
        <item x="2604"/>
        <item x="1268"/>
        <item x="1929"/>
        <item x="142"/>
        <item x="1467"/>
        <item x="2024"/>
        <item x="660"/>
        <item x="2356"/>
        <item x="1550"/>
        <item x="671"/>
        <item x="3"/>
        <item x="2757"/>
        <item x="324"/>
        <item x="814"/>
        <item x="2094"/>
        <item x="1171"/>
        <item x="2769"/>
        <item x="2561"/>
        <item x="2218"/>
        <item x="2928"/>
        <item x="1272"/>
        <item x="2680"/>
        <item x="1148"/>
        <item x="908"/>
        <item x="2482"/>
        <item x="2839"/>
        <item x="191"/>
        <item x="205"/>
        <item x="2362"/>
        <item x="1868"/>
        <item x="493"/>
        <item x="733"/>
        <item x="1284"/>
        <item x="2227"/>
        <item x="1857"/>
        <item x="1920"/>
        <item x="982"/>
        <item x="2891"/>
        <item x="716"/>
        <item x="2205"/>
        <item x="1366"/>
        <item x="1738"/>
        <item x="1073"/>
        <item x="2229"/>
        <item x="849"/>
        <item x="1602"/>
        <item x="1250"/>
        <item x="1339"/>
        <item x="2412"/>
        <item x="680"/>
        <item x="2632"/>
        <item x="2800"/>
        <item x="2115"/>
        <item x="2594"/>
        <item x="1232"/>
        <item x="1769"/>
        <item x="1845"/>
        <item x="458"/>
        <item x="922"/>
        <item x="989"/>
        <item x="2508"/>
        <item x="1488"/>
        <item x="491"/>
        <item x="1310"/>
        <item x="1002"/>
        <item x="1399"/>
        <item x="1811"/>
        <item x="2385"/>
        <item x="1895"/>
        <item x="60"/>
        <item x="2279"/>
        <item x="2244"/>
        <item x="687"/>
        <item x="2937"/>
        <item x="1663"/>
        <item x="37"/>
        <item x="2441"/>
        <item x="1568"/>
        <item x="2895"/>
        <item x="1685"/>
        <item x="1493"/>
        <item x="383"/>
        <item x="2384"/>
        <item x="199"/>
        <item x="2188"/>
        <item x="1427"/>
        <item x="1389"/>
        <item x="780"/>
        <item x="342"/>
        <item x="2012"/>
        <item x="267"/>
        <item x="1993"/>
        <item x="1111"/>
        <item x="2658"/>
        <item x="1026"/>
        <item x="294"/>
        <item x="2905"/>
        <item x="621"/>
        <item x="1786"/>
        <item x="102"/>
        <item x="1691"/>
        <item x="50"/>
        <item x="896"/>
        <item x="1240"/>
        <item x="2621"/>
        <item x="1265"/>
        <item x="2520"/>
        <item x="7"/>
        <item x="11"/>
        <item x="2328"/>
        <item x="774"/>
        <item x="72"/>
        <item x="1218"/>
        <item x="715"/>
        <item x="1378"/>
        <item x="414"/>
        <item x="1808"/>
        <item x="1479"/>
        <item x="951"/>
        <item x="100"/>
        <item x="765"/>
        <item x="684"/>
        <item x="455"/>
        <item x="997"/>
        <item x="2803"/>
        <item x="628"/>
        <item x="2563"/>
        <item x="882"/>
        <item x="2469"/>
        <item x="2628"/>
        <item x="243"/>
        <item x="16"/>
        <item x="2380"/>
        <item x="2036"/>
        <item x="1850"/>
        <item x="1225"/>
        <item x="1107"/>
        <item x="250"/>
        <item x="474"/>
        <item x="2035"/>
        <item x="1758"/>
        <item x="732"/>
        <item x="2285"/>
        <item x="315"/>
        <item x="2743"/>
        <item x="1654"/>
        <item x="612"/>
        <item x="801"/>
        <item x="1475"/>
        <item x="185"/>
        <item x="1080"/>
        <item x="278"/>
        <item x="2210"/>
        <item x="1729"/>
        <item x="183"/>
        <item x="1227"/>
        <item x="2248"/>
        <item x="887"/>
        <item x="1325"/>
        <item x="441"/>
        <item x="2908"/>
        <item x="1991"/>
        <item x="1803"/>
        <item x="1669"/>
        <item x="1922"/>
        <item x="994"/>
        <item x="1700"/>
        <item x="2215"/>
        <item x="184"/>
        <item x="1739"/>
        <item x="2647"/>
        <item x="701"/>
        <item x="2702"/>
        <item x="2661"/>
        <item x="2857"/>
        <item x="2897"/>
        <item x="608"/>
        <item x="1833"/>
        <item x="2620"/>
        <item x="931"/>
        <item x="564"/>
        <item x="1244"/>
        <item x="394"/>
        <item x="2252"/>
        <item x="421"/>
        <item x="2705"/>
        <item x="1898"/>
        <item x="2772"/>
        <item x="1153"/>
        <item x="99"/>
        <item x="126"/>
        <item x="2826"/>
        <item x="2351"/>
        <item x="2966"/>
        <item x="1116"/>
        <item x="513"/>
        <item x="1954"/>
        <item x="2468"/>
        <item x="874"/>
        <item x="912"/>
        <item x="2773"/>
        <item x="265"/>
        <item x="57"/>
        <item x="652"/>
        <item x="2677"/>
        <item x="1157"/>
        <item x="1109"/>
        <item x="2269"/>
        <item x="1252"/>
        <item x="1569"/>
        <item x="1267"/>
        <item x="2086"/>
        <item x="1593"/>
        <item x="1016"/>
        <item x="2734"/>
        <item x="51"/>
        <item x="55"/>
        <item x="984"/>
        <item x="1772"/>
        <item x="1751"/>
        <item x="2196"/>
        <item x="699"/>
        <item x="1094"/>
        <item x="1015"/>
        <item x="1079"/>
        <item x="130"/>
        <item x="2452"/>
        <item x="1825"/>
        <item x="2241"/>
        <item x="1457"/>
        <item x="577"/>
        <item x="2455"/>
        <item x="1141"/>
        <item x="245"/>
        <item x="1793"/>
        <item x="1681"/>
        <item x="772"/>
        <item x="1752"/>
        <item x="1931"/>
        <item x="1797"/>
        <item x="1090"/>
        <item x="2556"/>
        <item x="1224"/>
        <item x="1170"/>
        <item x="1198"/>
        <item x="460"/>
        <item x="2414"/>
        <item x="2200"/>
        <item x="1063"/>
        <item x="924"/>
        <item x="116"/>
        <item x="1635"/>
        <item x="1504"/>
        <item x="1660"/>
        <item x="77"/>
        <item x="1866"/>
        <item x="1830"/>
        <item x="2332"/>
        <item x="2161"/>
        <item x="1322"/>
        <item x="365"/>
        <item x="2253"/>
        <item x="750"/>
        <item x="80"/>
        <item x="2245"/>
        <item x="2247"/>
        <item x="1398"/>
        <item x="2068"/>
        <item x="2793"/>
        <item x="2254"/>
        <item x="508"/>
        <item x="1823"/>
        <item x="2768"/>
        <item x="1501"/>
        <item x="129"/>
        <item x="2740"/>
        <item x="1497"/>
        <item x="504"/>
        <item x="2972"/>
        <item x="2792"/>
        <item x="2116"/>
        <item x="2901"/>
        <item x="2779"/>
        <item x="2290"/>
        <item x="1679"/>
        <item x="1590"/>
        <item x="1855"/>
        <item x="464"/>
        <item x="2224"/>
        <item x="598"/>
        <item x="396"/>
        <item x="1782"/>
        <item x="54"/>
        <item x="160"/>
        <item x="2804"/>
        <item x="115"/>
        <item x="2817"/>
        <item x="2575"/>
        <item x="2856"/>
        <item x="2801"/>
        <item x="2989"/>
        <item x="1796"/>
        <item x="2307"/>
        <item x="902"/>
        <item x="2942"/>
        <item x="1619"/>
        <item x="871"/>
        <item x="2102"/>
        <item x="2750"/>
        <item x="567"/>
        <item x="703"/>
        <item x="2249"/>
        <item x="1873"/>
        <item x="2591"/>
        <item x="2862"/>
        <item x="556"/>
        <item x="1879"/>
        <item x="2141"/>
        <item x="320"/>
        <item x="1917"/>
        <item x="2748"/>
        <item x="2559"/>
        <item x="1543"/>
        <item x="1570"/>
        <item x="2466"/>
        <item x="1687"/>
        <item x="1231"/>
        <item x="467"/>
        <item x="1161"/>
        <item x="1812"/>
        <item x="670"/>
        <item x="911"/>
        <item x="2986"/>
        <item x="364"/>
        <item x="2633"/>
        <item x="2387"/>
        <item x="1957"/>
        <item x="2932"/>
        <item x="2588"/>
        <item x="279"/>
        <item x="2293"/>
        <item x="1187"/>
        <item x="520"/>
        <item x="2527"/>
        <item x="1737"/>
        <item x="2488"/>
        <item x="897"/>
        <item x="1995"/>
        <item x="1914"/>
        <item x="2818"/>
        <item x="2516"/>
        <item x="2685"/>
        <item x="1286"/>
        <item x="1146"/>
        <item x="1237"/>
        <item x="583"/>
        <item x="166"/>
        <item x="826"/>
        <item x="1025"/>
        <item x="1320"/>
        <item x="2950"/>
        <item x="868"/>
        <item x="457"/>
        <item x="1630"/>
        <item x="953"/>
        <item x="1904"/>
        <item x="1516"/>
        <item x="2152"/>
        <item x="1274"/>
        <item x="1110"/>
        <item x="693"/>
        <item x="1338"/>
        <item x="2407"/>
        <item x="2525"/>
        <item x="2865"/>
        <item x="1288"/>
        <item x="2934"/>
        <item x="2214"/>
        <item x="1235"/>
        <item x="2597"/>
        <item x="1019"/>
        <item x="2730"/>
        <item x="1449"/>
        <item x="2668"/>
        <item x="392"/>
        <item x="1897"/>
        <item x="122"/>
        <item x="1329"/>
        <item x="499"/>
        <item x="940"/>
        <item x="1502"/>
        <item x="2691"/>
        <item x="1059"/>
        <item x="219"/>
        <item x="2715"/>
        <item x="156"/>
        <item x="585"/>
        <item x="1500"/>
        <item x="550"/>
        <item x="1834"/>
        <item x="844"/>
        <item x="1371"/>
        <item x="1114"/>
        <item x="1221"/>
        <item x="2050"/>
        <item x="2274"/>
        <item x="1134"/>
        <item x="104"/>
        <item x="1477"/>
        <item x="1214"/>
        <item x="2195"/>
        <item x="2875"/>
        <item x="1400"/>
        <item x="2388"/>
        <item x="1256"/>
        <item x="610"/>
        <item x="2266"/>
        <item x="540"/>
        <item x="1709"/>
        <item x="1918"/>
        <item x="1105"/>
        <item x="2436"/>
        <item x="1101"/>
        <item x="630"/>
        <item x="2239"/>
        <item x="527"/>
        <item x="1275"/>
        <item x="2063"/>
        <item x="203"/>
        <item x="1809"/>
        <item x="2884"/>
        <item x="525"/>
        <item x="723"/>
        <item x="159"/>
        <item x="2878"/>
        <item x="2837"/>
        <item x="2850"/>
        <item x="2009"/>
        <item x="241"/>
        <item x="1979"/>
        <item x="2763"/>
        <item x="869"/>
        <item x="812"/>
        <item x="1653"/>
        <item x="1403"/>
        <item x="2871"/>
        <item x="539"/>
        <item x="167"/>
        <item x="2662"/>
        <item x="1498"/>
        <item x="1442"/>
        <item x="2144"/>
        <item x="528"/>
        <item x="702"/>
        <item x="891"/>
        <item x="2545"/>
        <item x="2887"/>
        <item x="168"/>
        <item x="1440"/>
        <item x="1473"/>
        <item x="82"/>
        <item x="1555"/>
        <item x="1251"/>
        <item x="2671"/>
        <item x="1680"/>
        <item x="1361"/>
        <item x="2761"/>
        <item x="2589"/>
        <item x="590"/>
        <item x="1678"/>
        <item x="2289"/>
        <item x="2204"/>
        <item x="747"/>
        <item x="2355"/>
        <item x="1721"/>
        <item x="1505"/>
        <item x="893"/>
        <item x="2212"/>
        <item x="615"/>
        <item x="1259"/>
        <item x="2106"/>
        <item x="2669"/>
        <item x="2546"/>
        <item x="2810"/>
        <item x="2515"/>
        <item x="640"/>
        <item x="105"/>
        <item x="1183"/>
        <item x="407"/>
        <item x="1482"/>
        <item x="2363"/>
        <item x="2132"/>
        <item x="2399"/>
        <item x="2653"/>
        <item x="1997"/>
        <item x="2223"/>
        <item x="2709"/>
        <item x="1847"/>
        <item x="207"/>
        <item x="771"/>
        <item x="2297"/>
        <item x="622"/>
        <item x="579"/>
        <item x="1624"/>
        <item x="2386"/>
        <item x="1545"/>
        <item x="39"/>
        <item x="432"/>
        <item x="1164"/>
        <item x="297"/>
        <item x="2581"/>
        <item x="2154"/>
        <item x="2410"/>
        <item x="1596"/>
        <item x="2517"/>
        <item x="1219"/>
        <item x="1509"/>
        <item x="2687"/>
        <item x="1113"/>
        <item x="33"/>
        <item x="1955"/>
        <item x="1384"/>
        <item x="536"/>
        <item x="938"/>
        <item x="1074"/>
        <item x="1689"/>
        <item x="1376"/>
        <item x="321"/>
        <item x="2318"/>
        <item x="2994"/>
        <item x="654"/>
        <item x="2613"/>
        <item x="2031"/>
        <item x="2231"/>
        <item x="1423"/>
        <item x="2813"/>
        <item x="738"/>
        <item x="728"/>
        <item x="2327"/>
        <item x="554"/>
        <item x="2749"/>
        <item x="2022"/>
        <item x="1303"/>
        <item x="1333"/>
        <item x="2736"/>
        <item x="852"/>
        <item x="1190"/>
        <item x="2162"/>
        <item x="806"/>
        <item x="2305"/>
        <item x="830"/>
        <item x="351"/>
        <item x="215"/>
        <item x="2698"/>
        <item x="2357"/>
        <item x="473"/>
        <item x="263"/>
        <item x="1238"/>
        <item x="1120"/>
        <item x="1743"/>
        <item x="1415"/>
        <item x="1848"/>
        <item x="1404"/>
        <item x="1591"/>
        <item x="1554"/>
        <item x="1380"/>
        <item x="632"/>
        <item x="2093"/>
        <item x="1697"/>
        <item x="469"/>
        <item x="1439"/>
        <item x="190"/>
        <item x="401"/>
        <item x="2041"/>
        <item x="246"/>
        <item x="1860"/>
        <item x="1247"/>
        <item x="2695"/>
        <item x="1807"/>
        <item x="1540"/>
        <item x="949"/>
        <item x="1730"/>
        <item x="2641"/>
        <item x="222"/>
        <item x="2185"/>
        <item x="2148"/>
        <item x="2237"/>
        <item x="174"/>
        <item x="1731"/>
        <item x="30"/>
        <item x="378"/>
        <item x="388"/>
        <item x="2890"/>
        <item x="1688"/>
        <item x="423"/>
        <item x="1342"/>
        <item x="2095"/>
        <item x="2037"/>
        <item x="775"/>
        <item x="779"/>
        <item x="164"/>
        <item x="65"/>
        <item x="1006"/>
        <item x="2721"/>
        <item x="1902"/>
        <item x="2112"/>
        <item x="2573"/>
        <item x="1147"/>
        <item x="2137"/>
        <item x="2220"/>
        <item x="1573"/>
        <item x="134"/>
        <item x="584"/>
        <item x="1522"/>
        <item x="235"/>
        <item x="2003"/>
        <item x="2015"/>
        <item x="1528"/>
        <item x="2859"/>
        <item x="206"/>
        <item x="1968"/>
        <item x="138"/>
        <item x="73"/>
        <item x="960"/>
        <item x="2382"/>
        <item x="1426"/>
        <item x="825"/>
        <item x="312"/>
        <item x="2549"/>
        <item x="2480"/>
        <item x="1657"/>
        <item x="783"/>
        <item x="2314"/>
        <item x="809"/>
        <item x="2814"/>
        <item x="1039"/>
        <item x="1865"/>
        <item x="2667"/>
        <item x="901"/>
        <item x="748"/>
        <item x="1430"/>
        <item x="1534"/>
        <item x="2076"/>
        <item x="2968"/>
        <item x="2771"/>
        <item x="2309"/>
        <item x="2147"/>
        <item x="1789"/>
        <item x="594"/>
        <item x="356"/>
        <item x="2107"/>
        <item x="966"/>
        <item x="1609"/>
        <item x="18"/>
        <item x="1538"/>
        <item x="2845"/>
        <item x="1814"/>
        <item x="1295"/>
        <item x="2645"/>
        <item x="1640"/>
        <item x="2842"/>
        <item x="1000"/>
        <item x="2184"/>
        <item x="2047"/>
        <item x="2216"/>
        <item x="2456"/>
        <item x="1411"/>
        <item x="1210"/>
        <item x="359"/>
        <item x="1191"/>
        <item x="1308"/>
        <item x="1518"/>
        <item x="2724"/>
        <item x="2610"/>
        <item x="1965"/>
        <item x="964"/>
        <item x="2616"/>
        <item x="706"/>
        <item x="1615"/>
        <item x="2893"/>
        <item x="221"/>
        <item x="1905"/>
        <item x="412"/>
        <item x="2284"/>
        <item x="903"/>
        <item x="2953"/>
        <item x="1431"/>
        <item x="1989"/>
        <item x="1474"/>
        <item x="2281"/>
        <item x="863"/>
        <item x="2117"/>
        <item x="1926"/>
        <item x="1963"/>
        <item x="2665"/>
        <item x="2295"/>
        <item x="345"/>
        <item x="2268"/>
        <item x="422"/>
        <item x="337"/>
        <item x="1230"/>
        <item x="20"/>
        <item x="1565"/>
        <item x="435"/>
        <item x="1639"/>
        <item x="1597"/>
        <item x="2365"/>
        <item x="1091"/>
        <item x="2030"/>
        <item x="1394"/>
        <item x="2487"/>
        <item x="2798"/>
        <item x="1220"/>
        <item x="532"/>
        <item x="678"/>
        <item x="2301"/>
        <item x="268"/>
        <item x="981"/>
        <item x="1279"/>
        <item x="1980"/>
        <item x="448"/>
        <item x="2180"/>
        <item x="2619"/>
        <item x="144"/>
        <item x="1145"/>
        <item x="967"/>
        <item x="2565"/>
        <item x="2333"/>
        <item x="2952"/>
        <item x="1125"/>
        <item x="2758"/>
        <item x="306"/>
        <item x="89"/>
        <item x="1692"/>
        <item x="303"/>
        <item x="2034"/>
        <item x="835"/>
        <item x="1780"/>
        <item x="1128"/>
        <item x="1095"/>
        <item x="675"/>
        <item x="930"/>
        <item x="2131"/>
        <item x="2625"/>
        <item x="2448"/>
        <item x="1293"/>
        <item x="2886"/>
        <item x="1698"/>
        <item x="1666"/>
        <item x="1328"/>
        <item x="961"/>
        <item x="719"/>
        <item x="489"/>
        <item x="2917"/>
        <item x="2756"/>
        <item x="1747"/>
        <item x="2343"/>
        <item x="2790"/>
        <item x="2122"/>
        <item x="19"/>
        <item x="1053"/>
        <item x="2029"/>
        <item x="1560"/>
        <item x="2690"/>
        <item x="2350"/>
        <item x="1622"/>
        <item x="2181"/>
        <item x="764"/>
        <item x="202"/>
        <item x="1314"/>
        <item x="2510"/>
        <item x="639"/>
        <item x="161"/>
        <item x="2531"/>
        <item x="451"/>
        <item x="1871"/>
        <item x="1448"/>
        <item x="974"/>
        <item x="1915"/>
        <item x="1645"/>
        <item x="1175"/>
        <item x="1466"/>
        <item x="2461"/>
        <item x="1405"/>
        <item x="572"/>
        <item x="1007"/>
        <item x="2453"/>
        <item x="2016"/>
        <item x="382"/>
        <item x="52"/>
        <item x="2547"/>
        <item x="1746"/>
        <item x="194"/>
        <item x="302"/>
        <item x="870"/>
        <item x="2528"/>
        <item x="713"/>
        <item x="335"/>
        <item x="575"/>
        <item x="552"/>
        <item x="629"/>
        <item x="2492"/>
        <item x="114"/>
        <item x="1844"/>
        <item x="1749"/>
        <item x="1822"/>
        <item x="2325"/>
        <item x="2366"/>
        <item x="1694"/>
        <item x="2802"/>
        <item x="1507"/>
        <item x="1736"/>
        <item x="1084"/>
        <item x="1959"/>
        <item x="1492"/>
        <item x="1299"/>
        <item x="2236"/>
        <item x="133"/>
        <item x="1192"/>
        <item x="864"/>
        <item x="2582"/>
        <item x="1263"/>
        <item x="2731"/>
        <item x="1881"/>
        <item x="487"/>
        <item x="139"/>
        <item x="1936"/>
        <item x="2596"/>
        <item x="2912"/>
        <item x="61"/>
        <item x="606"/>
        <item x="2168"/>
        <item x="1273"/>
        <item x="2209"/>
        <item x="1062"/>
        <item x="562"/>
        <item x="2278"/>
        <item x="1276"/>
        <item x="2433"/>
        <item x="2684"/>
        <item x="1552"/>
        <item x="2967"/>
        <item x="2746"/>
        <item x="486"/>
        <item x="2946"/>
        <item x="749"/>
        <item x="2491"/>
        <item x="1973"/>
        <item x="807"/>
        <item x="2980"/>
        <item x="641"/>
        <item x="789"/>
        <item x="137"/>
        <item x="633"/>
        <item x="1608"/>
        <item x="463"/>
        <item x="1435"/>
        <item x="646"/>
        <item x="1754"/>
        <item x="755"/>
        <item x="2782"/>
        <item x="1584"/>
        <item x="2548"/>
        <item x="2193"/>
        <item x="1524"/>
        <item x="1618"/>
        <item x="2833"/>
        <item x="416"/>
        <item x="211"/>
        <item x="2945"/>
        <item x="1189"/>
        <item x="975"/>
        <item x="1118"/>
        <item x="892"/>
        <item x="311"/>
        <item x="861"/>
        <item x="1896"/>
        <item x="929"/>
        <item x="2943"/>
        <item x="858"/>
        <item x="2026"/>
        <item x="78"/>
        <item x="1359"/>
        <item x="786"/>
        <item x="2149"/>
        <item x="2977"/>
        <item x="1258"/>
        <item x="227"/>
        <item x="1188"/>
        <item x="1149"/>
        <item x="374"/>
        <item x="2139"/>
        <item x="2067"/>
        <item x="2626"/>
        <item x="2655"/>
        <item x="2217"/>
        <item x="2438"/>
        <item x="2425"/>
        <item x="921"/>
        <item x="832"/>
        <item x="1986"/>
        <item x="151"/>
        <item x="2712"/>
        <item x="2121"/>
        <item x="1958"/>
        <item x="2065"/>
        <item x="1628"/>
        <item x="285"/>
        <item x="661"/>
        <item x="2896"/>
        <item x="1924"/>
        <item x="153"/>
        <item x="927"/>
        <item x="841"/>
        <item x="872"/>
        <item x="346"/>
        <item x="2879"/>
        <item x="2123"/>
        <item x="986"/>
        <item x="2586"/>
        <item x="2828"/>
        <item x="2692"/>
        <item x="1932"/>
        <item x="2391"/>
        <item x="41"/>
        <item x="2781"/>
        <item x="411"/>
        <item x="803"/>
        <item x="32"/>
        <item x="1938"/>
        <item x="1169"/>
        <item x="920"/>
        <item x="1971"/>
        <item x="393"/>
        <item x="1849"/>
        <item x="2840"/>
        <item x="2844"/>
        <item x="768"/>
        <item x="726"/>
        <item x="2990"/>
        <item x="2786"/>
        <item x="659"/>
        <item x="108"/>
        <item x="1779"/>
        <item x="1172"/>
        <item x="905"/>
        <item x="821"/>
        <item x="682"/>
        <item x="2372"/>
        <item x="2349"/>
        <item x="672"/>
        <item x="2373"/>
        <item x="1551"/>
        <item x="2494"/>
        <item x="1627"/>
        <item x="431"/>
        <item x="309"/>
        <item x="1243"/>
        <item x="1222"/>
        <item x="1353"/>
        <item x="1311"/>
        <item x="2062"/>
        <item x="1919"/>
        <item x="2920"/>
        <item x="2158"/>
        <item x="824"/>
        <item x="2344"/>
        <item x="375"/>
        <item x="1858"/>
        <item x="1607"/>
        <item x="1740"/>
        <item x="251"/>
        <item x="299"/>
        <item x="729"/>
        <item x="352"/>
        <item x="98"/>
        <item x="2418"/>
        <item x="2785"/>
        <item x="2045"/>
        <item x="2005"/>
        <item x="2995"/>
        <item x="1801"/>
        <item x="459"/>
        <item x="2634"/>
        <item x="13"/>
        <item x="535"/>
        <item x="1935"/>
        <item x="402"/>
        <item x="391"/>
        <item x="304"/>
        <item x="2211"/>
        <item x="1277"/>
        <item x="645"/>
        <item x="2233"/>
        <item x="1882"/>
        <item x="2904"/>
        <item x="155"/>
        <item x="2010"/>
        <item x="2700"/>
        <item x="934"/>
        <item x="97"/>
        <item x="2907"/>
        <item x="1783"/>
        <item x="767"/>
        <item x="1271"/>
        <item x="909"/>
        <item x="23"/>
        <item x="1531"/>
        <item x="2135"/>
        <item x="2903"/>
        <item x="794"/>
        <item x="1872"/>
        <item x="1611"/>
        <item x="149"/>
        <item x="479"/>
        <item x="1961"/>
        <item x="308"/>
        <item x="917"/>
        <item x="1595"/>
        <item x="681"/>
        <item x="461"/>
        <item x="2175"/>
        <item x="141"/>
        <item x="697"/>
        <item x="1728"/>
        <item x="2923"/>
        <item x="2406"/>
        <item x="1583"/>
        <item x="2836"/>
        <item x="2518"/>
        <item x="2264"/>
        <item x="1331"/>
        <item x="2484"/>
        <item x="543"/>
        <item x="898"/>
        <item x="1571"/>
        <item x="1092"/>
        <item x="277"/>
        <item x="1106"/>
        <item x="1907"/>
        <item x="1804"/>
        <item x="673"/>
        <item x="2660"/>
        <item x="2"/>
        <item x="86"/>
        <item x="1978"/>
        <item x="1578"/>
        <item x="2955"/>
        <item x="181"/>
        <item x="2283"/>
        <item x="10"/>
        <item x="842"/>
        <item x="2038"/>
        <item x="1511"/>
        <item x="2960"/>
        <item x="1843"/>
        <item x="746"/>
        <item x="1104"/>
        <item x="2505"/>
        <item x="2579"/>
        <item x="1864"/>
        <item x="472"/>
        <item x="1655"/>
        <item x="688"/>
        <item x="1646"/>
        <item x="1326"/>
        <item x="820"/>
        <item x="1916"/>
        <item x="2522"/>
        <item x="1057"/>
        <item x="2825"/>
        <item x="1605"/>
        <item x="1785"/>
        <item x="1967"/>
        <item x="2057"/>
        <item x="2182"/>
        <item x="717"/>
        <item x="1281"/>
        <item x="1695"/>
        <item x="2339"/>
        <item x="818"/>
        <item x="1670"/>
        <item x="2040"/>
        <item x="1952"/>
        <item x="2028"/>
        <item x="957"/>
        <item x="589"/>
        <item x="1544"/>
        <item x="2511"/>
        <item x="2471"/>
        <item x="301"/>
        <item x="607"/>
        <item x="915"/>
        <item x="2873"/>
        <item x="926"/>
        <item x="2784"/>
        <item x="2004"/>
        <item x="2599"/>
        <item x="2509"/>
        <item x="1166"/>
        <item x="2504"/>
        <item x="1226"/>
        <item x="2892"/>
        <item x="1910"/>
        <item x="1713"/>
        <item x="2708"/>
        <item x="2827"/>
        <item x="791"/>
        <item x="759"/>
        <item x="1562"/>
        <item x="1577"/>
        <item x="240"/>
        <item x="866"/>
        <item x="1742"/>
        <item x="2637"/>
        <item x="379"/>
        <item x="1994"/>
        <item x="1167"/>
        <item x="1601"/>
        <item x="1305"/>
        <item x="485"/>
        <item x="2431"/>
        <item x="1620"/>
        <item x="2978"/>
        <item x="322"/>
        <item x="1940"/>
        <item x="1549"/>
        <item x="2609"/>
        <item x="1367"/>
        <item x="179"/>
        <item x="1108"/>
        <item x="118"/>
        <item x="836"/>
        <item x="843"/>
        <item x="1345"/>
        <item x="796"/>
        <item x="1228"/>
        <item x="2260"/>
        <item x="2820"/>
        <item x="2292"/>
        <item x="2876"/>
        <item x="742"/>
        <item x="2629"/>
        <item x="261"/>
        <item x="704"/>
        <item x="1838"/>
        <item x="2169"/>
        <item x="2374"/>
        <item x="406"/>
        <item x="1096"/>
        <item x="189"/>
        <item x="1155"/>
        <item x="1115"/>
        <item x="1301"/>
        <item x="1741"/>
        <item x="43"/>
        <item x="107"/>
        <item x="2883"/>
        <item x="1877"/>
        <item x="1032"/>
        <item x="76"/>
        <item x="1487"/>
        <item x="2809"/>
        <item x="998"/>
        <item x="2403"/>
        <item x="2672"/>
        <item x="1648"/>
        <item x="66"/>
        <item x="1734"/>
        <item x="2585"/>
        <item x="398"/>
        <item x="154"/>
        <item x="867"/>
        <item x="1434"/>
        <item x="120"/>
        <item x="1"/>
        <item x="276"/>
        <item x="2759"/>
        <item x="686"/>
        <item x="1297"/>
        <item x="192"/>
        <item x="1579"/>
        <item x="1049"/>
        <item x="845"/>
        <item x="2860"/>
        <item x="109"/>
        <item x="292"/>
        <item x="1672"/>
        <item x="549"/>
        <item x="576"/>
        <item x="63"/>
        <item x="1212"/>
        <item x="2058"/>
        <item x="2286"/>
        <item x="1008"/>
        <item x="2640"/>
        <item x="1759"/>
        <item x="187"/>
        <item x="2755"/>
        <item x="2178"/>
        <item x="1520"/>
        <item x="2061"/>
        <item x="1372"/>
        <item x="581"/>
        <item x="2764"/>
        <item x="2728"/>
        <item x="1600"/>
        <item x="1387"/>
        <item x="344"/>
        <item x="2019"/>
        <item x="2533"/>
        <item x="1768"/>
        <item x="1202"/>
        <item x="510"/>
        <item x="1282"/>
        <item x="495"/>
        <item x="819"/>
        <item x="551"/>
        <item x="2298"/>
        <item x="623"/>
        <item x="1572"/>
        <item x="1099"/>
        <item x="1194"/>
        <item x="1414"/>
        <item x="2593"/>
        <item x="2267"/>
        <item x="2367"/>
        <item x="2428"/>
        <item x="195"/>
        <item x="1264"/>
        <item x="1553"/>
        <item x="1733"/>
        <item x="1824"/>
        <item x="1142"/>
        <item x="1587"/>
        <item x="2319"/>
        <item x="853"/>
        <item x="75"/>
        <item x="1704"/>
        <item x="1510"/>
        <item x="1707"/>
        <item x="2288"/>
        <item x="722"/>
        <item x="1969"/>
        <item x="2091"/>
        <item x="2497"/>
        <item x="679"/>
        <item x="2754"/>
        <item x="494"/>
        <item x="1151"/>
        <item x="2419"/>
        <item x="1972"/>
        <item x="1452"/>
        <item x="2409"/>
        <item x="2467"/>
        <item x="1767"/>
        <item x="2894"/>
        <item x="2701"/>
        <item x="1204"/>
        <item x="1942"/>
        <item x="121"/>
        <item x="2751"/>
        <item x="547"/>
        <item x="2048"/>
        <item x="2532"/>
        <item x="2710"/>
        <item x="2788"/>
        <item x="885"/>
        <item x="2729"/>
        <item x="2424"/>
        <item x="490"/>
        <item x="1826"/>
        <item x="1842"/>
        <item x="1168"/>
        <item x="1117"/>
        <item x="1641"/>
        <item x="2486"/>
        <item x="172"/>
        <item x="1990"/>
        <item x="478"/>
        <item x="2493"/>
        <item x="209"/>
        <item x="2870"/>
        <item x="477"/>
        <item x="1526"/>
        <item x="1050"/>
        <item x="2816"/>
        <item x="1659"/>
        <item x="410"/>
        <item x="148"/>
        <item x="2164"/>
        <item x="327"/>
        <item x="1675"/>
        <item x="84"/>
        <item x="2933"/>
        <item x="1422"/>
        <item x="514"/>
        <item x="2317"/>
        <item x="230"/>
        <item x="2957"/>
        <item x="2513"/>
        <item x="446"/>
        <item x="2027"/>
        <item x="419"/>
        <item x="2830"/>
        <item x="1150"/>
        <item x="2171"/>
        <item x="2648"/>
        <item x="1859"/>
        <item x="2221"/>
        <item x="1643"/>
        <item x="1888"/>
        <item x="2120"/>
        <item x="1443"/>
        <item x="81"/>
        <item x="1581"/>
        <item x="2481"/>
        <item x="2381"/>
        <item x="1537"/>
        <item x="323"/>
        <item x="958"/>
        <item x="745"/>
        <item x="2866"/>
        <item x="1832"/>
        <item x="371"/>
        <item x="242"/>
        <item x="1269"/>
        <item x="1020"/>
        <item x="600"/>
        <item x="213"/>
        <item x="1067"/>
        <item x="226"/>
        <item x="361"/>
        <item x="936"/>
        <item x="568"/>
        <item x="147"/>
        <item x="2150"/>
        <item x="2311"/>
        <item x="1867"/>
        <item x="1612"/>
        <item x="70"/>
        <item x="2360"/>
        <item x="685"/>
        <item x="769"/>
        <item x="737"/>
        <item x="1154"/>
        <item x="2423"/>
        <item x="1087"/>
        <item x="802"/>
        <item x="2880"/>
        <item x="1956"/>
        <item x="1716"/>
        <item x="2688"/>
        <item x="2949"/>
        <item x="2130"/>
        <item x="1964"/>
        <item x="560"/>
        <item x="340"/>
        <item x="2738"/>
        <item x="262"/>
        <item x="1960"/>
        <item x="389"/>
        <item x="1097"/>
        <item x="2153"/>
        <item x="193"/>
        <item x="2524"/>
        <item x="1429"/>
        <item x="170"/>
        <item x="1471"/>
        <item x="591"/>
        <item x="1010"/>
        <item x="1708"/>
        <item x="1636"/>
        <item x="1484"/>
        <item x="1656"/>
        <item x="2228"/>
        <item x="2190"/>
        <item x="2939"/>
        <item x="2321"/>
        <item x="1066"/>
        <item x="1795"/>
        <item x="0"/>
        <item x="1585"/>
        <item x="758"/>
        <item x="1744"/>
        <item x="776"/>
        <item x="2564"/>
        <item x="175"/>
        <item x="2681"/>
        <item x="1513"/>
        <item x="2611"/>
        <item x="113"/>
        <item x="1418"/>
        <item x="1249"/>
        <item x="1223"/>
        <item x="1911"/>
        <item x="799"/>
        <item x="384"/>
        <item x="2345"/>
        <item x="1887"/>
        <item x="2915"/>
        <item x="2315"/>
        <item x="2979"/>
        <item x="2361"/>
        <item x="1536"/>
        <item x="2242"/>
        <item x="979"/>
        <item x="2500"/>
        <item x="1988"/>
        <item x="2440"/>
        <item x="1981"/>
        <item x="26"/>
        <item x="1937"/>
        <item x="395"/>
        <item x="2191"/>
        <item x="1158"/>
        <item x="754"/>
        <item x="2066"/>
        <item x="2340"/>
        <item x="500"/>
        <item x="709"/>
        <item x="573"/>
        <item x="1613"/>
        <item x="238"/>
        <item x="1363"/>
        <item x="339"/>
        <item x="2719"/>
        <item x="1946"/>
        <item x="2416"/>
        <item x="169"/>
        <item x="763"/>
        <item x="173"/>
        <item x="2074"/>
        <item x="945"/>
        <item x="2622"/>
        <item x="1344"/>
        <item x="505"/>
        <item x="626"/>
        <item x="2981"/>
        <item x="956"/>
        <item x="777"/>
        <item x="815"/>
        <item x="2902"/>
        <item x="2927"/>
        <item x="1699"/>
        <item x="2398"/>
        <item x="2499"/>
        <item x="1748"/>
        <item x="1254"/>
        <item x="894"/>
        <item x="625"/>
        <item x="367"/>
        <item x="274"/>
        <item x="2670"/>
        <item x="879"/>
        <item x="1379"/>
        <item x="1564"/>
        <item x="2714"/>
        <item x="1334"/>
        <item x="2049"/>
        <item x="524"/>
        <item x="1827"/>
        <item x="1799"/>
        <item x="1489"/>
        <item x="2679"/>
        <item x="1144"/>
        <item x="497"/>
        <item x="817"/>
        <item x="721"/>
        <item x="2421"/>
        <item x="1983"/>
        <item x="1036"/>
        <item x="1236"/>
        <item x="923"/>
        <item x="2718"/>
        <item x="317"/>
        <item x="377"/>
        <item x="2657"/>
        <item x="2530"/>
        <item x="1195"/>
        <item x="1287"/>
        <item x="1453"/>
        <item x="1470"/>
        <item x="983"/>
        <item x="2854"/>
        <item x="2337"/>
        <item x="2129"/>
        <item x="2069"/>
        <item x="548"/>
        <item x="2390"/>
        <item x="1567"/>
        <item x="1103"/>
        <item x="757"/>
        <item x="2578"/>
        <item x="2084"/>
        <item x="1356"/>
        <item x="67"/>
        <item x="201"/>
        <item x="157"/>
        <item x="1217"/>
        <item x="1162"/>
        <item x="2675"/>
        <item x="1974"/>
        <item x="2572"/>
        <item x="2364"/>
        <item x="2557"/>
        <item x="1419"/>
        <item x="1075"/>
        <item x="454"/>
        <item x="2342"/>
        <item x="1563"/>
        <item x="110"/>
        <item x="2762"/>
        <item x="2991"/>
        <item x="1541"/>
        <item x="1051"/>
        <item x="553"/>
        <item x="1856"/>
        <item x="223"/>
        <item x="136"/>
        <item x="2767"/>
        <item x="1794"/>
        <item x="797"/>
        <item x="46"/>
        <item x="1335"/>
        <item x="518"/>
        <item x="1893"/>
        <item x="1644"/>
        <item x="1266"/>
        <item x="850"/>
        <item x="314"/>
        <item x="1765"/>
        <item x="1908"/>
        <item x="2935"/>
        <item x="282"/>
        <item x="94"/>
        <item x="1234"/>
        <item x="2911"/>
        <item x="813"/>
        <item x="2479"/>
        <item x="2020"/>
        <item x="2682"/>
        <item x="1726"/>
        <item x="1599"/>
        <item x="1718"/>
        <item x="1043"/>
        <item x="2324"/>
        <item x="1424"/>
        <item x="2489"/>
        <item x="2052"/>
        <item x="2829"/>
        <item x="1880"/>
        <item x="484"/>
        <item x="1499"/>
        <item x="1137"/>
        <item x="2275"/>
        <item x="601"/>
        <item x="1787"/>
        <item x="648"/>
        <item x="1948"/>
        <item x="517"/>
        <item x="1966"/>
        <item x="1123"/>
        <item x="2765"/>
        <item x="1052"/>
        <item x="264"/>
        <item x="586"/>
        <item x="683"/>
        <item x="743"/>
        <item x="1047"/>
        <item x="2992"/>
        <item x="932"/>
        <item x="2404"/>
        <item x="502"/>
        <item x="2174"/>
        <item x="2874"/>
        <item x="545"/>
        <item x="1018"/>
        <item x="1705"/>
        <item x="895"/>
        <item x="811"/>
        <item x="1327"/>
        <item x="2638"/>
        <item x="1486"/>
        <item x="1203"/>
        <item x="71"/>
        <item x="2138"/>
        <item x="1081"/>
        <item x="2145"/>
        <item x="286"/>
        <item x="1205"/>
        <item x="208"/>
        <item x="2097"/>
        <item x="2962"/>
        <item x="2125"/>
        <item x="1836"/>
        <item x="197"/>
        <item x="1490"/>
        <item x="1724"/>
        <item x="2536"/>
        <item x="437"/>
        <item x="2053"/>
        <item x="1021"/>
        <item x="1441"/>
        <item x="613"/>
        <item x="718"/>
        <item x="1112"/>
        <item x="2070"/>
        <item x="1178"/>
        <item x="618"/>
        <item x="988"/>
        <item x="2666"/>
        <item x="1451"/>
        <item x="2444"/>
        <item x="1298"/>
        <item x="2726"/>
        <item x="1776"/>
        <item x="1586"/>
        <item x="2326"/>
        <item x="1496"/>
        <item x="258"/>
        <item x="123"/>
        <item x="787"/>
        <item x="426"/>
        <item x="1450"/>
        <item x="1100"/>
        <item x="1949"/>
        <item x="349"/>
        <item x="1561"/>
        <item x="158"/>
        <item x="1472"/>
        <item x="662"/>
        <item x="736"/>
        <item x="1425"/>
        <item x="1476"/>
        <item x="2644"/>
        <item x="1012"/>
        <item x="609"/>
        <item x="1413"/>
        <item x="978"/>
        <item x="1941"/>
        <item x="1044"/>
        <item x="1181"/>
        <item x="2042"/>
        <item x="1508"/>
        <item x="1829"/>
        <item x="2974"/>
        <item x="1034"/>
        <item x="674"/>
        <item x="725"/>
        <item x="2081"/>
        <item x="1445"/>
        <item x="526"/>
        <item x="2720"/>
        <item x="1481"/>
        <item x="2051"/>
        <item x="1835"/>
        <item x="1686"/>
        <item x="1923"/>
        <item x="1013"/>
        <item x="900"/>
        <item x="272"/>
        <item x="1004"/>
        <item x="2073"/>
        <item x="85"/>
        <item x="2203"/>
        <item x="150"/>
        <item x="1184"/>
        <item x="2397"/>
        <item x="1255"/>
        <item x="1802"/>
        <item x="916"/>
        <item x="2462"/>
        <item x="1131"/>
        <item x="2941"/>
        <item x="2864"/>
        <item x="1354"/>
        <item x="1196"/>
        <item x="229"/>
        <item x="2146"/>
        <item x="1072"/>
        <item x="2177"/>
        <item x="366"/>
        <item x="2566"/>
        <item x="373"/>
        <item x="2649"/>
        <item x="1580"/>
        <item x="2815"/>
        <item x="878"/>
        <item x="1410"/>
        <item x="2970"/>
        <item x="751"/>
        <item x="2602"/>
        <item x="714"/>
        <item x="409"/>
        <item x="611"/>
        <item x="2846"/>
        <item x="669"/>
        <item x="2426"/>
        <item x="47"/>
        <item x="1818"/>
        <item x="225"/>
        <item x="2323"/>
        <item x="12"/>
        <item x="1409"/>
        <item x="62"/>
        <item x="1631"/>
        <item x="403"/>
        <item x="1889"/>
        <item x="2243"/>
        <item x="2673"/>
        <item x="1446"/>
        <item x="1186"/>
        <item x="1253"/>
        <item x="2739"/>
        <item x="1208"/>
        <item x="1674"/>
        <item x="904"/>
        <item x="2676"/>
        <item x="2689"/>
        <item x="2642"/>
        <item x="1558"/>
        <item x="2206"/>
        <item x="2744"/>
        <item x="280"/>
        <item x="773"/>
        <item x="1433"/>
        <item x="1771"/>
        <item x="635"/>
        <item x="498"/>
        <item x="840"/>
        <item x="2336"/>
        <item x="266"/>
        <item x="928"/>
        <item x="2299"/>
        <item x="180"/>
        <item x="2159"/>
        <item x="2603"/>
        <item x="2232"/>
        <item x="124"/>
        <item x="1069"/>
        <item x="236"/>
        <item x="2394"/>
        <item x="587"/>
        <item x="2534"/>
        <item x="2969"/>
        <item x="596"/>
        <item x="1341"/>
        <item x="734"/>
        <item x="443"/>
        <item x="2987"/>
        <item x="1598"/>
        <item x="1005"/>
        <item x="2451"/>
        <item x="165"/>
        <item x="2861"/>
        <item x="2023"/>
        <item x="1323"/>
        <item x="798"/>
        <item x="2166"/>
        <item x="1261"/>
        <item x="1121"/>
        <item x="2460"/>
        <item x="2199"/>
        <item x="2544"/>
        <item x="2103"/>
        <item x="837"/>
        <item x="1828"/>
        <item x="2459"/>
        <item x="2271"/>
        <item x="1933"/>
        <item x="2246"/>
        <item x="1124"/>
        <item x="2745"/>
        <item x="2760"/>
        <item x="1456"/>
        <item x="1998"/>
        <item x="1390"/>
        <item x="854"/>
        <item x="650"/>
        <item x="2506"/>
        <item x="2808"/>
        <item x="1318"/>
        <item x="1977"/>
        <item x="1469"/>
        <item x="538"/>
        <item x="689"/>
        <item x="793"/>
        <item x="2379"/>
        <item x="991"/>
        <item x="667"/>
        <item x="582"/>
        <item x="49"/>
        <item x="1819"/>
        <item x="370"/>
        <item x="1668"/>
        <item x="2082"/>
        <item x="627"/>
        <item x="2584"/>
        <item x="522"/>
        <item x="1495"/>
        <item x="2443"/>
        <item x="27"/>
        <item x="599"/>
        <item x="2848"/>
        <item x="2226"/>
        <item x="2376"/>
        <item x="569"/>
        <item x="972"/>
        <item x="2940"/>
        <item x="1671"/>
        <item x="1060"/>
        <item x="254"/>
        <item x="919"/>
        <item x="1056"/>
        <item x="1437"/>
        <item x="415"/>
        <item x="1360"/>
        <item x="2378"/>
        <item x="93"/>
        <item x="2383"/>
        <item x="1242"/>
        <item x="848"/>
        <item x="228"/>
        <item x="695"/>
        <item x="889"/>
        <item x="2435"/>
        <item x="2312"/>
        <item x="1638"/>
        <item x="1890"/>
        <item x="2909"/>
        <item x="658"/>
        <item x="2105"/>
        <item x="2847"/>
        <item x="1262"/>
        <item x="1014"/>
        <item x="1033"/>
        <item x="300"/>
        <item x="1557"/>
        <item x="2198"/>
        <item x="31"/>
        <item x="296"/>
        <item x="217"/>
        <item x="2930"/>
        <item x="456"/>
        <item x="700"/>
        <item x="1519"/>
        <item x="2126"/>
        <item x="2503"/>
        <item x="2652"/>
        <item x="1766"/>
        <item x="1621"/>
        <item x="380"/>
        <item x="2553"/>
        <item x="1874"/>
        <item x="1727"/>
        <item x="1330"/>
        <item x="2910"/>
        <item x="1332"/>
        <item x="131"/>
        <item x="332"/>
        <item x="1412"/>
        <item x="2294"/>
        <item x="2160"/>
        <item x="705"/>
        <item x="2072"/>
        <item x="653"/>
        <item x="2618"/>
        <item x="1632"/>
        <item x="2060"/>
        <item x="1885"/>
        <item x="781"/>
        <item x="2606"/>
        <item x="2458"/>
        <item x="1777"/>
        <item x="1862"/>
        <item x="92"/>
        <item x="1317"/>
        <item x="1523"/>
        <item x="2988"/>
        <item x="1841"/>
        <item x="2300"/>
        <item x="399"/>
        <item x="2240"/>
        <item x="1610"/>
        <item x="941"/>
        <item x="2590"/>
        <item x="593"/>
        <item x="1357"/>
        <item x="2550"/>
        <item x="531"/>
        <item x="462"/>
        <item x="1346"/>
        <item x="1316"/>
        <item x="1464"/>
        <item x="475"/>
        <item x="405"/>
        <item x="14"/>
        <item x="2495"/>
        <item x="2054"/>
        <item x="483"/>
        <item x="2276"/>
        <item x="1392"/>
        <item x="56"/>
        <item x="1163"/>
        <item x="862"/>
        <item x="145"/>
        <item x="247"/>
        <item x="1839"/>
        <item x="1017"/>
        <item x="333"/>
        <item x="1278"/>
        <item x="1285"/>
        <item x="287"/>
        <item x="162"/>
        <item x="23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Budget (in Billion $)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Global_Space_Exploration_Data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3001"/>
  <sheetViews>
    <sheetView zoomScale="55" zoomScaleNormal="55" workbookViewId="0">
      <selection activeCell="Q16" sqref="Q16"/>
    </sheetView>
  </sheetViews>
  <sheetFormatPr defaultRowHeight="15"/>
  <cols>
    <col min="1" max="1" width="9" customWidth="1"/>
    <col min="2" max="2" width="27.85546875" customWidth="1"/>
    <col min="3" max="3" width="55.140625" customWidth="1"/>
    <col min="4" max="4" width="12.5703125" customWidth="1"/>
    <col min="5" max="5" width="24" customWidth="1"/>
    <col min="6" max="6" width="15.140625" customWidth="1"/>
    <col min="7" max="7" width="18.7109375" customWidth="1"/>
    <col min="8" max="8" width="15.7109375" customWidth="1"/>
    <col min="9" max="9" width="18.140625" customWidth="1"/>
    <col min="10" max="10" width="20.7109375" customWidth="1"/>
    <col min="11" max="11" width="22.85546875" customWidth="1"/>
    <col min="12" max="12" width="17" customWidth="1"/>
    <col min="13" max="13" width="17.28515625" customWidth="1"/>
    <col min="14" max="14" width="2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6364</v>
      </c>
      <c r="N1" t="s">
        <v>6365</v>
      </c>
    </row>
    <row r="2" spans="1:14">
      <c r="A2" t="s">
        <v>12</v>
      </c>
      <c r="B2">
        <v>2008</v>
      </c>
      <c r="C2" t="s">
        <v>13</v>
      </c>
      <c r="D2" t="s">
        <v>14</v>
      </c>
      <c r="E2" t="s">
        <v>15</v>
      </c>
      <c r="F2" t="s">
        <v>16</v>
      </c>
      <c r="G2">
        <v>16.2</v>
      </c>
      <c r="H2">
        <v>90</v>
      </c>
      <c r="I2" t="s">
        <v>17</v>
      </c>
      <c r="J2" t="s">
        <v>18</v>
      </c>
      <c r="K2" t="s">
        <v>19</v>
      </c>
      <c r="L2">
        <v>112</v>
      </c>
      <c r="M2" t="str">
        <f>IF(G2&lt;15,"Low",IF(G2&lt;35,"Medium","High"))</f>
        <v>Medium</v>
      </c>
      <c r="N2" t="str">
        <f>IF(H2&gt;=90,"Excellent",IF(H2&gt;=75,"Good","Average"))</f>
        <v>Excellent</v>
      </c>
    </row>
    <row r="3" spans="1:14">
      <c r="A3" t="s">
        <v>20</v>
      </c>
      <c r="B3">
        <v>2018</v>
      </c>
      <c r="C3" t="s">
        <v>21</v>
      </c>
      <c r="D3" t="s">
        <v>14</v>
      </c>
      <c r="E3" t="s">
        <v>22</v>
      </c>
      <c r="F3" t="s">
        <v>16</v>
      </c>
      <c r="G3">
        <v>29.04</v>
      </c>
      <c r="H3">
        <v>99</v>
      </c>
      <c r="I3" t="s">
        <v>23</v>
      </c>
      <c r="J3" t="s">
        <v>24</v>
      </c>
      <c r="K3" t="s">
        <v>25</v>
      </c>
      <c r="L3">
        <v>236</v>
      </c>
      <c r="M3" t="str">
        <f t="shared" ref="M3:M66" si="0">IF(G3&lt;15,"Low",IF(G3&lt;35,"Medium","High"))</f>
        <v>Medium</v>
      </c>
      <c r="N3" t="str">
        <f t="shared" ref="N3:N66" si="1">IF(H3&gt;=90,"Excellent",IF(H3&gt;=75,"Good","Average"))</f>
        <v>Excellent</v>
      </c>
    </row>
    <row r="4" spans="1:14">
      <c r="A4" t="s">
        <v>26</v>
      </c>
      <c r="B4">
        <v>2013</v>
      </c>
      <c r="C4" t="s">
        <v>27</v>
      </c>
      <c r="D4" t="s">
        <v>14</v>
      </c>
      <c r="E4" t="s">
        <v>28</v>
      </c>
      <c r="F4" t="s">
        <v>16</v>
      </c>
      <c r="G4">
        <v>28.73</v>
      </c>
      <c r="H4">
        <v>54</v>
      </c>
      <c r="I4" t="s">
        <v>29</v>
      </c>
      <c r="J4" t="s">
        <v>18</v>
      </c>
      <c r="K4" t="s">
        <v>30</v>
      </c>
      <c r="L4">
        <v>238</v>
      </c>
      <c r="M4" t="str">
        <f t="shared" si="0"/>
        <v>Medium</v>
      </c>
      <c r="N4" t="str">
        <f t="shared" si="1"/>
        <v>Average</v>
      </c>
    </row>
    <row r="5" spans="1:14">
      <c r="A5" t="s">
        <v>31</v>
      </c>
      <c r="B5">
        <v>2010</v>
      </c>
      <c r="C5" t="s">
        <v>32</v>
      </c>
      <c r="D5" t="s">
        <v>33</v>
      </c>
      <c r="E5" t="s">
        <v>34</v>
      </c>
      <c r="F5" t="s">
        <v>35</v>
      </c>
      <c r="G5">
        <v>37.270000000000003</v>
      </c>
      <c r="H5">
        <v>58</v>
      </c>
      <c r="I5" t="s">
        <v>36</v>
      </c>
      <c r="J5" t="s">
        <v>37</v>
      </c>
      <c r="K5" t="s">
        <v>38</v>
      </c>
      <c r="L5">
        <v>186</v>
      </c>
      <c r="M5" t="str">
        <f t="shared" si="0"/>
        <v>High</v>
      </c>
      <c r="N5" t="str">
        <f t="shared" si="1"/>
        <v>Average</v>
      </c>
    </row>
    <row r="6" spans="1:14">
      <c r="A6" t="s">
        <v>39</v>
      </c>
      <c r="B6">
        <v>2006</v>
      </c>
      <c r="C6" t="s">
        <v>40</v>
      </c>
      <c r="D6" t="s">
        <v>14</v>
      </c>
      <c r="E6" t="s">
        <v>41</v>
      </c>
      <c r="F6" t="s">
        <v>42</v>
      </c>
      <c r="G6">
        <v>18.95</v>
      </c>
      <c r="H6">
        <v>91</v>
      </c>
      <c r="I6" t="s">
        <v>23</v>
      </c>
      <c r="J6" t="s">
        <v>18</v>
      </c>
      <c r="K6" t="s">
        <v>43</v>
      </c>
      <c r="L6">
        <v>277</v>
      </c>
      <c r="M6" t="str">
        <f t="shared" si="0"/>
        <v>Medium</v>
      </c>
      <c r="N6" t="str">
        <f t="shared" si="1"/>
        <v>Excellent</v>
      </c>
    </row>
    <row r="7" spans="1:14">
      <c r="A7" t="s">
        <v>38</v>
      </c>
      <c r="B7">
        <v>2011</v>
      </c>
      <c r="C7" t="s">
        <v>44</v>
      </c>
      <c r="D7" t="s">
        <v>33</v>
      </c>
      <c r="E7" t="s">
        <v>45</v>
      </c>
      <c r="F7" t="s">
        <v>46</v>
      </c>
      <c r="G7">
        <v>22.76</v>
      </c>
      <c r="H7">
        <v>85</v>
      </c>
      <c r="I7" t="s">
        <v>17</v>
      </c>
      <c r="J7" t="s">
        <v>37</v>
      </c>
      <c r="K7" t="s">
        <v>47</v>
      </c>
      <c r="L7">
        <v>166</v>
      </c>
      <c r="M7" t="str">
        <f t="shared" si="0"/>
        <v>Medium</v>
      </c>
      <c r="N7" t="str">
        <f t="shared" si="1"/>
        <v>Good</v>
      </c>
    </row>
    <row r="8" spans="1:14">
      <c r="A8" t="s">
        <v>48</v>
      </c>
      <c r="B8">
        <v>2011</v>
      </c>
      <c r="C8" t="s">
        <v>49</v>
      </c>
      <c r="D8" t="s">
        <v>14</v>
      </c>
      <c r="E8" t="s">
        <v>50</v>
      </c>
      <c r="F8" t="s">
        <v>35</v>
      </c>
      <c r="G8">
        <v>9.33</v>
      </c>
      <c r="H8">
        <v>81</v>
      </c>
      <c r="I8" t="s">
        <v>23</v>
      </c>
      <c r="J8" t="s">
        <v>24</v>
      </c>
      <c r="K8" t="s">
        <v>51</v>
      </c>
      <c r="L8">
        <v>203</v>
      </c>
      <c r="M8" t="str">
        <f t="shared" si="0"/>
        <v>Low</v>
      </c>
      <c r="N8" t="str">
        <f t="shared" si="1"/>
        <v>Good</v>
      </c>
    </row>
    <row r="9" spans="1:14">
      <c r="A9" t="s">
        <v>39</v>
      </c>
      <c r="B9">
        <v>2012</v>
      </c>
      <c r="C9" t="s">
        <v>52</v>
      </c>
      <c r="D9" t="s">
        <v>33</v>
      </c>
      <c r="E9" t="s">
        <v>53</v>
      </c>
      <c r="F9" t="s">
        <v>42</v>
      </c>
      <c r="G9">
        <v>6.62</v>
      </c>
      <c r="H9">
        <v>69</v>
      </c>
      <c r="I9" t="s">
        <v>23</v>
      </c>
      <c r="J9" t="s">
        <v>37</v>
      </c>
      <c r="K9" t="s">
        <v>54</v>
      </c>
      <c r="L9">
        <v>25</v>
      </c>
      <c r="M9" t="str">
        <f t="shared" si="0"/>
        <v>Low</v>
      </c>
      <c r="N9" t="str">
        <f t="shared" si="1"/>
        <v>Average</v>
      </c>
    </row>
    <row r="10" spans="1:14">
      <c r="A10" t="s">
        <v>26</v>
      </c>
      <c r="B10">
        <v>2024</v>
      </c>
      <c r="C10" t="s">
        <v>55</v>
      </c>
      <c r="D10" t="s">
        <v>14</v>
      </c>
      <c r="E10" t="s">
        <v>56</v>
      </c>
      <c r="F10" t="s">
        <v>57</v>
      </c>
      <c r="G10">
        <v>13.25</v>
      </c>
      <c r="H10">
        <v>60</v>
      </c>
      <c r="I10" t="s">
        <v>23</v>
      </c>
      <c r="J10" t="s">
        <v>37</v>
      </c>
      <c r="K10" t="s">
        <v>58</v>
      </c>
      <c r="L10">
        <v>341</v>
      </c>
      <c r="M10" t="str">
        <f t="shared" si="0"/>
        <v>Low</v>
      </c>
      <c r="N10" t="str">
        <f t="shared" si="1"/>
        <v>Average</v>
      </c>
    </row>
    <row r="11" spans="1:14">
      <c r="A11" t="s">
        <v>26</v>
      </c>
      <c r="B11">
        <v>2011</v>
      </c>
      <c r="C11" t="s">
        <v>59</v>
      </c>
      <c r="D11" t="s">
        <v>33</v>
      </c>
      <c r="E11" t="s">
        <v>60</v>
      </c>
      <c r="F11" t="s">
        <v>16</v>
      </c>
      <c r="G11">
        <v>23.76</v>
      </c>
      <c r="H11">
        <v>66</v>
      </c>
      <c r="I11" t="s">
        <v>61</v>
      </c>
      <c r="J11" t="s">
        <v>24</v>
      </c>
      <c r="K11" t="s">
        <v>20</v>
      </c>
      <c r="L11">
        <v>107</v>
      </c>
      <c r="M11" t="str">
        <f t="shared" si="0"/>
        <v>Medium</v>
      </c>
      <c r="N11" t="str">
        <f t="shared" si="1"/>
        <v>Average</v>
      </c>
    </row>
    <row r="12" spans="1:14">
      <c r="A12" t="s">
        <v>47</v>
      </c>
      <c r="B12">
        <v>2014</v>
      </c>
      <c r="C12" t="s">
        <v>62</v>
      </c>
      <c r="D12" t="s">
        <v>33</v>
      </c>
      <c r="E12" t="s">
        <v>63</v>
      </c>
      <c r="F12" t="s">
        <v>46</v>
      </c>
      <c r="G12">
        <v>43.67</v>
      </c>
      <c r="H12">
        <v>92</v>
      </c>
      <c r="I12" t="s">
        <v>29</v>
      </c>
      <c r="J12" t="s">
        <v>18</v>
      </c>
      <c r="K12" t="s">
        <v>64</v>
      </c>
      <c r="L12">
        <v>117</v>
      </c>
      <c r="M12" t="str">
        <f t="shared" si="0"/>
        <v>High</v>
      </c>
      <c r="N12" t="str">
        <f t="shared" si="1"/>
        <v>Excellent</v>
      </c>
    </row>
    <row r="13" spans="1:14">
      <c r="A13" t="s">
        <v>65</v>
      </c>
      <c r="B13">
        <v>2007</v>
      </c>
      <c r="C13" t="s">
        <v>66</v>
      </c>
      <c r="D13" t="s">
        <v>14</v>
      </c>
      <c r="E13" t="s">
        <v>67</v>
      </c>
      <c r="F13" t="s">
        <v>35</v>
      </c>
      <c r="G13">
        <v>42.47</v>
      </c>
      <c r="H13">
        <v>53</v>
      </c>
      <c r="I13" t="s">
        <v>23</v>
      </c>
      <c r="J13" t="s">
        <v>37</v>
      </c>
      <c r="K13" t="s">
        <v>38</v>
      </c>
      <c r="L13">
        <v>56</v>
      </c>
      <c r="M13" t="str">
        <f t="shared" si="0"/>
        <v>High</v>
      </c>
      <c r="N13" t="str">
        <f t="shared" si="1"/>
        <v>Average</v>
      </c>
    </row>
    <row r="14" spans="1:14">
      <c r="A14" t="s">
        <v>68</v>
      </c>
      <c r="B14">
        <v>2023</v>
      </c>
      <c r="C14" t="s">
        <v>69</v>
      </c>
      <c r="D14" t="s">
        <v>33</v>
      </c>
      <c r="E14" t="s">
        <v>70</v>
      </c>
      <c r="F14" t="s">
        <v>16</v>
      </c>
      <c r="G14">
        <v>11.68</v>
      </c>
      <c r="H14">
        <v>65</v>
      </c>
      <c r="I14" t="s">
        <v>36</v>
      </c>
      <c r="J14" t="s">
        <v>24</v>
      </c>
      <c r="K14" t="s">
        <v>48</v>
      </c>
      <c r="L14">
        <v>219</v>
      </c>
      <c r="M14" t="str">
        <f t="shared" si="0"/>
        <v>Low</v>
      </c>
      <c r="N14" t="str">
        <f t="shared" si="1"/>
        <v>Average</v>
      </c>
    </row>
    <row r="15" spans="1:14">
      <c r="A15" t="s">
        <v>12</v>
      </c>
      <c r="B15">
        <v>2024</v>
      </c>
      <c r="C15" t="s">
        <v>71</v>
      </c>
      <c r="D15" t="s">
        <v>14</v>
      </c>
      <c r="E15" t="s">
        <v>72</v>
      </c>
      <c r="F15" t="s">
        <v>46</v>
      </c>
      <c r="G15">
        <v>29.52</v>
      </c>
      <c r="H15">
        <v>73</v>
      </c>
      <c r="I15" t="s">
        <v>36</v>
      </c>
      <c r="J15" t="s">
        <v>37</v>
      </c>
      <c r="K15" t="s">
        <v>73</v>
      </c>
      <c r="L15">
        <v>303</v>
      </c>
      <c r="M15" t="str">
        <f t="shared" si="0"/>
        <v>Medium</v>
      </c>
      <c r="N15" t="str">
        <f t="shared" si="1"/>
        <v>Average</v>
      </c>
    </row>
    <row r="16" spans="1:14">
      <c r="A16" t="s">
        <v>31</v>
      </c>
      <c r="B16">
        <v>2002</v>
      </c>
      <c r="C16" t="s">
        <v>74</v>
      </c>
      <c r="D16" t="s">
        <v>14</v>
      </c>
      <c r="E16" t="s">
        <v>75</v>
      </c>
      <c r="F16" t="s">
        <v>35</v>
      </c>
      <c r="G16">
        <v>37.86</v>
      </c>
      <c r="H16">
        <v>90</v>
      </c>
      <c r="I16" t="s">
        <v>23</v>
      </c>
      <c r="J16" t="s">
        <v>37</v>
      </c>
      <c r="K16" t="s">
        <v>48</v>
      </c>
      <c r="L16">
        <v>246</v>
      </c>
      <c r="M16" t="str">
        <f t="shared" si="0"/>
        <v>High</v>
      </c>
      <c r="N16" t="str">
        <f t="shared" si="1"/>
        <v>Excellent</v>
      </c>
    </row>
    <row r="17" spans="1:14">
      <c r="A17" t="s">
        <v>39</v>
      </c>
      <c r="B17">
        <v>2020</v>
      </c>
      <c r="C17" t="s">
        <v>76</v>
      </c>
      <c r="D17" t="s">
        <v>33</v>
      </c>
      <c r="E17" t="s">
        <v>77</v>
      </c>
      <c r="F17" t="s">
        <v>16</v>
      </c>
      <c r="G17">
        <v>25.79</v>
      </c>
      <c r="H17">
        <v>61</v>
      </c>
      <c r="I17" t="s">
        <v>61</v>
      </c>
      <c r="J17" t="s">
        <v>37</v>
      </c>
      <c r="K17" t="s">
        <v>78</v>
      </c>
      <c r="L17">
        <v>208</v>
      </c>
      <c r="M17" t="str">
        <f t="shared" si="0"/>
        <v>Medium</v>
      </c>
      <c r="N17" t="str">
        <f t="shared" si="1"/>
        <v>Average</v>
      </c>
    </row>
    <row r="18" spans="1:14">
      <c r="A18" t="s">
        <v>68</v>
      </c>
      <c r="B18">
        <v>2017</v>
      </c>
      <c r="C18" t="s">
        <v>79</v>
      </c>
      <c r="D18" t="s">
        <v>33</v>
      </c>
      <c r="E18" t="s">
        <v>80</v>
      </c>
      <c r="F18" t="s">
        <v>35</v>
      </c>
      <c r="G18">
        <v>21.53</v>
      </c>
      <c r="H18">
        <v>71</v>
      </c>
      <c r="I18" t="s">
        <v>61</v>
      </c>
      <c r="J18" t="s">
        <v>18</v>
      </c>
      <c r="K18" t="s">
        <v>81</v>
      </c>
      <c r="L18">
        <v>360</v>
      </c>
      <c r="M18" t="str">
        <f t="shared" si="0"/>
        <v>Medium</v>
      </c>
      <c r="N18" t="str">
        <f t="shared" si="1"/>
        <v>Average</v>
      </c>
    </row>
    <row r="19" spans="1:14">
      <c r="A19" t="s">
        <v>38</v>
      </c>
      <c r="B19">
        <v>2013</v>
      </c>
      <c r="C19" t="s">
        <v>82</v>
      </c>
      <c r="D19" t="s">
        <v>14</v>
      </c>
      <c r="E19" t="s">
        <v>83</v>
      </c>
      <c r="F19" t="s">
        <v>57</v>
      </c>
      <c r="G19">
        <v>4.22</v>
      </c>
      <c r="H19">
        <v>73</v>
      </c>
      <c r="I19" t="s">
        <v>17</v>
      </c>
      <c r="J19" t="s">
        <v>18</v>
      </c>
      <c r="K19" t="s">
        <v>84</v>
      </c>
      <c r="L19">
        <v>155</v>
      </c>
      <c r="M19" t="str">
        <f t="shared" si="0"/>
        <v>Low</v>
      </c>
      <c r="N19" t="str">
        <f t="shared" si="1"/>
        <v>Average</v>
      </c>
    </row>
    <row r="20" spans="1:14">
      <c r="A20" t="s">
        <v>48</v>
      </c>
      <c r="B20">
        <v>2019</v>
      </c>
      <c r="C20" t="s">
        <v>85</v>
      </c>
      <c r="D20" t="s">
        <v>14</v>
      </c>
      <c r="E20" t="s">
        <v>86</v>
      </c>
      <c r="F20" t="s">
        <v>35</v>
      </c>
      <c r="G20">
        <v>47.41</v>
      </c>
      <c r="H20">
        <v>75</v>
      </c>
      <c r="I20" t="s">
        <v>36</v>
      </c>
      <c r="J20" t="s">
        <v>37</v>
      </c>
      <c r="K20" t="s">
        <v>38</v>
      </c>
      <c r="L20">
        <v>32</v>
      </c>
      <c r="M20" t="str">
        <f t="shared" si="0"/>
        <v>High</v>
      </c>
      <c r="N20" t="str">
        <f t="shared" si="1"/>
        <v>Good</v>
      </c>
    </row>
    <row r="21" spans="1:14">
      <c r="A21" t="s">
        <v>39</v>
      </c>
      <c r="B21">
        <v>2020</v>
      </c>
      <c r="C21" t="s">
        <v>87</v>
      </c>
      <c r="D21" t="s">
        <v>33</v>
      </c>
      <c r="E21" t="s">
        <v>88</v>
      </c>
      <c r="F21" t="s">
        <v>46</v>
      </c>
      <c r="G21">
        <v>35.590000000000003</v>
      </c>
      <c r="H21">
        <v>50</v>
      </c>
      <c r="I21" t="s">
        <v>23</v>
      </c>
      <c r="J21" t="s">
        <v>24</v>
      </c>
      <c r="K21" t="s">
        <v>89</v>
      </c>
      <c r="L21">
        <v>73</v>
      </c>
      <c r="M21" t="str">
        <f t="shared" si="0"/>
        <v>High</v>
      </c>
      <c r="N21" t="str">
        <f t="shared" si="1"/>
        <v>Average</v>
      </c>
    </row>
    <row r="22" spans="1:14">
      <c r="A22" t="s">
        <v>68</v>
      </c>
      <c r="B22">
        <v>2003</v>
      </c>
      <c r="C22" t="s">
        <v>90</v>
      </c>
      <c r="D22" t="s">
        <v>14</v>
      </c>
      <c r="E22" t="s">
        <v>91</v>
      </c>
      <c r="F22" t="s">
        <v>42</v>
      </c>
      <c r="G22">
        <v>32.21</v>
      </c>
      <c r="H22">
        <v>95</v>
      </c>
      <c r="I22" t="s">
        <v>36</v>
      </c>
      <c r="J22" t="s">
        <v>24</v>
      </c>
      <c r="K22" t="s">
        <v>65</v>
      </c>
      <c r="L22">
        <v>147</v>
      </c>
      <c r="M22" t="str">
        <f t="shared" si="0"/>
        <v>Medium</v>
      </c>
      <c r="N22" t="str">
        <f t="shared" si="1"/>
        <v>Excellent</v>
      </c>
    </row>
    <row r="23" spans="1:14">
      <c r="A23" t="s">
        <v>12</v>
      </c>
      <c r="B23">
        <v>2008</v>
      </c>
      <c r="C23" t="s">
        <v>92</v>
      </c>
      <c r="D23" t="s">
        <v>14</v>
      </c>
      <c r="E23" t="s">
        <v>93</v>
      </c>
      <c r="F23" t="s">
        <v>46</v>
      </c>
      <c r="G23">
        <v>27.87</v>
      </c>
      <c r="H23">
        <v>57</v>
      </c>
      <c r="I23" t="s">
        <v>29</v>
      </c>
      <c r="J23" t="s">
        <v>24</v>
      </c>
      <c r="K23" t="s">
        <v>94</v>
      </c>
      <c r="L23">
        <v>29</v>
      </c>
      <c r="M23" t="str">
        <f t="shared" si="0"/>
        <v>Medium</v>
      </c>
      <c r="N23" t="str">
        <f t="shared" si="1"/>
        <v>Average</v>
      </c>
    </row>
    <row r="24" spans="1:14">
      <c r="A24" t="s">
        <v>38</v>
      </c>
      <c r="B24">
        <v>2020</v>
      </c>
      <c r="C24" t="s">
        <v>95</v>
      </c>
      <c r="D24" t="s">
        <v>33</v>
      </c>
      <c r="E24" t="s">
        <v>96</v>
      </c>
      <c r="F24" t="s">
        <v>42</v>
      </c>
      <c r="G24">
        <v>47.06</v>
      </c>
      <c r="H24">
        <v>68</v>
      </c>
      <c r="I24" t="s">
        <v>17</v>
      </c>
      <c r="J24" t="s">
        <v>37</v>
      </c>
      <c r="K24" t="s">
        <v>97</v>
      </c>
      <c r="L24">
        <v>241</v>
      </c>
      <c r="M24" t="str">
        <f t="shared" si="0"/>
        <v>High</v>
      </c>
      <c r="N24" t="str">
        <f t="shared" si="1"/>
        <v>Average</v>
      </c>
    </row>
    <row r="25" spans="1:14">
      <c r="A25" t="s">
        <v>65</v>
      </c>
      <c r="B25">
        <v>2015</v>
      </c>
      <c r="C25" t="s">
        <v>98</v>
      </c>
      <c r="D25" t="s">
        <v>33</v>
      </c>
      <c r="E25" t="s">
        <v>99</v>
      </c>
      <c r="F25" t="s">
        <v>42</v>
      </c>
      <c r="G25">
        <v>38.83</v>
      </c>
      <c r="H25">
        <v>50</v>
      </c>
      <c r="I25" t="s">
        <v>29</v>
      </c>
      <c r="J25" t="s">
        <v>18</v>
      </c>
      <c r="K25" t="s">
        <v>100</v>
      </c>
      <c r="L25">
        <v>191</v>
      </c>
      <c r="M25" t="str">
        <f t="shared" si="0"/>
        <v>High</v>
      </c>
      <c r="N25" t="str">
        <f t="shared" si="1"/>
        <v>Average</v>
      </c>
    </row>
    <row r="26" spans="1:14">
      <c r="A26" t="s">
        <v>20</v>
      </c>
      <c r="B26">
        <v>2022</v>
      </c>
      <c r="C26" t="s">
        <v>101</v>
      </c>
      <c r="D26" t="s">
        <v>14</v>
      </c>
      <c r="E26" t="s">
        <v>102</v>
      </c>
      <c r="F26" t="s">
        <v>35</v>
      </c>
      <c r="G26">
        <v>48.25</v>
      </c>
      <c r="H26">
        <v>68</v>
      </c>
      <c r="I26" t="s">
        <v>17</v>
      </c>
      <c r="J26" t="s">
        <v>18</v>
      </c>
      <c r="K26" t="s">
        <v>38</v>
      </c>
      <c r="L26">
        <v>15</v>
      </c>
      <c r="M26" t="str">
        <f t="shared" si="0"/>
        <v>High</v>
      </c>
      <c r="N26" t="str">
        <f t="shared" si="1"/>
        <v>Average</v>
      </c>
    </row>
    <row r="27" spans="1:14">
      <c r="A27" t="s">
        <v>39</v>
      </c>
      <c r="B27">
        <v>2004</v>
      </c>
      <c r="C27" t="s">
        <v>103</v>
      </c>
      <c r="D27" t="s">
        <v>33</v>
      </c>
      <c r="E27" t="s">
        <v>104</v>
      </c>
      <c r="F27" t="s">
        <v>46</v>
      </c>
      <c r="G27">
        <v>6.38</v>
      </c>
      <c r="H27">
        <v>73</v>
      </c>
      <c r="I27" t="s">
        <v>29</v>
      </c>
      <c r="J27" t="s">
        <v>37</v>
      </c>
      <c r="K27" t="s">
        <v>31</v>
      </c>
      <c r="L27">
        <v>169</v>
      </c>
      <c r="M27" t="str">
        <f t="shared" si="0"/>
        <v>Low</v>
      </c>
      <c r="N27" t="str">
        <f t="shared" si="1"/>
        <v>Average</v>
      </c>
    </row>
    <row r="28" spans="1:14">
      <c r="A28" t="s">
        <v>20</v>
      </c>
      <c r="B28">
        <v>2025</v>
      </c>
      <c r="C28" t="s">
        <v>105</v>
      </c>
      <c r="D28" t="s">
        <v>14</v>
      </c>
      <c r="E28" t="s">
        <v>106</v>
      </c>
      <c r="F28" t="s">
        <v>35</v>
      </c>
      <c r="G28">
        <v>27.01</v>
      </c>
      <c r="H28">
        <v>85</v>
      </c>
      <c r="I28" t="s">
        <v>36</v>
      </c>
      <c r="J28" t="s">
        <v>18</v>
      </c>
      <c r="K28" t="s">
        <v>107</v>
      </c>
      <c r="L28">
        <v>81</v>
      </c>
      <c r="M28" t="str">
        <f t="shared" si="0"/>
        <v>Medium</v>
      </c>
      <c r="N28" t="str">
        <f t="shared" si="1"/>
        <v>Good</v>
      </c>
    </row>
    <row r="29" spans="1:14">
      <c r="A29" t="s">
        <v>48</v>
      </c>
      <c r="B29">
        <v>2017</v>
      </c>
      <c r="C29" t="s">
        <v>108</v>
      </c>
      <c r="D29" t="s">
        <v>14</v>
      </c>
      <c r="E29" t="s">
        <v>109</v>
      </c>
      <c r="F29" t="s">
        <v>35</v>
      </c>
      <c r="G29">
        <v>2.17</v>
      </c>
      <c r="H29">
        <v>56</v>
      </c>
      <c r="I29" t="s">
        <v>29</v>
      </c>
      <c r="J29" t="s">
        <v>37</v>
      </c>
      <c r="K29" t="s">
        <v>65</v>
      </c>
      <c r="L29">
        <v>210</v>
      </c>
      <c r="M29" t="str">
        <f t="shared" si="0"/>
        <v>Low</v>
      </c>
      <c r="N29" t="str">
        <f t="shared" si="1"/>
        <v>Average</v>
      </c>
    </row>
    <row r="30" spans="1:14">
      <c r="A30" t="s">
        <v>47</v>
      </c>
      <c r="B30">
        <v>2013</v>
      </c>
      <c r="C30" t="s">
        <v>110</v>
      </c>
      <c r="D30" t="s">
        <v>33</v>
      </c>
      <c r="E30" t="s">
        <v>111</v>
      </c>
      <c r="F30" t="s">
        <v>35</v>
      </c>
      <c r="G30">
        <v>44.01</v>
      </c>
      <c r="H30">
        <v>92</v>
      </c>
      <c r="I30" t="s">
        <v>29</v>
      </c>
      <c r="J30" t="s">
        <v>18</v>
      </c>
      <c r="K30" t="s">
        <v>47</v>
      </c>
      <c r="L30">
        <v>353</v>
      </c>
      <c r="M30" t="str">
        <f t="shared" si="0"/>
        <v>High</v>
      </c>
      <c r="N30" t="str">
        <f t="shared" si="1"/>
        <v>Excellent</v>
      </c>
    </row>
    <row r="31" spans="1:14">
      <c r="A31" t="s">
        <v>31</v>
      </c>
      <c r="B31">
        <v>2019</v>
      </c>
      <c r="C31" t="s">
        <v>112</v>
      </c>
      <c r="D31" t="s">
        <v>33</v>
      </c>
      <c r="E31" t="s">
        <v>113</v>
      </c>
      <c r="F31" t="s">
        <v>42</v>
      </c>
      <c r="G31">
        <v>45.31</v>
      </c>
      <c r="H31">
        <v>87</v>
      </c>
      <c r="I31" t="s">
        <v>29</v>
      </c>
      <c r="J31" t="s">
        <v>24</v>
      </c>
      <c r="K31" t="s">
        <v>114</v>
      </c>
      <c r="L31">
        <v>260</v>
      </c>
      <c r="M31" t="str">
        <f t="shared" si="0"/>
        <v>High</v>
      </c>
      <c r="N31" t="str">
        <f t="shared" si="1"/>
        <v>Good</v>
      </c>
    </row>
    <row r="32" spans="1:14">
      <c r="A32" t="s">
        <v>68</v>
      </c>
      <c r="B32">
        <v>2006</v>
      </c>
      <c r="C32" t="s">
        <v>115</v>
      </c>
      <c r="D32" t="s">
        <v>33</v>
      </c>
      <c r="E32" t="s">
        <v>116</v>
      </c>
      <c r="F32" t="s">
        <v>57</v>
      </c>
      <c r="G32">
        <v>16.57</v>
      </c>
      <c r="H32">
        <v>71</v>
      </c>
      <c r="I32" t="s">
        <v>29</v>
      </c>
      <c r="J32" t="s">
        <v>37</v>
      </c>
      <c r="K32" t="s">
        <v>117</v>
      </c>
      <c r="L32">
        <v>76</v>
      </c>
      <c r="M32" t="str">
        <f t="shared" si="0"/>
        <v>Medium</v>
      </c>
      <c r="N32" t="str">
        <f t="shared" si="1"/>
        <v>Average</v>
      </c>
    </row>
    <row r="33" spans="1:14">
      <c r="A33" t="s">
        <v>65</v>
      </c>
      <c r="B33">
        <v>2025</v>
      </c>
      <c r="C33" t="s">
        <v>118</v>
      </c>
      <c r="D33" t="s">
        <v>14</v>
      </c>
      <c r="E33" t="s">
        <v>119</v>
      </c>
      <c r="F33" t="s">
        <v>42</v>
      </c>
      <c r="G33">
        <v>47.79</v>
      </c>
      <c r="H33">
        <v>56</v>
      </c>
      <c r="I33" t="s">
        <v>61</v>
      </c>
      <c r="J33" t="s">
        <v>24</v>
      </c>
      <c r="K33" t="s">
        <v>120</v>
      </c>
      <c r="L33">
        <v>295</v>
      </c>
      <c r="M33" t="str">
        <f t="shared" si="0"/>
        <v>High</v>
      </c>
      <c r="N33" t="str">
        <f t="shared" si="1"/>
        <v>Average</v>
      </c>
    </row>
    <row r="34" spans="1:14">
      <c r="A34" t="s">
        <v>20</v>
      </c>
      <c r="B34">
        <v>2024</v>
      </c>
      <c r="C34" t="s">
        <v>121</v>
      </c>
      <c r="D34" t="s">
        <v>33</v>
      </c>
      <c r="E34" t="s">
        <v>122</v>
      </c>
      <c r="F34" t="s">
        <v>35</v>
      </c>
      <c r="G34">
        <v>46.17</v>
      </c>
      <c r="H34">
        <v>62</v>
      </c>
      <c r="I34" t="s">
        <v>29</v>
      </c>
      <c r="J34" t="s">
        <v>18</v>
      </c>
      <c r="K34" t="s">
        <v>123</v>
      </c>
      <c r="L34">
        <v>322</v>
      </c>
      <c r="M34" t="str">
        <f t="shared" si="0"/>
        <v>High</v>
      </c>
      <c r="N34" t="str">
        <f t="shared" si="1"/>
        <v>Average</v>
      </c>
    </row>
    <row r="35" spans="1:14">
      <c r="A35" t="s">
        <v>39</v>
      </c>
      <c r="B35">
        <v>2025</v>
      </c>
      <c r="C35" t="s">
        <v>124</v>
      </c>
      <c r="D35" t="s">
        <v>14</v>
      </c>
      <c r="E35" t="s">
        <v>125</v>
      </c>
      <c r="F35" t="s">
        <v>42</v>
      </c>
      <c r="G35">
        <v>3.83</v>
      </c>
      <c r="H35">
        <v>65</v>
      </c>
      <c r="I35" t="s">
        <v>23</v>
      </c>
      <c r="J35" t="s">
        <v>24</v>
      </c>
      <c r="K35" t="s">
        <v>126</v>
      </c>
      <c r="L35">
        <v>323</v>
      </c>
      <c r="M35" t="str">
        <f t="shared" si="0"/>
        <v>Low</v>
      </c>
      <c r="N35" t="str">
        <f t="shared" si="1"/>
        <v>Average</v>
      </c>
    </row>
    <row r="36" spans="1:14">
      <c r="A36" t="s">
        <v>47</v>
      </c>
      <c r="B36">
        <v>2009</v>
      </c>
      <c r="C36" t="s">
        <v>127</v>
      </c>
      <c r="D36" t="s">
        <v>33</v>
      </c>
      <c r="E36" t="s">
        <v>128</v>
      </c>
      <c r="F36" t="s">
        <v>42</v>
      </c>
      <c r="G36">
        <v>11.4</v>
      </c>
      <c r="H36">
        <v>88</v>
      </c>
      <c r="I36" t="s">
        <v>36</v>
      </c>
      <c r="J36" t="s">
        <v>37</v>
      </c>
      <c r="K36" t="s">
        <v>129</v>
      </c>
      <c r="L36">
        <v>215</v>
      </c>
      <c r="M36" t="str">
        <f t="shared" si="0"/>
        <v>Low</v>
      </c>
      <c r="N36" t="str">
        <f t="shared" si="1"/>
        <v>Good</v>
      </c>
    </row>
    <row r="37" spans="1:14">
      <c r="A37" t="s">
        <v>20</v>
      </c>
      <c r="B37">
        <v>2022</v>
      </c>
      <c r="C37" t="s">
        <v>130</v>
      </c>
      <c r="D37" t="s">
        <v>33</v>
      </c>
      <c r="E37" t="s">
        <v>131</v>
      </c>
      <c r="F37" t="s">
        <v>35</v>
      </c>
      <c r="G37">
        <v>16.89</v>
      </c>
      <c r="H37">
        <v>56</v>
      </c>
      <c r="I37" t="s">
        <v>36</v>
      </c>
      <c r="J37" t="s">
        <v>18</v>
      </c>
      <c r="K37" t="s">
        <v>94</v>
      </c>
      <c r="L37">
        <v>326</v>
      </c>
      <c r="M37" t="str">
        <f t="shared" si="0"/>
        <v>Medium</v>
      </c>
      <c r="N37" t="str">
        <f t="shared" si="1"/>
        <v>Average</v>
      </c>
    </row>
    <row r="38" spans="1:14">
      <c r="A38" t="s">
        <v>39</v>
      </c>
      <c r="B38">
        <v>2016</v>
      </c>
      <c r="C38" t="s">
        <v>132</v>
      </c>
      <c r="D38" t="s">
        <v>33</v>
      </c>
      <c r="E38" t="s">
        <v>133</v>
      </c>
      <c r="F38" t="s">
        <v>46</v>
      </c>
      <c r="G38">
        <v>0.79</v>
      </c>
      <c r="H38">
        <v>82</v>
      </c>
      <c r="I38" t="s">
        <v>36</v>
      </c>
      <c r="J38" t="s">
        <v>37</v>
      </c>
      <c r="K38" t="s">
        <v>134</v>
      </c>
      <c r="L38">
        <v>191</v>
      </c>
      <c r="M38" t="str">
        <f t="shared" si="0"/>
        <v>Low</v>
      </c>
      <c r="N38" t="str">
        <f t="shared" si="1"/>
        <v>Good</v>
      </c>
    </row>
    <row r="39" spans="1:14">
      <c r="A39" t="s">
        <v>31</v>
      </c>
      <c r="B39">
        <v>2022</v>
      </c>
      <c r="C39" t="s">
        <v>135</v>
      </c>
      <c r="D39" t="s">
        <v>14</v>
      </c>
      <c r="E39" t="s">
        <v>136</v>
      </c>
      <c r="F39" t="s">
        <v>35</v>
      </c>
      <c r="G39">
        <v>1.51</v>
      </c>
      <c r="H39">
        <v>92</v>
      </c>
      <c r="I39" t="s">
        <v>23</v>
      </c>
      <c r="J39" t="s">
        <v>18</v>
      </c>
      <c r="K39" t="s">
        <v>20</v>
      </c>
      <c r="L39">
        <v>353</v>
      </c>
      <c r="M39" t="str">
        <f t="shared" si="0"/>
        <v>Low</v>
      </c>
      <c r="N39" t="str">
        <f t="shared" si="1"/>
        <v>Excellent</v>
      </c>
    </row>
    <row r="40" spans="1:14">
      <c r="A40" t="s">
        <v>39</v>
      </c>
      <c r="B40">
        <v>2024</v>
      </c>
      <c r="C40" t="s">
        <v>137</v>
      </c>
      <c r="D40" t="s">
        <v>33</v>
      </c>
      <c r="E40" t="s">
        <v>138</v>
      </c>
      <c r="F40" t="s">
        <v>16</v>
      </c>
      <c r="G40">
        <v>26.05</v>
      </c>
      <c r="H40">
        <v>73</v>
      </c>
      <c r="I40" t="s">
        <v>17</v>
      </c>
      <c r="J40" t="s">
        <v>18</v>
      </c>
      <c r="K40" t="s">
        <v>139</v>
      </c>
      <c r="L40">
        <v>307</v>
      </c>
      <c r="M40" t="str">
        <f t="shared" si="0"/>
        <v>Medium</v>
      </c>
      <c r="N40" t="str">
        <f t="shared" si="1"/>
        <v>Average</v>
      </c>
    </row>
    <row r="41" spans="1:14">
      <c r="A41" t="s">
        <v>68</v>
      </c>
      <c r="B41">
        <v>2011</v>
      </c>
      <c r="C41" t="s">
        <v>140</v>
      </c>
      <c r="D41" t="s">
        <v>14</v>
      </c>
      <c r="E41" t="s">
        <v>141</v>
      </c>
      <c r="F41" t="s">
        <v>42</v>
      </c>
      <c r="G41">
        <v>3.08</v>
      </c>
      <c r="H41">
        <v>64</v>
      </c>
      <c r="I41" t="s">
        <v>61</v>
      </c>
      <c r="J41" t="s">
        <v>24</v>
      </c>
      <c r="K41" t="s">
        <v>48</v>
      </c>
      <c r="L41">
        <v>213</v>
      </c>
      <c r="M41" t="str">
        <f t="shared" si="0"/>
        <v>Low</v>
      </c>
      <c r="N41" t="str">
        <f t="shared" si="1"/>
        <v>Average</v>
      </c>
    </row>
    <row r="42" spans="1:14">
      <c r="A42" t="s">
        <v>38</v>
      </c>
      <c r="B42">
        <v>2003</v>
      </c>
      <c r="C42" t="s">
        <v>142</v>
      </c>
      <c r="D42" t="s">
        <v>33</v>
      </c>
      <c r="E42" t="s">
        <v>143</v>
      </c>
      <c r="F42" t="s">
        <v>46</v>
      </c>
      <c r="G42">
        <v>19.78</v>
      </c>
      <c r="H42">
        <v>88</v>
      </c>
      <c r="I42" t="s">
        <v>36</v>
      </c>
      <c r="J42" t="s">
        <v>24</v>
      </c>
      <c r="K42" t="s">
        <v>65</v>
      </c>
      <c r="L42">
        <v>143</v>
      </c>
      <c r="M42" t="str">
        <f t="shared" si="0"/>
        <v>Medium</v>
      </c>
      <c r="N42" t="str">
        <f t="shared" si="1"/>
        <v>Good</v>
      </c>
    </row>
    <row r="43" spans="1:14">
      <c r="A43" t="s">
        <v>68</v>
      </c>
      <c r="B43">
        <v>2024</v>
      </c>
      <c r="C43" t="s">
        <v>144</v>
      </c>
      <c r="D43" t="s">
        <v>33</v>
      </c>
      <c r="E43" t="s">
        <v>145</v>
      </c>
      <c r="F43" t="s">
        <v>46</v>
      </c>
      <c r="G43">
        <v>38.200000000000003</v>
      </c>
      <c r="H43">
        <v>97</v>
      </c>
      <c r="I43" t="s">
        <v>61</v>
      </c>
      <c r="J43" t="s">
        <v>18</v>
      </c>
      <c r="K43" t="s">
        <v>146</v>
      </c>
      <c r="L43">
        <v>358</v>
      </c>
      <c r="M43" t="str">
        <f t="shared" si="0"/>
        <v>High</v>
      </c>
      <c r="N43" t="str">
        <f t="shared" si="1"/>
        <v>Excellent</v>
      </c>
    </row>
    <row r="44" spans="1:14">
      <c r="A44" t="s">
        <v>38</v>
      </c>
      <c r="B44">
        <v>2015</v>
      </c>
      <c r="C44" t="s">
        <v>147</v>
      </c>
      <c r="D44" t="s">
        <v>14</v>
      </c>
      <c r="E44" t="s">
        <v>148</v>
      </c>
      <c r="F44" t="s">
        <v>42</v>
      </c>
      <c r="G44">
        <v>24.51</v>
      </c>
      <c r="H44">
        <v>72</v>
      </c>
      <c r="I44" t="s">
        <v>36</v>
      </c>
      <c r="J44" t="s">
        <v>24</v>
      </c>
      <c r="K44" t="s">
        <v>39</v>
      </c>
      <c r="L44">
        <v>177</v>
      </c>
      <c r="M44" t="str">
        <f t="shared" si="0"/>
        <v>Medium</v>
      </c>
      <c r="N44" t="str">
        <f t="shared" si="1"/>
        <v>Average</v>
      </c>
    </row>
    <row r="45" spans="1:14">
      <c r="A45" t="s">
        <v>38</v>
      </c>
      <c r="B45">
        <v>2009</v>
      </c>
      <c r="C45" t="s">
        <v>149</v>
      </c>
      <c r="D45" t="s">
        <v>14</v>
      </c>
      <c r="E45" t="s">
        <v>150</v>
      </c>
      <c r="F45" t="s">
        <v>42</v>
      </c>
      <c r="G45">
        <v>11.27</v>
      </c>
      <c r="H45">
        <v>50</v>
      </c>
      <c r="I45" t="s">
        <v>17</v>
      </c>
      <c r="J45" t="s">
        <v>18</v>
      </c>
      <c r="K45" t="s">
        <v>151</v>
      </c>
      <c r="L45">
        <v>175</v>
      </c>
      <c r="M45" t="str">
        <f t="shared" si="0"/>
        <v>Low</v>
      </c>
      <c r="N45" t="str">
        <f t="shared" si="1"/>
        <v>Average</v>
      </c>
    </row>
    <row r="46" spans="1:14">
      <c r="A46" t="s">
        <v>39</v>
      </c>
      <c r="B46">
        <v>2015</v>
      </c>
      <c r="C46" t="s">
        <v>152</v>
      </c>
      <c r="D46" t="s">
        <v>33</v>
      </c>
      <c r="E46" t="s">
        <v>153</v>
      </c>
      <c r="F46" t="s">
        <v>35</v>
      </c>
      <c r="G46">
        <v>47.9</v>
      </c>
      <c r="H46">
        <v>61</v>
      </c>
      <c r="I46" t="s">
        <v>61</v>
      </c>
      <c r="J46" t="s">
        <v>37</v>
      </c>
      <c r="K46" t="s">
        <v>154</v>
      </c>
      <c r="L46">
        <v>154</v>
      </c>
      <c r="M46" t="str">
        <f t="shared" si="0"/>
        <v>High</v>
      </c>
      <c r="N46" t="str">
        <f t="shared" si="1"/>
        <v>Average</v>
      </c>
    </row>
    <row r="47" spans="1:14">
      <c r="A47" t="s">
        <v>20</v>
      </c>
      <c r="B47">
        <v>2000</v>
      </c>
      <c r="C47" t="s">
        <v>155</v>
      </c>
      <c r="D47" t="s">
        <v>33</v>
      </c>
      <c r="E47" t="s">
        <v>156</v>
      </c>
      <c r="F47" t="s">
        <v>46</v>
      </c>
      <c r="G47">
        <v>28.94</v>
      </c>
      <c r="H47">
        <v>71</v>
      </c>
      <c r="I47" t="s">
        <v>61</v>
      </c>
      <c r="J47" t="s">
        <v>37</v>
      </c>
      <c r="K47" t="s">
        <v>157</v>
      </c>
      <c r="L47">
        <v>283</v>
      </c>
      <c r="M47" t="str">
        <f t="shared" si="0"/>
        <v>Medium</v>
      </c>
      <c r="N47" t="str">
        <f t="shared" si="1"/>
        <v>Average</v>
      </c>
    </row>
    <row r="48" spans="1:14">
      <c r="A48" t="s">
        <v>20</v>
      </c>
      <c r="B48">
        <v>2009</v>
      </c>
      <c r="C48" t="s">
        <v>158</v>
      </c>
      <c r="D48" t="s">
        <v>14</v>
      </c>
      <c r="E48" t="s">
        <v>159</v>
      </c>
      <c r="F48" t="s">
        <v>16</v>
      </c>
      <c r="G48">
        <v>35.58</v>
      </c>
      <c r="H48">
        <v>97</v>
      </c>
      <c r="I48" t="s">
        <v>61</v>
      </c>
      <c r="J48" t="s">
        <v>18</v>
      </c>
      <c r="K48" t="s">
        <v>31</v>
      </c>
      <c r="L48">
        <v>165</v>
      </c>
      <c r="M48" t="str">
        <f t="shared" si="0"/>
        <v>High</v>
      </c>
      <c r="N48" t="str">
        <f t="shared" si="1"/>
        <v>Excellent</v>
      </c>
    </row>
    <row r="49" spans="1:14">
      <c r="A49" t="s">
        <v>38</v>
      </c>
      <c r="B49">
        <v>2020</v>
      </c>
      <c r="C49" t="s">
        <v>160</v>
      </c>
      <c r="D49" t="s">
        <v>33</v>
      </c>
      <c r="E49" t="s">
        <v>161</v>
      </c>
      <c r="F49" t="s">
        <v>42</v>
      </c>
      <c r="G49">
        <v>48.72</v>
      </c>
      <c r="H49">
        <v>68</v>
      </c>
      <c r="I49" t="s">
        <v>23</v>
      </c>
      <c r="J49" t="s">
        <v>24</v>
      </c>
      <c r="K49" t="s">
        <v>162</v>
      </c>
      <c r="L49">
        <v>119</v>
      </c>
      <c r="M49" t="str">
        <f t="shared" si="0"/>
        <v>High</v>
      </c>
      <c r="N49" t="str">
        <f t="shared" si="1"/>
        <v>Average</v>
      </c>
    </row>
    <row r="50" spans="1:14">
      <c r="A50" t="s">
        <v>68</v>
      </c>
      <c r="B50">
        <v>2013</v>
      </c>
      <c r="C50" t="s">
        <v>163</v>
      </c>
      <c r="D50" t="s">
        <v>14</v>
      </c>
      <c r="E50" t="s">
        <v>164</v>
      </c>
      <c r="F50" t="s">
        <v>57</v>
      </c>
      <c r="G50">
        <v>33.53</v>
      </c>
      <c r="H50">
        <v>93</v>
      </c>
      <c r="I50" t="s">
        <v>17</v>
      </c>
      <c r="J50" t="s">
        <v>18</v>
      </c>
      <c r="K50" t="s">
        <v>12</v>
      </c>
      <c r="L50">
        <v>259</v>
      </c>
      <c r="M50" t="str">
        <f t="shared" si="0"/>
        <v>Medium</v>
      </c>
      <c r="N50" t="str">
        <f t="shared" si="1"/>
        <v>Excellent</v>
      </c>
    </row>
    <row r="51" spans="1:14">
      <c r="A51" t="s">
        <v>26</v>
      </c>
      <c r="B51">
        <v>2024</v>
      </c>
      <c r="C51" t="s">
        <v>165</v>
      </c>
      <c r="D51" t="s">
        <v>33</v>
      </c>
      <c r="E51" t="s">
        <v>166</v>
      </c>
      <c r="F51" t="s">
        <v>42</v>
      </c>
      <c r="G51">
        <v>23.1</v>
      </c>
      <c r="H51">
        <v>99</v>
      </c>
      <c r="I51" t="s">
        <v>29</v>
      </c>
      <c r="J51" t="s">
        <v>24</v>
      </c>
      <c r="K51" t="s">
        <v>167</v>
      </c>
      <c r="L51">
        <v>267</v>
      </c>
      <c r="M51" t="str">
        <f t="shared" si="0"/>
        <v>Medium</v>
      </c>
      <c r="N51" t="str">
        <f t="shared" si="1"/>
        <v>Excellent</v>
      </c>
    </row>
    <row r="52" spans="1:14">
      <c r="A52" t="s">
        <v>39</v>
      </c>
      <c r="B52">
        <v>2011</v>
      </c>
      <c r="C52" t="s">
        <v>168</v>
      </c>
      <c r="D52" t="s">
        <v>14</v>
      </c>
      <c r="E52" t="s">
        <v>169</v>
      </c>
      <c r="F52" t="s">
        <v>35</v>
      </c>
      <c r="G52">
        <v>47.39</v>
      </c>
      <c r="H52">
        <v>60</v>
      </c>
      <c r="I52" t="s">
        <v>23</v>
      </c>
      <c r="J52" t="s">
        <v>24</v>
      </c>
      <c r="K52" t="s">
        <v>170</v>
      </c>
      <c r="L52">
        <v>260</v>
      </c>
      <c r="M52" t="str">
        <f t="shared" si="0"/>
        <v>High</v>
      </c>
      <c r="N52" t="str">
        <f t="shared" si="1"/>
        <v>Average</v>
      </c>
    </row>
    <row r="53" spans="1:14">
      <c r="A53" t="s">
        <v>47</v>
      </c>
      <c r="B53">
        <v>2006</v>
      </c>
      <c r="C53" t="s">
        <v>171</v>
      </c>
      <c r="D53" t="s">
        <v>14</v>
      </c>
      <c r="E53" t="s">
        <v>172</v>
      </c>
      <c r="F53" t="s">
        <v>57</v>
      </c>
      <c r="G53">
        <v>23.83</v>
      </c>
      <c r="H53">
        <v>71</v>
      </c>
      <c r="I53" t="s">
        <v>17</v>
      </c>
      <c r="J53" t="s">
        <v>24</v>
      </c>
      <c r="K53" t="s">
        <v>173</v>
      </c>
      <c r="L53">
        <v>140</v>
      </c>
      <c r="M53" t="str">
        <f t="shared" si="0"/>
        <v>Medium</v>
      </c>
      <c r="N53" t="str">
        <f t="shared" si="1"/>
        <v>Average</v>
      </c>
    </row>
    <row r="54" spans="1:14">
      <c r="A54" t="s">
        <v>65</v>
      </c>
      <c r="B54">
        <v>2022</v>
      </c>
      <c r="C54" t="s">
        <v>174</v>
      </c>
      <c r="D54" t="s">
        <v>14</v>
      </c>
      <c r="E54" t="s">
        <v>175</v>
      </c>
      <c r="F54" t="s">
        <v>16</v>
      </c>
      <c r="G54">
        <v>45.98</v>
      </c>
      <c r="H54">
        <v>91</v>
      </c>
      <c r="I54" t="s">
        <v>61</v>
      </c>
      <c r="J54" t="s">
        <v>24</v>
      </c>
      <c r="K54" t="s">
        <v>176</v>
      </c>
      <c r="L54">
        <v>229</v>
      </c>
      <c r="M54" t="str">
        <f t="shared" si="0"/>
        <v>High</v>
      </c>
      <c r="N54" t="str">
        <f t="shared" si="1"/>
        <v>Excellent</v>
      </c>
    </row>
    <row r="55" spans="1:14">
      <c r="A55" t="s">
        <v>39</v>
      </c>
      <c r="B55">
        <v>2020</v>
      </c>
      <c r="C55" t="s">
        <v>177</v>
      </c>
      <c r="D55" t="s">
        <v>14</v>
      </c>
      <c r="E55" t="s">
        <v>75</v>
      </c>
      <c r="F55" t="s">
        <v>46</v>
      </c>
      <c r="G55">
        <v>42.77</v>
      </c>
      <c r="H55">
        <v>95</v>
      </c>
      <c r="I55" t="s">
        <v>61</v>
      </c>
      <c r="J55" t="s">
        <v>18</v>
      </c>
      <c r="K55" t="s">
        <v>48</v>
      </c>
      <c r="L55">
        <v>60</v>
      </c>
      <c r="M55" t="str">
        <f t="shared" si="0"/>
        <v>High</v>
      </c>
      <c r="N55" t="str">
        <f t="shared" si="1"/>
        <v>Excellent</v>
      </c>
    </row>
    <row r="56" spans="1:14">
      <c r="A56" t="s">
        <v>65</v>
      </c>
      <c r="B56">
        <v>2025</v>
      </c>
      <c r="C56" t="s">
        <v>178</v>
      </c>
      <c r="D56" t="s">
        <v>33</v>
      </c>
      <c r="E56" t="s">
        <v>179</v>
      </c>
      <c r="F56" t="s">
        <v>16</v>
      </c>
      <c r="G56">
        <v>7.59</v>
      </c>
      <c r="H56">
        <v>98</v>
      </c>
      <c r="I56" t="s">
        <v>61</v>
      </c>
      <c r="J56" t="s">
        <v>24</v>
      </c>
      <c r="K56" t="s">
        <v>26</v>
      </c>
      <c r="L56">
        <v>265</v>
      </c>
      <c r="M56" t="str">
        <f t="shared" si="0"/>
        <v>Low</v>
      </c>
      <c r="N56" t="str">
        <f t="shared" si="1"/>
        <v>Excellent</v>
      </c>
    </row>
    <row r="57" spans="1:14">
      <c r="A57" t="s">
        <v>12</v>
      </c>
      <c r="B57">
        <v>2010</v>
      </c>
      <c r="C57" t="s">
        <v>180</v>
      </c>
      <c r="D57" t="s">
        <v>33</v>
      </c>
      <c r="E57" t="s">
        <v>181</v>
      </c>
      <c r="F57" t="s">
        <v>57</v>
      </c>
      <c r="G57">
        <v>40.67</v>
      </c>
      <c r="H57">
        <v>63</v>
      </c>
      <c r="I57" t="s">
        <v>17</v>
      </c>
      <c r="J57" t="s">
        <v>18</v>
      </c>
      <c r="K57" t="s">
        <v>65</v>
      </c>
      <c r="L57">
        <v>39</v>
      </c>
      <c r="M57" t="str">
        <f t="shared" si="0"/>
        <v>High</v>
      </c>
      <c r="N57" t="str">
        <f t="shared" si="1"/>
        <v>Average</v>
      </c>
    </row>
    <row r="58" spans="1:14">
      <c r="A58" t="s">
        <v>48</v>
      </c>
      <c r="B58">
        <v>2022</v>
      </c>
      <c r="C58" t="s">
        <v>182</v>
      </c>
      <c r="D58" t="s">
        <v>14</v>
      </c>
      <c r="E58" t="s">
        <v>183</v>
      </c>
      <c r="F58" t="s">
        <v>57</v>
      </c>
      <c r="G58">
        <v>18.11</v>
      </c>
      <c r="H58">
        <v>85</v>
      </c>
      <c r="I58" t="s">
        <v>61</v>
      </c>
      <c r="J58" t="s">
        <v>18</v>
      </c>
      <c r="K58" t="s">
        <v>184</v>
      </c>
      <c r="L58">
        <v>342</v>
      </c>
      <c r="M58" t="str">
        <f t="shared" si="0"/>
        <v>Medium</v>
      </c>
      <c r="N58" t="str">
        <f t="shared" si="1"/>
        <v>Good</v>
      </c>
    </row>
    <row r="59" spans="1:14">
      <c r="A59" t="s">
        <v>12</v>
      </c>
      <c r="B59">
        <v>2010</v>
      </c>
      <c r="C59" t="s">
        <v>185</v>
      </c>
      <c r="D59" t="s">
        <v>14</v>
      </c>
      <c r="E59" t="s">
        <v>186</v>
      </c>
      <c r="F59" t="s">
        <v>57</v>
      </c>
      <c r="G59">
        <v>14.83</v>
      </c>
      <c r="H59">
        <v>68</v>
      </c>
      <c r="I59" t="s">
        <v>36</v>
      </c>
      <c r="J59" t="s">
        <v>18</v>
      </c>
      <c r="K59" t="s">
        <v>31</v>
      </c>
      <c r="L59">
        <v>13</v>
      </c>
      <c r="M59" t="str">
        <f t="shared" si="0"/>
        <v>Low</v>
      </c>
      <c r="N59" t="str">
        <f t="shared" si="1"/>
        <v>Average</v>
      </c>
    </row>
    <row r="60" spans="1:14">
      <c r="A60" t="s">
        <v>68</v>
      </c>
      <c r="B60">
        <v>2017</v>
      </c>
      <c r="C60" t="s">
        <v>187</v>
      </c>
      <c r="D60" t="s">
        <v>14</v>
      </c>
      <c r="E60" t="s">
        <v>188</v>
      </c>
      <c r="F60" t="s">
        <v>16</v>
      </c>
      <c r="G60">
        <v>4.16</v>
      </c>
      <c r="H60">
        <v>73</v>
      </c>
      <c r="I60" t="s">
        <v>61</v>
      </c>
      <c r="J60" t="s">
        <v>18</v>
      </c>
      <c r="K60" t="s">
        <v>38</v>
      </c>
      <c r="L60">
        <v>318</v>
      </c>
      <c r="M60" t="str">
        <f t="shared" si="0"/>
        <v>Low</v>
      </c>
      <c r="N60" t="str">
        <f t="shared" si="1"/>
        <v>Average</v>
      </c>
    </row>
    <row r="61" spans="1:14">
      <c r="A61" t="s">
        <v>20</v>
      </c>
      <c r="B61">
        <v>2008</v>
      </c>
      <c r="C61" t="s">
        <v>189</v>
      </c>
      <c r="D61" t="s">
        <v>33</v>
      </c>
      <c r="E61" t="s">
        <v>190</v>
      </c>
      <c r="F61" t="s">
        <v>16</v>
      </c>
      <c r="G61">
        <v>25.99</v>
      </c>
      <c r="H61">
        <v>97</v>
      </c>
      <c r="I61" t="s">
        <v>36</v>
      </c>
      <c r="J61" t="s">
        <v>37</v>
      </c>
      <c r="K61" t="s">
        <v>47</v>
      </c>
      <c r="L61">
        <v>146</v>
      </c>
      <c r="M61" t="str">
        <f t="shared" si="0"/>
        <v>Medium</v>
      </c>
      <c r="N61" t="str">
        <f t="shared" si="1"/>
        <v>Excellent</v>
      </c>
    </row>
    <row r="62" spans="1:14">
      <c r="A62" t="s">
        <v>65</v>
      </c>
      <c r="B62">
        <v>2003</v>
      </c>
      <c r="C62" t="s">
        <v>191</v>
      </c>
      <c r="D62" t="s">
        <v>14</v>
      </c>
      <c r="E62" t="s">
        <v>192</v>
      </c>
      <c r="F62" t="s">
        <v>46</v>
      </c>
      <c r="G62">
        <v>11.82</v>
      </c>
      <c r="H62">
        <v>76</v>
      </c>
      <c r="I62" t="s">
        <v>23</v>
      </c>
      <c r="J62" t="s">
        <v>24</v>
      </c>
      <c r="K62" t="s">
        <v>48</v>
      </c>
      <c r="L62">
        <v>148</v>
      </c>
      <c r="M62" t="str">
        <f t="shared" si="0"/>
        <v>Low</v>
      </c>
      <c r="N62" t="str">
        <f t="shared" si="1"/>
        <v>Good</v>
      </c>
    </row>
    <row r="63" spans="1:14">
      <c r="A63" t="s">
        <v>65</v>
      </c>
      <c r="B63">
        <v>2012</v>
      </c>
      <c r="C63" t="s">
        <v>193</v>
      </c>
      <c r="D63" t="s">
        <v>14</v>
      </c>
      <c r="E63" t="s">
        <v>194</v>
      </c>
      <c r="F63" t="s">
        <v>42</v>
      </c>
      <c r="G63">
        <v>46.66</v>
      </c>
      <c r="H63">
        <v>69</v>
      </c>
      <c r="I63" t="s">
        <v>36</v>
      </c>
      <c r="J63" t="s">
        <v>37</v>
      </c>
      <c r="K63" t="s">
        <v>195</v>
      </c>
      <c r="L63">
        <v>239</v>
      </c>
      <c r="M63" t="str">
        <f t="shared" si="0"/>
        <v>High</v>
      </c>
      <c r="N63" t="str">
        <f t="shared" si="1"/>
        <v>Average</v>
      </c>
    </row>
    <row r="64" spans="1:14">
      <c r="A64" t="s">
        <v>12</v>
      </c>
      <c r="B64">
        <v>2025</v>
      </c>
      <c r="C64" t="s">
        <v>196</v>
      </c>
      <c r="D64" t="s">
        <v>14</v>
      </c>
      <c r="E64" t="s">
        <v>197</v>
      </c>
      <c r="F64" t="s">
        <v>42</v>
      </c>
      <c r="G64">
        <v>28.49</v>
      </c>
      <c r="H64">
        <v>66</v>
      </c>
      <c r="I64" t="s">
        <v>23</v>
      </c>
      <c r="J64" t="s">
        <v>24</v>
      </c>
      <c r="K64" t="s">
        <v>198</v>
      </c>
      <c r="L64">
        <v>212</v>
      </c>
      <c r="M64" t="str">
        <f t="shared" si="0"/>
        <v>Medium</v>
      </c>
      <c r="N64" t="str">
        <f t="shared" si="1"/>
        <v>Average</v>
      </c>
    </row>
    <row r="65" spans="1:14">
      <c r="A65" t="s">
        <v>31</v>
      </c>
      <c r="B65">
        <v>2020</v>
      </c>
      <c r="C65" t="s">
        <v>199</v>
      </c>
      <c r="D65" t="s">
        <v>33</v>
      </c>
      <c r="E65" t="s">
        <v>200</v>
      </c>
      <c r="F65" t="s">
        <v>16</v>
      </c>
      <c r="G65">
        <v>34.229999999999997</v>
      </c>
      <c r="H65">
        <v>55</v>
      </c>
      <c r="I65" t="s">
        <v>36</v>
      </c>
      <c r="J65" t="s">
        <v>37</v>
      </c>
      <c r="K65" t="s">
        <v>201</v>
      </c>
      <c r="L65">
        <v>290</v>
      </c>
      <c r="M65" t="str">
        <f t="shared" si="0"/>
        <v>Medium</v>
      </c>
      <c r="N65" t="str">
        <f t="shared" si="1"/>
        <v>Average</v>
      </c>
    </row>
    <row r="66" spans="1:14">
      <c r="A66" t="s">
        <v>26</v>
      </c>
      <c r="B66">
        <v>2020</v>
      </c>
      <c r="C66" t="s">
        <v>202</v>
      </c>
      <c r="D66" t="s">
        <v>14</v>
      </c>
      <c r="E66" t="s">
        <v>203</v>
      </c>
      <c r="F66" t="s">
        <v>35</v>
      </c>
      <c r="G66">
        <v>14.98</v>
      </c>
      <c r="H66">
        <v>54</v>
      </c>
      <c r="I66" t="s">
        <v>36</v>
      </c>
      <c r="J66" t="s">
        <v>37</v>
      </c>
      <c r="K66" t="s">
        <v>12</v>
      </c>
      <c r="L66">
        <v>264</v>
      </c>
      <c r="M66" t="str">
        <f t="shared" si="0"/>
        <v>Low</v>
      </c>
      <c r="N66" t="str">
        <f t="shared" si="1"/>
        <v>Average</v>
      </c>
    </row>
    <row r="67" spans="1:14">
      <c r="A67" t="s">
        <v>39</v>
      </c>
      <c r="B67">
        <v>2024</v>
      </c>
      <c r="C67" t="s">
        <v>204</v>
      </c>
      <c r="D67" t="s">
        <v>33</v>
      </c>
      <c r="E67" t="s">
        <v>205</v>
      </c>
      <c r="F67" t="s">
        <v>16</v>
      </c>
      <c r="G67">
        <v>17.47</v>
      </c>
      <c r="H67">
        <v>69</v>
      </c>
      <c r="I67" t="s">
        <v>29</v>
      </c>
      <c r="J67" t="s">
        <v>24</v>
      </c>
      <c r="K67" t="s">
        <v>206</v>
      </c>
      <c r="L67">
        <v>118</v>
      </c>
      <c r="M67" t="str">
        <f t="shared" ref="M67:M130" si="2">IF(G67&lt;15,"Low",IF(G67&lt;35,"Medium","High"))</f>
        <v>Medium</v>
      </c>
      <c r="N67" t="str">
        <f t="shared" ref="N67:N130" si="3">IF(H67&gt;=90,"Excellent",IF(H67&gt;=75,"Good","Average"))</f>
        <v>Average</v>
      </c>
    </row>
    <row r="68" spans="1:14">
      <c r="A68" t="s">
        <v>38</v>
      </c>
      <c r="B68">
        <v>2002</v>
      </c>
      <c r="C68" t="s">
        <v>207</v>
      </c>
      <c r="D68" t="s">
        <v>33</v>
      </c>
      <c r="E68" t="s">
        <v>208</v>
      </c>
      <c r="F68" t="s">
        <v>35</v>
      </c>
      <c r="G68">
        <v>37.619999999999997</v>
      </c>
      <c r="H68">
        <v>99</v>
      </c>
      <c r="I68" t="s">
        <v>36</v>
      </c>
      <c r="J68" t="s">
        <v>24</v>
      </c>
      <c r="K68" t="s">
        <v>209</v>
      </c>
      <c r="L68">
        <v>309</v>
      </c>
      <c r="M68" t="str">
        <f t="shared" si="2"/>
        <v>High</v>
      </c>
      <c r="N68" t="str">
        <f t="shared" si="3"/>
        <v>Excellent</v>
      </c>
    </row>
    <row r="69" spans="1:14">
      <c r="A69" t="s">
        <v>65</v>
      </c>
      <c r="B69">
        <v>2017</v>
      </c>
      <c r="C69" t="s">
        <v>210</v>
      </c>
      <c r="D69" t="s">
        <v>14</v>
      </c>
      <c r="E69" t="s">
        <v>211</v>
      </c>
      <c r="F69" t="s">
        <v>42</v>
      </c>
      <c r="G69">
        <v>4.43</v>
      </c>
      <c r="H69">
        <v>67</v>
      </c>
      <c r="I69" t="s">
        <v>61</v>
      </c>
      <c r="J69" t="s">
        <v>18</v>
      </c>
      <c r="K69" t="s">
        <v>212</v>
      </c>
      <c r="L69">
        <v>274</v>
      </c>
      <c r="M69" t="str">
        <f t="shared" si="2"/>
        <v>Low</v>
      </c>
      <c r="N69" t="str">
        <f t="shared" si="3"/>
        <v>Average</v>
      </c>
    </row>
    <row r="70" spans="1:14">
      <c r="A70" t="s">
        <v>68</v>
      </c>
      <c r="B70">
        <v>2003</v>
      </c>
      <c r="C70" t="s">
        <v>213</v>
      </c>
      <c r="D70" t="s">
        <v>14</v>
      </c>
      <c r="E70" t="s">
        <v>214</v>
      </c>
      <c r="F70" t="s">
        <v>16</v>
      </c>
      <c r="G70">
        <v>46.54</v>
      </c>
      <c r="H70">
        <v>74</v>
      </c>
      <c r="I70" t="s">
        <v>61</v>
      </c>
      <c r="J70" t="s">
        <v>37</v>
      </c>
      <c r="K70" t="s">
        <v>97</v>
      </c>
      <c r="L70">
        <v>191</v>
      </c>
      <c r="M70" t="str">
        <f t="shared" si="2"/>
        <v>High</v>
      </c>
      <c r="N70" t="str">
        <f t="shared" si="3"/>
        <v>Average</v>
      </c>
    </row>
    <row r="71" spans="1:14">
      <c r="A71" t="s">
        <v>12</v>
      </c>
      <c r="B71">
        <v>2023</v>
      </c>
      <c r="C71" t="s">
        <v>215</v>
      </c>
      <c r="D71" t="s">
        <v>14</v>
      </c>
      <c r="E71" t="s">
        <v>216</v>
      </c>
      <c r="F71" t="s">
        <v>46</v>
      </c>
      <c r="G71">
        <v>33.15</v>
      </c>
      <c r="H71">
        <v>85</v>
      </c>
      <c r="I71" t="s">
        <v>36</v>
      </c>
      <c r="J71" t="s">
        <v>18</v>
      </c>
      <c r="K71" t="s">
        <v>217</v>
      </c>
      <c r="L71">
        <v>93</v>
      </c>
      <c r="M71" t="str">
        <f t="shared" si="2"/>
        <v>Medium</v>
      </c>
      <c r="N71" t="str">
        <f t="shared" si="3"/>
        <v>Good</v>
      </c>
    </row>
    <row r="72" spans="1:14">
      <c r="A72" t="s">
        <v>68</v>
      </c>
      <c r="B72">
        <v>2009</v>
      </c>
      <c r="C72" t="s">
        <v>218</v>
      </c>
      <c r="D72" t="s">
        <v>33</v>
      </c>
      <c r="E72" t="s">
        <v>219</v>
      </c>
      <c r="F72" t="s">
        <v>16</v>
      </c>
      <c r="G72">
        <v>6.89</v>
      </c>
      <c r="H72">
        <v>79</v>
      </c>
      <c r="I72" t="s">
        <v>61</v>
      </c>
      <c r="J72" t="s">
        <v>18</v>
      </c>
      <c r="K72" t="s">
        <v>220</v>
      </c>
      <c r="L72">
        <v>262</v>
      </c>
      <c r="M72" t="str">
        <f t="shared" si="2"/>
        <v>Low</v>
      </c>
      <c r="N72" t="str">
        <f t="shared" si="3"/>
        <v>Good</v>
      </c>
    </row>
    <row r="73" spans="1:14">
      <c r="A73" t="s">
        <v>48</v>
      </c>
      <c r="B73">
        <v>2022</v>
      </c>
      <c r="C73" t="s">
        <v>221</v>
      </c>
      <c r="D73" t="s">
        <v>33</v>
      </c>
      <c r="E73" t="s">
        <v>222</v>
      </c>
      <c r="F73" t="s">
        <v>35</v>
      </c>
      <c r="G73">
        <v>6.85</v>
      </c>
      <c r="H73">
        <v>76</v>
      </c>
      <c r="I73" t="s">
        <v>23</v>
      </c>
      <c r="J73" t="s">
        <v>37</v>
      </c>
      <c r="K73" t="s">
        <v>31</v>
      </c>
      <c r="L73">
        <v>3</v>
      </c>
      <c r="M73" t="str">
        <f t="shared" si="2"/>
        <v>Low</v>
      </c>
      <c r="N73" t="str">
        <f t="shared" si="3"/>
        <v>Good</v>
      </c>
    </row>
    <row r="74" spans="1:14">
      <c r="A74" t="s">
        <v>39</v>
      </c>
      <c r="B74">
        <v>2012</v>
      </c>
      <c r="C74" t="s">
        <v>223</v>
      </c>
      <c r="D74" t="s">
        <v>33</v>
      </c>
      <c r="E74" t="s">
        <v>224</v>
      </c>
      <c r="F74" t="s">
        <v>42</v>
      </c>
      <c r="G74">
        <v>44.02</v>
      </c>
      <c r="H74">
        <v>79</v>
      </c>
      <c r="I74" t="s">
        <v>61</v>
      </c>
      <c r="J74" t="s">
        <v>18</v>
      </c>
      <c r="K74" t="s">
        <v>19</v>
      </c>
      <c r="L74">
        <v>134</v>
      </c>
      <c r="M74" t="str">
        <f t="shared" si="2"/>
        <v>High</v>
      </c>
      <c r="N74" t="str">
        <f t="shared" si="3"/>
        <v>Good</v>
      </c>
    </row>
    <row r="75" spans="1:14">
      <c r="A75" t="s">
        <v>48</v>
      </c>
      <c r="B75">
        <v>2024</v>
      </c>
      <c r="C75" t="s">
        <v>225</v>
      </c>
      <c r="D75" t="s">
        <v>14</v>
      </c>
      <c r="E75" t="s">
        <v>226</v>
      </c>
      <c r="F75" t="s">
        <v>42</v>
      </c>
      <c r="G75">
        <v>7.63</v>
      </c>
      <c r="H75">
        <v>58</v>
      </c>
      <c r="I75" t="s">
        <v>36</v>
      </c>
      <c r="J75" t="s">
        <v>24</v>
      </c>
      <c r="K75" t="s">
        <v>48</v>
      </c>
      <c r="L75">
        <v>6</v>
      </c>
      <c r="M75" t="str">
        <f t="shared" si="2"/>
        <v>Low</v>
      </c>
      <c r="N75" t="str">
        <f t="shared" si="3"/>
        <v>Average</v>
      </c>
    </row>
    <row r="76" spans="1:14">
      <c r="A76" t="s">
        <v>31</v>
      </c>
      <c r="B76">
        <v>2017</v>
      </c>
      <c r="C76" t="s">
        <v>227</v>
      </c>
      <c r="D76" t="s">
        <v>33</v>
      </c>
      <c r="E76" t="s">
        <v>228</v>
      </c>
      <c r="F76" t="s">
        <v>46</v>
      </c>
      <c r="G76">
        <v>14.01</v>
      </c>
      <c r="H76">
        <v>93</v>
      </c>
      <c r="I76" t="s">
        <v>29</v>
      </c>
      <c r="J76" t="s">
        <v>18</v>
      </c>
      <c r="K76" t="s">
        <v>229</v>
      </c>
      <c r="L76">
        <v>227</v>
      </c>
      <c r="M76" t="str">
        <f t="shared" si="2"/>
        <v>Low</v>
      </c>
      <c r="N76" t="str">
        <f t="shared" si="3"/>
        <v>Excellent</v>
      </c>
    </row>
    <row r="77" spans="1:14">
      <c r="A77" t="s">
        <v>48</v>
      </c>
      <c r="B77">
        <v>2024</v>
      </c>
      <c r="C77" t="s">
        <v>230</v>
      </c>
      <c r="D77" t="s">
        <v>14</v>
      </c>
      <c r="E77" t="s">
        <v>231</v>
      </c>
      <c r="F77" t="s">
        <v>42</v>
      </c>
      <c r="G77">
        <v>16.47</v>
      </c>
      <c r="H77">
        <v>78</v>
      </c>
      <c r="I77" t="s">
        <v>17</v>
      </c>
      <c r="J77" t="s">
        <v>24</v>
      </c>
      <c r="K77" t="s">
        <v>232</v>
      </c>
      <c r="L77">
        <v>88</v>
      </c>
      <c r="M77" t="str">
        <f t="shared" si="2"/>
        <v>Medium</v>
      </c>
      <c r="N77" t="str">
        <f t="shared" si="3"/>
        <v>Good</v>
      </c>
    </row>
    <row r="78" spans="1:14">
      <c r="A78" t="s">
        <v>68</v>
      </c>
      <c r="B78">
        <v>2012</v>
      </c>
      <c r="C78" t="s">
        <v>233</v>
      </c>
      <c r="D78" t="s">
        <v>33</v>
      </c>
      <c r="E78" t="s">
        <v>234</v>
      </c>
      <c r="F78" t="s">
        <v>46</v>
      </c>
      <c r="G78">
        <v>37.979999999999997</v>
      </c>
      <c r="H78">
        <v>99</v>
      </c>
      <c r="I78" t="s">
        <v>23</v>
      </c>
      <c r="J78" t="s">
        <v>24</v>
      </c>
      <c r="K78" t="s">
        <v>235</v>
      </c>
      <c r="L78">
        <v>5</v>
      </c>
      <c r="M78" t="str">
        <f t="shared" si="2"/>
        <v>High</v>
      </c>
      <c r="N78" t="str">
        <f t="shared" si="3"/>
        <v>Excellent</v>
      </c>
    </row>
    <row r="79" spans="1:14">
      <c r="A79" t="s">
        <v>20</v>
      </c>
      <c r="B79">
        <v>2002</v>
      </c>
      <c r="C79" t="s">
        <v>236</v>
      </c>
      <c r="D79" t="s">
        <v>14</v>
      </c>
      <c r="E79" t="s">
        <v>237</v>
      </c>
      <c r="F79" t="s">
        <v>16</v>
      </c>
      <c r="G79">
        <v>14.58</v>
      </c>
      <c r="H79">
        <v>55</v>
      </c>
      <c r="I79" t="s">
        <v>17</v>
      </c>
      <c r="J79" t="s">
        <v>24</v>
      </c>
      <c r="K79" t="s">
        <v>26</v>
      </c>
      <c r="L79">
        <v>58</v>
      </c>
      <c r="M79" t="str">
        <f t="shared" si="2"/>
        <v>Low</v>
      </c>
      <c r="N79" t="str">
        <f t="shared" si="3"/>
        <v>Average</v>
      </c>
    </row>
    <row r="80" spans="1:14">
      <c r="A80" t="s">
        <v>68</v>
      </c>
      <c r="B80">
        <v>2005</v>
      </c>
      <c r="C80" t="s">
        <v>238</v>
      </c>
      <c r="D80" t="s">
        <v>33</v>
      </c>
      <c r="E80" t="s">
        <v>239</v>
      </c>
      <c r="F80" t="s">
        <v>57</v>
      </c>
      <c r="G80">
        <v>26.26</v>
      </c>
      <c r="H80">
        <v>66</v>
      </c>
      <c r="I80" t="s">
        <v>23</v>
      </c>
      <c r="J80" t="s">
        <v>18</v>
      </c>
      <c r="K80" t="s">
        <v>240</v>
      </c>
      <c r="L80">
        <v>39</v>
      </c>
      <c r="M80" t="str">
        <f t="shared" si="2"/>
        <v>Medium</v>
      </c>
      <c r="N80" t="str">
        <f t="shared" si="3"/>
        <v>Average</v>
      </c>
    </row>
    <row r="81" spans="1:14">
      <c r="A81" t="s">
        <v>38</v>
      </c>
      <c r="B81">
        <v>2012</v>
      </c>
      <c r="C81" t="s">
        <v>241</v>
      </c>
      <c r="D81" t="s">
        <v>33</v>
      </c>
      <c r="E81" t="s">
        <v>242</v>
      </c>
      <c r="F81" t="s">
        <v>42</v>
      </c>
      <c r="G81">
        <v>44.88</v>
      </c>
      <c r="H81">
        <v>59</v>
      </c>
      <c r="I81" t="s">
        <v>17</v>
      </c>
      <c r="J81" t="s">
        <v>37</v>
      </c>
      <c r="K81" t="s">
        <v>68</v>
      </c>
      <c r="L81">
        <v>311</v>
      </c>
      <c r="M81" t="str">
        <f t="shared" si="2"/>
        <v>High</v>
      </c>
      <c r="N81" t="str">
        <f t="shared" si="3"/>
        <v>Average</v>
      </c>
    </row>
    <row r="82" spans="1:14">
      <c r="A82" t="s">
        <v>38</v>
      </c>
      <c r="B82">
        <v>2020</v>
      </c>
      <c r="C82" t="s">
        <v>243</v>
      </c>
      <c r="D82" t="s">
        <v>14</v>
      </c>
      <c r="E82" t="s">
        <v>244</v>
      </c>
      <c r="F82" t="s">
        <v>46</v>
      </c>
      <c r="G82">
        <v>5.36</v>
      </c>
      <c r="H82">
        <v>85</v>
      </c>
      <c r="I82" t="s">
        <v>17</v>
      </c>
      <c r="J82" t="s">
        <v>24</v>
      </c>
      <c r="K82" t="s">
        <v>38</v>
      </c>
      <c r="L82">
        <v>330</v>
      </c>
      <c r="M82" t="str">
        <f t="shared" si="2"/>
        <v>Low</v>
      </c>
      <c r="N82" t="str">
        <f t="shared" si="3"/>
        <v>Good</v>
      </c>
    </row>
    <row r="83" spans="1:14">
      <c r="A83" t="s">
        <v>12</v>
      </c>
      <c r="B83">
        <v>2009</v>
      </c>
      <c r="C83" t="s">
        <v>245</v>
      </c>
      <c r="D83" t="s">
        <v>14</v>
      </c>
      <c r="E83" t="s">
        <v>246</v>
      </c>
      <c r="F83" t="s">
        <v>42</v>
      </c>
      <c r="G83">
        <v>6.93</v>
      </c>
      <c r="H83">
        <v>76</v>
      </c>
      <c r="I83" t="s">
        <v>61</v>
      </c>
      <c r="J83" t="s">
        <v>37</v>
      </c>
      <c r="K83" t="s">
        <v>157</v>
      </c>
      <c r="L83">
        <v>251</v>
      </c>
      <c r="M83" t="str">
        <f t="shared" si="2"/>
        <v>Low</v>
      </c>
      <c r="N83" t="str">
        <f t="shared" si="3"/>
        <v>Good</v>
      </c>
    </row>
    <row r="84" spans="1:14">
      <c r="A84" t="s">
        <v>26</v>
      </c>
      <c r="B84">
        <v>2004</v>
      </c>
      <c r="C84" t="s">
        <v>247</v>
      </c>
      <c r="D84" t="s">
        <v>33</v>
      </c>
      <c r="E84" t="s">
        <v>248</v>
      </c>
      <c r="F84" t="s">
        <v>57</v>
      </c>
      <c r="G84">
        <v>44.39</v>
      </c>
      <c r="H84">
        <v>76</v>
      </c>
      <c r="I84" t="s">
        <v>36</v>
      </c>
      <c r="J84" t="s">
        <v>24</v>
      </c>
      <c r="K84" t="s">
        <v>249</v>
      </c>
      <c r="L84">
        <v>316</v>
      </c>
      <c r="M84" t="str">
        <f t="shared" si="2"/>
        <v>High</v>
      </c>
      <c r="N84" t="str">
        <f t="shared" si="3"/>
        <v>Good</v>
      </c>
    </row>
    <row r="85" spans="1:14">
      <c r="A85" t="s">
        <v>20</v>
      </c>
      <c r="B85">
        <v>2010</v>
      </c>
      <c r="C85" t="s">
        <v>250</v>
      </c>
      <c r="D85" t="s">
        <v>14</v>
      </c>
      <c r="E85" t="s">
        <v>251</v>
      </c>
      <c r="F85" t="s">
        <v>42</v>
      </c>
      <c r="G85">
        <v>32.82</v>
      </c>
      <c r="H85">
        <v>87</v>
      </c>
      <c r="I85" t="s">
        <v>17</v>
      </c>
      <c r="J85" t="s">
        <v>18</v>
      </c>
      <c r="K85" t="s">
        <v>65</v>
      </c>
      <c r="L85">
        <v>50</v>
      </c>
      <c r="M85" t="str">
        <f t="shared" si="2"/>
        <v>Medium</v>
      </c>
      <c r="N85" t="str">
        <f t="shared" si="3"/>
        <v>Good</v>
      </c>
    </row>
    <row r="86" spans="1:14">
      <c r="A86" t="s">
        <v>65</v>
      </c>
      <c r="B86">
        <v>2008</v>
      </c>
      <c r="C86" t="s">
        <v>252</v>
      </c>
      <c r="D86" t="s">
        <v>33</v>
      </c>
      <c r="E86" t="s">
        <v>253</v>
      </c>
      <c r="F86" t="s">
        <v>16</v>
      </c>
      <c r="G86">
        <v>28.25</v>
      </c>
      <c r="H86">
        <v>67</v>
      </c>
      <c r="I86" t="s">
        <v>29</v>
      </c>
      <c r="J86" t="s">
        <v>18</v>
      </c>
      <c r="K86" t="s">
        <v>254</v>
      </c>
      <c r="L86">
        <v>94</v>
      </c>
      <c r="M86" t="str">
        <f t="shared" si="2"/>
        <v>Medium</v>
      </c>
      <c r="N86" t="str">
        <f t="shared" si="3"/>
        <v>Average</v>
      </c>
    </row>
    <row r="87" spans="1:14">
      <c r="A87" t="s">
        <v>31</v>
      </c>
      <c r="B87">
        <v>2015</v>
      </c>
      <c r="C87" t="s">
        <v>255</v>
      </c>
      <c r="D87" t="s">
        <v>33</v>
      </c>
      <c r="E87" t="s">
        <v>256</v>
      </c>
      <c r="F87" t="s">
        <v>46</v>
      </c>
      <c r="G87">
        <v>9.98</v>
      </c>
      <c r="H87">
        <v>52</v>
      </c>
      <c r="I87" t="s">
        <v>36</v>
      </c>
      <c r="J87" t="s">
        <v>37</v>
      </c>
      <c r="K87" t="s">
        <v>47</v>
      </c>
      <c r="L87">
        <v>81</v>
      </c>
      <c r="M87" t="str">
        <f t="shared" si="2"/>
        <v>Low</v>
      </c>
      <c r="N87" t="str">
        <f t="shared" si="3"/>
        <v>Average</v>
      </c>
    </row>
    <row r="88" spans="1:14">
      <c r="A88" t="s">
        <v>65</v>
      </c>
      <c r="B88">
        <v>2016</v>
      </c>
      <c r="C88" t="s">
        <v>257</v>
      </c>
      <c r="D88" t="s">
        <v>14</v>
      </c>
      <c r="E88" t="s">
        <v>258</v>
      </c>
      <c r="F88" t="s">
        <v>16</v>
      </c>
      <c r="G88">
        <v>22.72</v>
      </c>
      <c r="H88">
        <v>61</v>
      </c>
      <c r="I88" t="s">
        <v>29</v>
      </c>
      <c r="J88" t="s">
        <v>37</v>
      </c>
      <c r="K88" t="s">
        <v>259</v>
      </c>
      <c r="L88">
        <v>136</v>
      </c>
      <c r="M88" t="str">
        <f t="shared" si="2"/>
        <v>Medium</v>
      </c>
      <c r="N88" t="str">
        <f t="shared" si="3"/>
        <v>Average</v>
      </c>
    </row>
    <row r="89" spans="1:14">
      <c r="A89" t="s">
        <v>47</v>
      </c>
      <c r="B89">
        <v>2025</v>
      </c>
      <c r="C89" t="s">
        <v>260</v>
      </c>
      <c r="D89" t="s">
        <v>33</v>
      </c>
      <c r="E89" t="s">
        <v>261</v>
      </c>
      <c r="F89" t="s">
        <v>35</v>
      </c>
      <c r="G89">
        <v>8.2899999999999991</v>
      </c>
      <c r="H89">
        <v>90</v>
      </c>
      <c r="I89" t="s">
        <v>61</v>
      </c>
      <c r="J89" t="s">
        <v>18</v>
      </c>
      <c r="K89" t="s">
        <v>262</v>
      </c>
      <c r="L89">
        <v>320</v>
      </c>
      <c r="M89" t="str">
        <f t="shared" si="2"/>
        <v>Low</v>
      </c>
      <c r="N89" t="str">
        <f t="shared" si="3"/>
        <v>Excellent</v>
      </c>
    </row>
    <row r="90" spans="1:14">
      <c r="A90" t="s">
        <v>48</v>
      </c>
      <c r="B90">
        <v>2024</v>
      </c>
      <c r="C90" t="s">
        <v>263</v>
      </c>
      <c r="D90" t="s">
        <v>14</v>
      </c>
      <c r="E90" t="s">
        <v>264</v>
      </c>
      <c r="F90" t="s">
        <v>57</v>
      </c>
      <c r="G90">
        <v>10.14</v>
      </c>
      <c r="H90">
        <v>98</v>
      </c>
      <c r="I90" t="s">
        <v>61</v>
      </c>
      <c r="J90" t="s">
        <v>18</v>
      </c>
      <c r="K90" t="s">
        <v>31</v>
      </c>
      <c r="L90">
        <v>157</v>
      </c>
      <c r="M90" t="str">
        <f t="shared" si="2"/>
        <v>Low</v>
      </c>
      <c r="N90" t="str">
        <f t="shared" si="3"/>
        <v>Excellent</v>
      </c>
    </row>
    <row r="91" spans="1:14">
      <c r="A91" t="s">
        <v>26</v>
      </c>
      <c r="B91">
        <v>2010</v>
      </c>
      <c r="C91" t="s">
        <v>265</v>
      </c>
      <c r="D91" t="s">
        <v>14</v>
      </c>
      <c r="E91" t="s">
        <v>266</v>
      </c>
      <c r="F91" t="s">
        <v>42</v>
      </c>
      <c r="G91">
        <v>16.850000000000001</v>
      </c>
      <c r="H91">
        <v>81</v>
      </c>
      <c r="I91" t="s">
        <v>17</v>
      </c>
      <c r="J91" t="s">
        <v>24</v>
      </c>
      <c r="K91" t="s">
        <v>139</v>
      </c>
      <c r="L91">
        <v>110</v>
      </c>
      <c r="M91" t="str">
        <f t="shared" si="2"/>
        <v>Medium</v>
      </c>
      <c r="N91" t="str">
        <f t="shared" si="3"/>
        <v>Good</v>
      </c>
    </row>
    <row r="92" spans="1:14">
      <c r="A92" t="s">
        <v>38</v>
      </c>
      <c r="B92">
        <v>2011</v>
      </c>
      <c r="C92" t="s">
        <v>267</v>
      </c>
      <c r="D92" t="s">
        <v>33</v>
      </c>
      <c r="E92" t="s">
        <v>268</v>
      </c>
      <c r="F92" t="s">
        <v>46</v>
      </c>
      <c r="G92">
        <v>40.630000000000003</v>
      </c>
      <c r="H92">
        <v>66</v>
      </c>
      <c r="I92" t="s">
        <v>17</v>
      </c>
      <c r="J92" t="s">
        <v>24</v>
      </c>
      <c r="K92" t="s">
        <v>269</v>
      </c>
      <c r="L92">
        <v>4</v>
      </c>
      <c r="M92" t="str">
        <f t="shared" si="2"/>
        <v>High</v>
      </c>
      <c r="N92" t="str">
        <f t="shared" si="3"/>
        <v>Average</v>
      </c>
    </row>
    <row r="93" spans="1:14">
      <c r="A93" t="s">
        <v>39</v>
      </c>
      <c r="B93">
        <v>2014</v>
      </c>
      <c r="C93" t="s">
        <v>270</v>
      </c>
      <c r="D93" t="s">
        <v>33</v>
      </c>
      <c r="E93" t="s">
        <v>271</v>
      </c>
      <c r="F93" t="s">
        <v>35</v>
      </c>
      <c r="G93">
        <v>29.25</v>
      </c>
      <c r="H93">
        <v>77</v>
      </c>
      <c r="I93" t="s">
        <v>29</v>
      </c>
      <c r="J93" t="s">
        <v>18</v>
      </c>
      <c r="K93" t="s">
        <v>38</v>
      </c>
      <c r="L93">
        <v>126</v>
      </c>
      <c r="M93" t="str">
        <f t="shared" si="2"/>
        <v>Medium</v>
      </c>
      <c r="N93" t="str">
        <f t="shared" si="3"/>
        <v>Good</v>
      </c>
    </row>
    <row r="94" spans="1:14">
      <c r="A94" t="s">
        <v>12</v>
      </c>
      <c r="B94">
        <v>2015</v>
      </c>
      <c r="C94" t="s">
        <v>272</v>
      </c>
      <c r="D94" t="s">
        <v>14</v>
      </c>
      <c r="E94" t="s">
        <v>273</v>
      </c>
      <c r="F94" t="s">
        <v>46</v>
      </c>
      <c r="G94">
        <v>2.52</v>
      </c>
      <c r="H94">
        <v>100</v>
      </c>
      <c r="I94" t="s">
        <v>29</v>
      </c>
      <c r="J94" t="s">
        <v>24</v>
      </c>
      <c r="K94" t="s">
        <v>173</v>
      </c>
      <c r="L94">
        <v>142</v>
      </c>
      <c r="M94" t="str">
        <f t="shared" si="2"/>
        <v>Low</v>
      </c>
      <c r="N94" t="str">
        <f t="shared" si="3"/>
        <v>Excellent</v>
      </c>
    </row>
    <row r="95" spans="1:14">
      <c r="A95" t="s">
        <v>39</v>
      </c>
      <c r="B95">
        <v>2003</v>
      </c>
      <c r="C95" t="s">
        <v>274</v>
      </c>
      <c r="D95" t="s">
        <v>14</v>
      </c>
      <c r="E95" t="s">
        <v>275</v>
      </c>
      <c r="F95" t="s">
        <v>35</v>
      </c>
      <c r="G95">
        <v>32.74</v>
      </c>
      <c r="H95">
        <v>78</v>
      </c>
      <c r="I95" t="s">
        <v>23</v>
      </c>
      <c r="J95" t="s">
        <v>18</v>
      </c>
      <c r="K95" t="s">
        <v>276</v>
      </c>
      <c r="L95">
        <v>90</v>
      </c>
      <c r="M95" t="str">
        <f t="shared" si="2"/>
        <v>Medium</v>
      </c>
      <c r="N95" t="str">
        <f t="shared" si="3"/>
        <v>Good</v>
      </c>
    </row>
    <row r="96" spans="1:14">
      <c r="A96" t="s">
        <v>68</v>
      </c>
      <c r="B96">
        <v>2004</v>
      </c>
      <c r="C96" t="s">
        <v>277</v>
      </c>
      <c r="D96" t="s">
        <v>33</v>
      </c>
      <c r="E96" t="s">
        <v>278</v>
      </c>
      <c r="F96" t="s">
        <v>42</v>
      </c>
      <c r="G96">
        <v>10.58</v>
      </c>
      <c r="H96">
        <v>100</v>
      </c>
      <c r="I96" t="s">
        <v>29</v>
      </c>
      <c r="J96" t="s">
        <v>18</v>
      </c>
      <c r="K96" t="s">
        <v>279</v>
      </c>
      <c r="L96">
        <v>340</v>
      </c>
      <c r="M96" t="str">
        <f t="shared" si="2"/>
        <v>Low</v>
      </c>
      <c r="N96" t="str">
        <f t="shared" si="3"/>
        <v>Excellent</v>
      </c>
    </row>
    <row r="97" spans="1:14">
      <c r="A97" t="s">
        <v>65</v>
      </c>
      <c r="B97">
        <v>2022</v>
      </c>
      <c r="C97" t="s">
        <v>280</v>
      </c>
      <c r="D97" t="s">
        <v>33</v>
      </c>
      <c r="E97" t="s">
        <v>281</v>
      </c>
      <c r="F97" t="s">
        <v>35</v>
      </c>
      <c r="G97">
        <v>25.15</v>
      </c>
      <c r="H97">
        <v>73</v>
      </c>
      <c r="I97" t="s">
        <v>29</v>
      </c>
      <c r="J97" t="s">
        <v>37</v>
      </c>
      <c r="K97" t="s">
        <v>12</v>
      </c>
      <c r="L97">
        <v>105</v>
      </c>
      <c r="M97" t="str">
        <f t="shared" si="2"/>
        <v>Medium</v>
      </c>
      <c r="N97" t="str">
        <f t="shared" si="3"/>
        <v>Average</v>
      </c>
    </row>
    <row r="98" spans="1:14">
      <c r="A98" t="s">
        <v>39</v>
      </c>
      <c r="B98">
        <v>2005</v>
      </c>
      <c r="C98" t="s">
        <v>282</v>
      </c>
      <c r="D98" t="s">
        <v>14</v>
      </c>
      <c r="E98" t="s">
        <v>283</v>
      </c>
      <c r="F98" t="s">
        <v>46</v>
      </c>
      <c r="G98">
        <v>20.93</v>
      </c>
      <c r="H98">
        <v>86</v>
      </c>
      <c r="I98" t="s">
        <v>29</v>
      </c>
      <c r="J98" t="s">
        <v>18</v>
      </c>
      <c r="K98" t="s">
        <v>65</v>
      </c>
      <c r="L98">
        <v>236</v>
      </c>
      <c r="M98" t="str">
        <f t="shared" si="2"/>
        <v>Medium</v>
      </c>
      <c r="N98" t="str">
        <f t="shared" si="3"/>
        <v>Good</v>
      </c>
    </row>
    <row r="99" spans="1:14">
      <c r="A99" t="s">
        <v>48</v>
      </c>
      <c r="B99">
        <v>2013</v>
      </c>
      <c r="C99" t="s">
        <v>284</v>
      </c>
      <c r="D99" t="s">
        <v>33</v>
      </c>
      <c r="E99" t="s">
        <v>285</v>
      </c>
      <c r="F99" t="s">
        <v>16</v>
      </c>
      <c r="G99">
        <v>10.56</v>
      </c>
      <c r="H99">
        <v>63</v>
      </c>
      <c r="I99" t="s">
        <v>23</v>
      </c>
      <c r="J99" t="s">
        <v>18</v>
      </c>
      <c r="K99" t="s">
        <v>286</v>
      </c>
      <c r="L99">
        <v>293</v>
      </c>
      <c r="M99" t="str">
        <f t="shared" si="2"/>
        <v>Low</v>
      </c>
      <c r="N99" t="str">
        <f t="shared" si="3"/>
        <v>Average</v>
      </c>
    </row>
    <row r="100" spans="1:14">
      <c r="A100" t="s">
        <v>26</v>
      </c>
      <c r="B100">
        <v>2025</v>
      </c>
      <c r="C100" t="s">
        <v>287</v>
      </c>
      <c r="D100" t="s">
        <v>14</v>
      </c>
      <c r="E100" t="s">
        <v>288</v>
      </c>
      <c r="F100" t="s">
        <v>46</v>
      </c>
      <c r="G100">
        <v>43.25</v>
      </c>
      <c r="H100">
        <v>65</v>
      </c>
      <c r="I100" t="s">
        <v>61</v>
      </c>
      <c r="J100" t="s">
        <v>37</v>
      </c>
      <c r="K100" t="s">
        <v>289</v>
      </c>
      <c r="L100">
        <v>265</v>
      </c>
      <c r="M100" t="str">
        <f t="shared" si="2"/>
        <v>High</v>
      </c>
      <c r="N100" t="str">
        <f t="shared" si="3"/>
        <v>Average</v>
      </c>
    </row>
    <row r="101" spans="1:14">
      <c r="A101" t="s">
        <v>38</v>
      </c>
      <c r="B101">
        <v>2019</v>
      </c>
      <c r="C101" t="s">
        <v>290</v>
      </c>
      <c r="D101" t="s">
        <v>14</v>
      </c>
      <c r="E101" t="s">
        <v>291</v>
      </c>
      <c r="F101" t="s">
        <v>42</v>
      </c>
      <c r="G101">
        <v>11.38</v>
      </c>
      <c r="H101">
        <v>52</v>
      </c>
      <c r="I101" t="s">
        <v>23</v>
      </c>
      <c r="J101" t="s">
        <v>24</v>
      </c>
      <c r="K101" t="s">
        <v>292</v>
      </c>
      <c r="L101">
        <v>176</v>
      </c>
      <c r="M101" t="str">
        <f t="shared" si="2"/>
        <v>Low</v>
      </c>
      <c r="N101" t="str">
        <f t="shared" si="3"/>
        <v>Average</v>
      </c>
    </row>
    <row r="102" spans="1:14">
      <c r="A102" t="s">
        <v>38</v>
      </c>
      <c r="B102">
        <v>2003</v>
      </c>
      <c r="C102" t="s">
        <v>293</v>
      </c>
      <c r="D102" t="s">
        <v>14</v>
      </c>
      <c r="E102" t="s">
        <v>294</v>
      </c>
      <c r="F102" t="s">
        <v>42</v>
      </c>
      <c r="G102">
        <v>18.32</v>
      </c>
      <c r="H102">
        <v>89</v>
      </c>
      <c r="I102" t="s">
        <v>23</v>
      </c>
      <c r="J102" t="s">
        <v>24</v>
      </c>
      <c r="K102" t="s">
        <v>295</v>
      </c>
      <c r="L102">
        <v>194</v>
      </c>
      <c r="M102" t="str">
        <f t="shared" si="2"/>
        <v>Medium</v>
      </c>
      <c r="N102" t="str">
        <f t="shared" si="3"/>
        <v>Good</v>
      </c>
    </row>
    <row r="103" spans="1:14">
      <c r="A103" t="s">
        <v>39</v>
      </c>
      <c r="B103">
        <v>2000</v>
      </c>
      <c r="C103" t="s">
        <v>296</v>
      </c>
      <c r="D103" t="s">
        <v>33</v>
      </c>
      <c r="E103" t="s">
        <v>297</v>
      </c>
      <c r="F103" t="s">
        <v>46</v>
      </c>
      <c r="G103">
        <v>31.13</v>
      </c>
      <c r="H103">
        <v>85</v>
      </c>
      <c r="I103" t="s">
        <v>29</v>
      </c>
      <c r="J103" t="s">
        <v>24</v>
      </c>
      <c r="K103" t="s">
        <v>298</v>
      </c>
      <c r="L103">
        <v>126</v>
      </c>
      <c r="M103" t="str">
        <f t="shared" si="2"/>
        <v>Medium</v>
      </c>
      <c r="N103" t="str">
        <f t="shared" si="3"/>
        <v>Good</v>
      </c>
    </row>
    <row r="104" spans="1:14">
      <c r="A104" t="s">
        <v>31</v>
      </c>
      <c r="B104">
        <v>2002</v>
      </c>
      <c r="C104" t="s">
        <v>299</v>
      </c>
      <c r="D104" t="s">
        <v>33</v>
      </c>
      <c r="E104" t="s">
        <v>300</v>
      </c>
      <c r="F104" t="s">
        <v>42</v>
      </c>
      <c r="G104">
        <v>13.51</v>
      </c>
      <c r="H104">
        <v>96</v>
      </c>
      <c r="I104" t="s">
        <v>36</v>
      </c>
      <c r="J104" t="s">
        <v>18</v>
      </c>
      <c r="K104" t="s">
        <v>47</v>
      </c>
      <c r="L104">
        <v>335</v>
      </c>
      <c r="M104" t="str">
        <f t="shared" si="2"/>
        <v>Low</v>
      </c>
      <c r="N104" t="str">
        <f t="shared" si="3"/>
        <v>Excellent</v>
      </c>
    </row>
    <row r="105" spans="1:14">
      <c r="A105" t="s">
        <v>38</v>
      </c>
      <c r="B105">
        <v>2012</v>
      </c>
      <c r="C105" t="s">
        <v>301</v>
      </c>
      <c r="D105" t="s">
        <v>33</v>
      </c>
      <c r="E105" t="s">
        <v>302</v>
      </c>
      <c r="F105" t="s">
        <v>35</v>
      </c>
      <c r="G105">
        <v>3.15</v>
      </c>
      <c r="H105">
        <v>65</v>
      </c>
      <c r="I105" t="s">
        <v>17</v>
      </c>
      <c r="J105" t="s">
        <v>37</v>
      </c>
      <c r="K105" t="s">
        <v>100</v>
      </c>
      <c r="L105">
        <v>284</v>
      </c>
      <c r="M105" t="str">
        <f t="shared" si="2"/>
        <v>Low</v>
      </c>
      <c r="N105" t="str">
        <f t="shared" si="3"/>
        <v>Average</v>
      </c>
    </row>
    <row r="106" spans="1:14">
      <c r="A106" t="s">
        <v>38</v>
      </c>
      <c r="B106">
        <v>2001</v>
      </c>
      <c r="C106" t="s">
        <v>303</v>
      </c>
      <c r="D106" t="s">
        <v>14</v>
      </c>
      <c r="E106" t="s">
        <v>304</v>
      </c>
      <c r="F106" t="s">
        <v>57</v>
      </c>
      <c r="G106">
        <v>34.03</v>
      </c>
      <c r="H106">
        <v>50</v>
      </c>
      <c r="I106" t="s">
        <v>36</v>
      </c>
      <c r="J106" t="s">
        <v>24</v>
      </c>
      <c r="K106" t="s">
        <v>305</v>
      </c>
      <c r="L106">
        <v>153</v>
      </c>
      <c r="M106" t="str">
        <f t="shared" si="2"/>
        <v>Medium</v>
      </c>
      <c r="N106" t="str">
        <f t="shared" si="3"/>
        <v>Average</v>
      </c>
    </row>
    <row r="107" spans="1:14">
      <c r="A107" t="s">
        <v>38</v>
      </c>
      <c r="B107">
        <v>2022</v>
      </c>
      <c r="C107" t="s">
        <v>306</v>
      </c>
      <c r="D107" t="s">
        <v>33</v>
      </c>
      <c r="E107" t="s">
        <v>307</v>
      </c>
      <c r="F107" t="s">
        <v>35</v>
      </c>
      <c r="G107">
        <v>47.92</v>
      </c>
      <c r="H107">
        <v>88</v>
      </c>
      <c r="I107" t="s">
        <v>61</v>
      </c>
      <c r="J107" t="s">
        <v>18</v>
      </c>
      <c r="K107" t="s">
        <v>308</v>
      </c>
      <c r="L107">
        <v>180</v>
      </c>
      <c r="M107" t="str">
        <f t="shared" si="2"/>
        <v>High</v>
      </c>
      <c r="N107" t="str">
        <f t="shared" si="3"/>
        <v>Good</v>
      </c>
    </row>
    <row r="108" spans="1:14">
      <c r="A108" t="s">
        <v>47</v>
      </c>
      <c r="B108">
        <v>2015</v>
      </c>
      <c r="C108" t="s">
        <v>309</v>
      </c>
      <c r="D108" t="s">
        <v>33</v>
      </c>
      <c r="E108" t="s">
        <v>310</v>
      </c>
      <c r="F108" t="s">
        <v>35</v>
      </c>
      <c r="G108">
        <v>44.43</v>
      </c>
      <c r="H108">
        <v>91</v>
      </c>
      <c r="I108" t="s">
        <v>23</v>
      </c>
      <c r="J108" t="s">
        <v>24</v>
      </c>
      <c r="K108" t="s">
        <v>311</v>
      </c>
      <c r="L108">
        <v>355</v>
      </c>
      <c r="M108" t="str">
        <f t="shared" si="2"/>
        <v>High</v>
      </c>
      <c r="N108" t="str">
        <f t="shared" si="3"/>
        <v>Excellent</v>
      </c>
    </row>
    <row r="109" spans="1:14">
      <c r="A109" t="s">
        <v>12</v>
      </c>
      <c r="B109">
        <v>2024</v>
      </c>
      <c r="C109" t="s">
        <v>312</v>
      </c>
      <c r="D109" t="s">
        <v>33</v>
      </c>
      <c r="E109" t="s">
        <v>313</v>
      </c>
      <c r="F109" t="s">
        <v>57</v>
      </c>
      <c r="G109">
        <v>26.66</v>
      </c>
      <c r="H109">
        <v>94</v>
      </c>
      <c r="I109" t="s">
        <v>36</v>
      </c>
      <c r="J109" t="s">
        <v>24</v>
      </c>
      <c r="K109" t="s">
        <v>314</v>
      </c>
      <c r="L109">
        <v>70</v>
      </c>
      <c r="M109" t="str">
        <f t="shared" si="2"/>
        <v>Medium</v>
      </c>
      <c r="N109" t="str">
        <f t="shared" si="3"/>
        <v>Excellent</v>
      </c>
    </row>
    <row r="110" spans="1:14">
      <c r="A110" t="s">
        <v>31</v>
      </c>
      <c r="B110">
        <v>2014</v>
      </c>
      <c r="C110" t="s">
        <v>315</v>
      </c>
      <c r="D110" t="s">
        <v>14</v>
      </c>
      <c r="E110" t="s">
        <v>316</v>
      </c>
      <c r="F110" t="s">
        <v>42</v>
      </c>
      <c r="G110">
        <v>41.21</v>
      </c>
      <c r="H110">
        <v>63</v>
      </c>
      <c r="I110" t="s">
        <v>17</v>
      </c>
      <c r="J110" t="s">
        <v>24</v>
      </c>
      <c r="K110" t="s">
        <v>317</v>
      </c>
      <c r="L110">
        <v>6</v>
      </c>
      <c r="M110" t="str">
        <f t="shared" si="2"/>
        <v>High</v>
      </c>
      <c r="N110" t="str">
        <f t="shared" si="3"/>
        <v>Average</v>
      </c>
    </row>
    <row r="111" spans="1:14">
      <c r="A111" t="s">
        <v>48</v>
      </c>
      <c r="B111">
        <v>2007</v>
      </c>
      <c r="C111" t="s">
        <v>318</v>
      </c>
      <c r="D111" t="s">
        <v>14</v>
      </c>
      <c r="E111" t="s">
        <v>319</v>
      </c>
      <c r="F111" t="s">
        <v>46</v>
      </c>
      <c r="G111">
        <v>47.64</v>
      </c>
      <c r="H111">
        <v>91</v>
      </c>
      <c r="I111" t="s">
        <v>36</v>
      </c>
      <c r="J111" t="s">
        <v>37</v>
      </c>
      <c r="K111" t="s">
        <v>320</v>
      </c>
      <c r="L111">
        <v>321</v>
      </c>
      <c r="M111" t="str">
        <f t="shared" si="2"/>
        <v>High</v>
      </c>
      <c r="N111" t="str">
        <f t="shared" si="3"/>
        <v>Excellent</v>
      </c>
    </row>
    <row r="112" spans="1:14">
      <c r="A112" t="s">
        <v>68</v>
      </c>
      <c r="B112">
        <v>2009</v>
      </c>
      <c r="C112" t="s">
        <v>321</v>
      </c>
      <c r="D112" t="s">
        <v>33</v>
      </c>
      <c r="E112" t="s">
        <v>322</v>
      </c>
      <c r="F112" t="s">
        <v>46</v>
      </c>
      <c r="G112">
        <v>4.45</v>
      </c>
      <c r="H112">
        <v>91</v>
      </c>
      <c r="I112" t="s">
        <v>23</v>
      </c>
      <c r="J112" t="s">
        <v>37</v>
      </c>
      <c r="K112" t="s">
        <v>323</v>
      </c>
      <c r="L112">
        <v>254</v>
      </c>
      <c r="M112" t="str">
        <f t="shared" si="2"/>
        <v>Low</v>
      </c>
      <c r="N112" t="str">
        <f t="shared" si="3"/>
        <v>Excellent</v>
      </c>
    </row>
    <row r="113" spans="1:14">
      <c r="A113" t="s">
        <v>38</v>
      </c>
      <c r="B113">
        <v>2021</v>
      </c>
      <c r="C113" t="s">
        <v>324</v>
      </c>
      <c r="D113" t="s">
        <v>33</v>
      </c>
      <c r="E113" t="s">
        <v>325</v>
      </c>
      <c r="F113" t="s">
        <v>57</v>
      </c>
      <c r="G113">
        <v>37.090000000000003</v>
      </c>
      <c r="H113">
        <v>54</v>
      </c>
      <c r="I113" t="s">
        <v>61</v>
      </c>
      <c r="J113" t="s">
        <v>37</v>
      </c>
      <c r="K113" t="s">
        <v>292</v>
      </c>
      <c r="L113">
        <v>220</v>
      </c>
      <c r="M113" t="str">
        <f t="shared" si="2"/>
        <v>High</v>
      </c>
      <c r="N113" t="str">
        <f t="shared" si="3"/>
        <v>Average</v>
      </c>
    </row>
    <row r="114" spans="1:14">
      <c r="A114" t="s">
        <v>12</v>
      </c>
      <c r="B114">
        <v>2023</v>
      </c>
      <c r="C114" t="s">
        <v>326</v>
      </c>
      <c r="D114" t="s">
        <v>33</v>
      </c>
      <c r="E114" t="s">
        <v>327</v>
      </c>
      <c r="F114" t="s">
        <v>35</v>
      </c>
      <c r="G114">
        <v>8.23</v>
      </c>
      <c r="H114">
        <v>60</v>
      </c>
      <c r="I114" t="s">
        <v>36</v>
      </c>
      <c r="J114" t="s">
        <v>37</v>
      </c>
      <c r="K114" t="s">
        <v>39</v>
      </c>
      <c r="L114">
        <v>259</v>
      </c>
      <c r="M114" t="str">
        <f t="shared" si="2"/>
        <v>Low</v>
      </c>
      <c r="N114" t="str">
        <f t="shared" si="3"/>
        <v>Average</v>
      </c>
    </row>
    <row r="115" spans="1:14">
      <c r="A115" t="s">
        <v>48</v>
      </c>
      <c r="B115">
        <v>2016</v>
      </c>
      <c r="C115" t="s">
        <v>328</v>
      </c>
      <c r="D115" t="s">
        <v>33</v>
      </c>
      <c r="E115" t="s">
        <v>329</v>
      </c>
      <c r="F115" t="s">
        <v>46</v>
      </c>
      <c r="G115">
        <v>2.9</v>
      </c>
      <c r="H115">
        <v>85</v>
      </c>
      <c r="I115" t="s">
        <v>36</v>
      </c>
      <c r="J115" t="s">
        <v>37</v>
      </c>
      <c r="K115" t="s">
        <v>330</v>
      </c>
      <c r="L115">
        <v>94</v>
      </c>
      <c r="M115" t="str">
        <f t="shared" si="2"/>
        <v>Low</v>
      </c>
      <c r="N115" t="str">
        <f t="shared" si="3"/>
        <v>Good</v>
      </c>
    </row>
    <row r="116" spans="1:14">
      <c r="A116" t="s">
        <v>47</v>
      </c>
      <c r="B116">
        <v>2016</v>
      </c>
      <c r="C116" t="s">
        <v>331</v>
      </c>
      <c r="D116" t="s">
        <v>33</v>
      </c>
      <c r="E116" t="s">
        <v>332</v>
      </c>
      <c r="F116" t="s">
        <v>57</v>
      </c>
      <c r="G116">
        <v>39.6</v>
      </c>
      <c r="H116">
        <v>60</v>
      </c>
      <c r="I116" t="s">
        <v>36</v>
      </c>
      <c r="J116" t="s">
        <v>18</v>
      </c>
      <c r="K116" t="s">
        <v>47</v>
      </c>
      <c r="L116">
        <v>65</v>
      </c>
      <c r="M116" t="str">
        <f t="shared" si="2"/>
        <v>High</v>
      </c>
      <c r="N116" t="str">
        <f t="shared" si="3"/>
        <v>Average</v>
      </c>
    </row>
    <row r="117" spans="1:14">
      <c r="A117" t="s">
        <v>12</v>
      </c>
      <c r="B117">
        <v>2006</v>
      </c>
      <c r="C117" t="s">
        <v>333</v>
      </c>
      <c r="D117" t="s">
        <v>14</v>
      </c>
      <c r="E117" t="s">
        <v>334</v>
      </c>
      <c r="F117" t="s">
        <v>42</v>
      </c>
      <c r="G117">
        <v>18.23</v>
      </c>
      <c r="H117">
        <v>57</v>
      </c>
      <c r="I117" t="s">
        <v>36</v>
      </c>
      <c r="J117" t="s">
        <v>37</v>
      </c>
      <c r="K117" t="s">
        <v>335</v>
      </c>
      <c r="L117">
        <v>350</v>
      </c>
      <c r="M117" t="str">
        <f t="shared" si="2"/>
        <v>Medium</v>
      </c>
      <c r="N117" t="str">
        <f t="shared" si="3"/>
        <v>Average</v>
      </c>
    </row>
    <row r="118" spans="1:14">
      <c r="A118" t="s">
        <v>48</v>
      </c>
      <c r="B118">
        <v>2008</v>
      </c>
      <c r="C118" t="s">
        <v>336</v>
      </c>
      <c r="D118" t="s">
        <v>33</v>
      </c>
      <c r="E118" t="s">
        <v>337</v>
      </c>
      <c r="F118" t="s">
        <v>46</v>
      </c>
      <c r="G118">
        <v>9.25</v>
      </c>
      <c r="H118">
        <v>76</v>
      </c>
      <c r="I118" t="s">
        <v>17</v>
      </c>
      <c r="J118" t="s">
        <v>24</v>
      </c>
      <c r="K118" t="s">
        <v>47</v>
      </c>
      <c r="L118">
        <v>34</v>
      </c>
      <c r="M118" t="str">
        <f t="shared" si="2"/>
        <v>Low</v>
      </c>
      <c r="N118" t="str">
        <f t="shared" si="3"/>
        <v>Good</v>
      </c>
    </row>
    <row r="119" spans="1:14">
      <c r="A119" t="s">
        <v>26</v>
      </c>
      <c r="B119">
        <v>2022</v>
      </c>
      <c r="C119" t="s">
        <v>338</v>
      </c>
      <c r="D119" t="s">
        <v>33</v>
      </c>
      <c r="E119" t="s">
        <v>339</v>
      </c>
      <c r="F119" t="s">
        <v>16</v>
      </c>
      <c r="G119">
        <v>33.299999999999997</v>
      </c>
      <c r="H119">
        <v>50</v>
      </c>
      <c r="I119" t="s">
        <v>29</v>
      </c>
      <c r="J119" t="s">
        <v>37</v>
      </c>
      <c r="K119" t="s">
        <v>340</v>
      </c>
      <c r="L119">
        <v>83</v>
      </c>
      <c r="M119" t="str">
        <f t="shared" si="2"/>
        <v>Medium</v>
      </c>
      <c r="N119" t="str">
        <f t="shared" si="3"/>
        <v>Average</v>
      </c>
    </row>
    <row r="120" spans="1:14">
      <c r="A120" t="s">
        <v>38</v>
      </c>
      <c r="B120">
        <v>2007</v>
      </c>
      <c r="C120" t="s">
        <v>341</v>
      </c>
      <c r="D120" t="s">
        <v>14</v>
      </c>
      <c r="E120" t="s">
        <v>342</v>
      </c>
      <c r="F120" t="s">
        <v>57</v>
      </c>
      <c r="G120">
        <v>37.9</v>
      </c>
      <c r="H120">
        <v>76</v>
      </c>
      <c r="I120" t="s">
        <v>61</v>
      </c>
      <c r="J120" t="s">
        <v>18</v>
      </c>
      <c r="K120" t="s">
        <v>343</v>
      </c>
      <c r="L120">
        <v>217</v>
      </c>
      <c r="M120" t="str">
        <f t="shared" si="2"/>
        <v>High</v>
      </c>
      <c r="N120" t="str">
        <f t="shared" si="3"/>
        <v>Good</v>
      </c>
    </row>
    <row r="121" spans="1:14">
      <c r="A121" t="s">
        <v>38</v>
      </c>
      <c r="B121">
        <v>2008</v>
      </c>
      <c r="C121" t="s">
        <v>344</v>
      </c>
      <c r="D121" t="s">
        <v>14</v>
      </c>
      <c r="E121" t="s">
        <v>345</v>
      </c>
      <c r="F121" t="s">
        <v>35</v>
      </c>
      <c r="G121">
        <v>17.260000000000002</v>
      </c>
      <c r="H121">
        <v>65</v>
      </c>
      <c r="I121" t="s">
        <v>36</v>
      </c>
      <c r="J121" t="s">
        <v>18</v>
      </c>
      <c r="K121" t="s">
        <v>65</v>
      </c>
      <c r="L121">
        <v>182</v>
      </c>
      <c r="M121" t="str">
        <f t="shared" si="2"/>
        <v>Medium</v>
      </c>
      <c r="N121" t="str">
        <f t="shared" si="3"/>
        <v>Average</v>
      </c>
    </row>
    <row r="122" spans="1:14">
      <c r="A122" t="s">
        <v>68</v>
      </c>
      <c r="B122">
        <v>2014</v>
      </c>
      <c r="C122" t="s">
        <v>346</v>
      </c>
      <c r="D122" t="s">
        <v>14</v>
      </c>
      <c r="E122" t="s">
        <v>347</v>
      </c>
      <c r="F122" t="s">
        <v>57</v>
      </c>
      <c r="G122">
        <v>40.729999999999997</v>
      </c>
      <c r="H122">
        <v>76</v>
      </c>
      <c r="I122" t="s">
        <v>29</v>
      </c>
      <c r="J122" t="s">
        <v>18</v>
      </c>
      <c r="K122" t="s">
        <v>348</v>
      </c>
      <c r="L122">
        <v>257</v>
      </c>
      <c r="M122" t="str">
        <f t="shared" si="2"/>
        <v>High</v>
      </c>
      <c r="N122" t="str">
        <f t="shared" si="3"/>
        <v>Good</v>
      </c>
    </row>
    <row r="123" spans="1:14">
      <c r="A123" t="s">
        <v>12</v>
      </c>
      <c r="B123">
        <v>2001</v>
      </c>
      <c r="C123" t="s">
        <v>349</v>
      </c>
      <c r="D123" t="s">
        <v>33</v>
      </c>
      <c r="E123" t="s">
        <v>350</v>
      </c>
      <c r="F123" t="s">
        <v>16</v>
      </c>
      <c r="G123">
        <v>27.77</v>
      </c>
      <c r="H123">
        <v>54</v>
      </c>
      <c r="I123" t="s">
        <v>17</v>
      </c>
      <c r="J123" t="s">
        <v>18</v>
      </c>
      <c r="K123" t="s">
        <v>351</v>
      </c>
      <c r="L123">
        <v>100</v>
      </c>
      <c r="M123" t="str">
        <f t="shared" si="2"/>
        <v>Medium</v>
      </c>
      <c r="N123" t="str">
        <f t="shared" si="3"/>
        <v>Average</v>
      </c>
    </row>
    <row r="124" spans="1:14">
      <c r="A124" t="s">
        <v>39</v>
      </c>
      <c r="B124">
        <v>2012</v>
      </c>
      <c r="C124" t="s">
        <v>352</v>
      </c>
      <c r="D124" t="s">
        <v>14</v>
      </c>
      <c r="E124" t="s">
        <v>353</v>
      </c>
      <c r="F124" t="s">
        <v>46</v>
      </c>
      <c r="G124">
        <v>31.37</v>
      </c>
      <c r="H124">
        <v>83</v>
      </c>
      <c r="I124" t="s">
        <v>23</v>
      </c>
      <c r="J124" t="s">
        <v>18</v>
      </c>
      <c r="K124" t="s">
        <v>12</v>
      </c>
      <c r="L124">
        <v>292</v>
      </c>
      <c r="M124" t="str">
        <f t="shared" si="2"/>
        <v>Medium</v>
      </c>
      <c r="N124" t="str">
        <f t="shared" si="3"/>
        <v>Good</v>
      </c>
    </row>
    <row r="125" spans="1:14">
      <c r="A125" t="s">
        <v>39</v>
      </c>
      <c r="B125">
        <v>2018</v>
      </c>
      <c r="C125" t="s">
        <v>354</v>
      </c>
      <c r="D125" t="s">
        <v>14</v>
      </c>
      <c r="E125" t="s">
        <v>355</v>
      </c>
      <c r="F125" t="s">
        <v>42</v>
      </c>
      <c r="G125">
        <v>21.31</v>
      </c>
      <c r="H125">
        <v>92</v>
      </c>
      <c r="I125" t="s">
        <v>17</v>
      </c>
      <c r="J125" t="s">
        <v>24</v>
      </c>
      <c r="K125" t="s">
        <v>356</v>
      </c>
      <c r="L125">
        <v>148</v>
      </c>
      <c r="M125" t="str">
        <f t="shared" si="2"/>
        <v>Medium</v>
      </c>
      <c r="N125" t="str">
        <f t="shared" si="3"/>
        <v>Excellent</v>
      </c>
    </row>
    <row r="126" spans="1:14">
      <c r="A126" t="s">
        <v>20</v>
      </c>
      <c r="B126">
        <v>2014</v>
      </c>
      <c r="C126" t="s">
        <v>357</v>
      </c>
      <c r="D126" t="s">
        <v>14</v>
      </c>
      <c r="E126" t="s">
        <v>358</v>
      </c>
      <c r="F126" t="s">
        <v>57</v>
      </c>
      <c r="G126">
        <v>40</v>
      </c>
      <c r="H126">
        <v>67</v>
      </c>
      <c r="I126" t="s">
        <v>23</v>
      </c>
      <c r="J126" t="s">
        <v>18</v>
      </c>
      <c r="K126" t="s">
        <v>359</v>
      </c>
      <c r="L126">
        <v>280</v>
      </c>
      <c r="M126" t="str">
        <f t="shared" si="2"/>
        <v>High</v>
      </c>
      <c r="N126" t="str">
        <f t="shared" si="3"/>
        <v>Average</v>
      </c>
    </row>
    <row r="127" spans="1:14">
      <c r="A127" t="s">
        <v>65</v>
      </c>
      <c r="B127">
        <v>2012</v>
      </c>
      <c r="C127" t="s">
        <v>360</v>
      </c>
      <c r="D127" t="s">
        <v>14</v>
      </c>
      <c r="E127" t="s">
        <v>361</v>
      </c>
      <c r="F127" t="s">
        <v>42</v>
      </c>
      <c r="G127">
        <v>43.63</v>
      </c>
      <c r="H127">
        <v>96</v>
      </c>
      <c r="I127" t="s">
        <v>29</v>
      </c>
      <c r="J127" t="s">
        <v>18</v>
      </c>
      <c r="K127" t="s">
        <v>47</v>
      </c>
      <c r="L127">
        <v>113</v>
      </c>
      <c r="M127" t="str">
        <f t="shared" si="2"/>
        <v>High</v>
      </c>
      <c r="N127" t="str">
        <f t="shared" si="3"/>
        <v>Excellent</v>
      </c>
    </row>
    <row r="128" spans="1:14">
      <c r="A128" t="s">
        <v>38</v>
      </c>
      <c r="B128">
        <v>2014</v>
      </c>
      <c r="C128" t="s">
        <v>362</v>
      </c>
      <c r="D128" t="s">
        <v>14</v>
      </c>
      <c r="E128" t="s">
        <v>363</v>
      </c>
      <c r="F128" t="s">
        <v>57</v>
      </c>
      <c r="G128">
        <v>29.22</v>
      </c>
      <c r="H128">
        <v>85</v>
      </c>
      <c r="I128" t="s">
        <v>29</v>
      </c>
      <c r="J128" t="s">
        <v>24</v>
      </c>
      <c r="K128" t="s">
        <v>26</v>
      </c>
      <c r="L128">
        <v>173</v>
      </c>
      <c r="M128" t="str">
        <f t="shared" si="2"/>
        <v>Medium</v>
      </c>
      <c r="N128" t="str">
        <f t="shared" si="3"/>
        <v>Good</v>
      </c>
    </row>
    <row r="129" spans="1:14">
      <c r="A129" t="s">
        <v>26</v>
      </c>
      <c r="B129">
        <v>2004</v>
      </c>
      <c r="C129" t="s">
        <v>364</v>
      </c>
      <c r="D129" t="s">
        <v>33</v>
      </c>
      <c r="E129" t="s">
        <v>365</v>
      </c>
      <c r="F129" t="s">
        <v>46</v>
      </c>
      <c r="G129">
        <v>33.31</v>
      </c>
      <c r="H129">
        <v>52</v>
      </c>
      <c r="I129" t="s">
        <v>23</v>
      </c>
      <c r="J129" t="s">
        <v>37</v>
      </c>
      <c r="K129" t="s">
        <v>366</v>
      </c>
      <c r="L129">
        <v>337</v>
      </c>
      <c r="M129" t="str">
        <f t="shared" si="2"/>
        <v>Medium</v>
      </c>
      <c r="N129" t="str">
        <f t="shared" si="3"/>
        <v>Average</v>
      </c>
    </row>
    <row r="130" spans="1:14">
      <c r="A130" t="s">
        <v>39</v>
      </c>
      <c r="B130">
        <v>2024</v>
      </c>
      <c r="C130" t="s">
        <v>367</v>
      </c>
      <c r="D130" t="s">
        <v>14</v>
      </c>
      <c r="E130" t="s">
        <v>368</v>
      </c>
      <c r="F130" t="s">
        <v>16</v>
      </c>
      <c r="G130">
        <v>22.53</v>
      </c>
      <c r="H130">
        <v>80</v>
      </c>
      <c r="I130" t="s">
        <v>61</v>
      </c>
      <c r="J130" t="s">
        <v>37</v>
      </c>
      <c r="K130" t="s">
        <v>81</v>
      </c>
      <c r="L130">
        <v>120</v>
      </c>
      <c r="M130" t="str">
        <f t="shared" si="2"/>
        <v>Medium</v>
      </c>
      <c r="N130" t="str">
        <f t="shared" si="3"/>
        <v>Good</v>
      </c>
    </row>
    <row r="131" spans="1:14">
      <c r="A131" t="s">
        <v>20</v>
      </c>
      <c r="B131">
        <v>2021</v>
      </c>
      <c r="C131" t="s">
        <v>369</v>
      </c>
      <c r="D131" t="s">
        <v>33</v>
      </c>
      <c r="E131" t="s">
        <v>370</v>
      </c>
      <c r="F131" t="s">
        <v>46</v>
      </c>
      <c r="G131">
        <v>36.979999999999997</v>
      </c>
      <c r="H131">
        <v>98</v>
      </c>
      <c r="I131" t="s">
        <v>61</v>
      </c>
      <c r="J131" t="s">
        <v>37</v>
      </c>
      <c r="K131" t="s">
        <v>371</v>
      </c>
      <c r="L131">
        <v>172</v>
      </c>
      <c r="M131" t="str">
        <f t="shared" ref="M131:M194" si="4">IF(G131&lt;15,"Low",IF(G131&lt;35,"Medium","High"))</f>
        <v>High</v>
      </c>
      <c r="N131" t="str">
        <f t="shared" ref="N131:N194" si="5">IF(H131&gt;=90,"Excellent",IF(H131&gt;=75,"Good","Average"))</f>
        <v>Excellent</v>
      </c>
    </row>
    <row r="132" spans="1:14">
      <c r="A132" t="s">
        <v>68</v>
      </c>
      <c r="B132">
        <v>2010</v>
      </c>
      <c r="C132" t="s">
        <v>372</v>
      </c>
      <c r="D132" t="s">
        <v>14</v>
      </c>
      <c r="E132" t="s">
        <v>373</v>
      </c>
      <c r="F132" t="s">
        <v>46</v>
      </c>
      <c r="G132">
        <v>26.89</v>
      </c>
      <c r="H132">
        <v>61</v>
      </c>
      <c r="I132" t="s">
        <v>23</v>
      </c>
      <c r="J132" t="s">
        <v>18</v>
      </c>
      <c r="K132" t="s">
        <v>374</v>
      </c>
      <c r="L132">
        <v>128</v>
      </c>
      <c r="M132" t="str">
        <f t="shared" si="4"/>
        <v>Medium</v>
      </c>
      <c r="N132" t="str">
        <f t="shared" si="5"/>
        <v>Average</v>
      </c>
    </row>
    <row r="133" spans="1:14">
      <c r="A133" t="s">
        <v>31</v>
      </c>
      <c r="B133">
        <v>2023</v>
      </c>
      <c r="C133" t="s">
        <v>375</v>
      </c>
      <c r="D133" t="s">
        <v>33</v>
      </c>
      <c r="E133" t="s">
        <v>376</v>
      </c>
      <c r="F133" t="s">
        <v>57</v>
      </c>
      <c r="G133">
        <v>30.86</v>
      </c>
      <c r="H133">
        <v>98</v>
      </c>
      <c r="I133" t="s">
        <v>23</v>
      </c>
      <c r="J133" t="s">
        <v>18</v>
      </c>
      <c r="K133" t="s">
        <v>68</v>
      </c>
      <c r="L133">
        <v>142</v>
      </c>
      <c r="M133" t="str">
        <f t="shared" si="4"/>
        <v>Medium</v>
      </c>
      <c r="N133" t="str">
        <f t="shared" si="5"/>
        <v>Excellent</v>
      </c>
    </row>
    <row r="134" spans="1:14">
      <c r="A134" t="s">
        <v>26</v>
      </c>
      <c r="B134">
        <v>2020</v>
      </c>
      <c r="C134" t="s">
        <v>377</v>
      </c>
      <c r="D134" t="s">
        <v>14</v>
      </c>
      <c r="E134" t="s">
        <v>378</v>
      </c>
      <c r="F134" t="s">
        <v>57</v>
      </c>
      <c r="G134">
        <v>49.92</v>
      </c>
      <c r="H134">
        <v>97</v>
      </c>
      <c r="I134" t="s">
        <v>61</v>
      </c>
      <c r="J134" t="s">
        <v>37</v>
      </c>
      <c r="K134" t="s">
        <v>26</v>
      </c>
      <c r="L134">
        <v>198</v>
      </c>
      <c r="M134" t="str">
        <f t="shared" si="4"/>
        <v>High</v>
      </c>
      <c r="N134" t="str">
        <f t="shared" si="5"/>
        <v>Excellent</v>
      </c>
    </row>
    <row r="135" spans="1:14">
      <c r="A135" t="s">
        <v>68</v>
      </c>
      <c r="B135">
        <v>2020</v>
      </c>
      <c r="C135" t="s">
        <v>379</v>
      </c>
      <c r="D135" t="s">
        <v>14</v>
      </c>
      <c r="E135" t="s">
        <v>380</v>
      </c>
      <c r="F135" t="s">
        <v>42</v>
      </c>
      <c r="G135">
        <v>36.69</v>
      </c>
      <c r="H135">
        <v>72</v>
      </c>
      <c r="I135" t="s">
        <v>17</v>
      </c>
      <c r="J135" t="s">
        <v>37</v>
      </c>
      <c r="K135" t="s">
        <v>38</v>
      </c>
      <c r="L135">
        <v>363</v>
      </c>
      <c r="M135" t="str">
        <f t="shared" si="4"/>
        <v>High</v>
      </c>
      <c r="N135" t="str">
        <f t="shared" si="5"/>
        <v>Average</v>
      </c>
    </row>
    <row r="136" spans="1:14">
      <c r="A136" t="s">
        <v>38</v>
      </c>
      <c r="B136">
        <v>2021</v>
      </c>
      <c r="C136" t="s">
        <v>381</v>
      </c>
      <c r="D136" t="s">
        <v>14</v>
      </c>
      <c r="E136" t="s">
        <v>382</v>
      </c>
      <c r="F136" t="s">
        <v>16</v>
      </c>
      <c r="G136">
        <v>8.6999999999999993</v>
      </c>
      <c r="H136">
        <v>88</v>
      </c>
      <c r="I136" t="s">
        <v>36</v>
      </c>
      <c r="J136" t="s">
        <v>18</v>
      </c>
      <c r="K136" t="s">
        <v>323</v>
      </c>
      <c r="L136">
        <v>139</v>
      </c>
      <c r="M136" t="str">
        <f t="shared" si="4"/>
        <v>Low</v>
      </c>
      <c r="N136" t="str">
        <f t="shared" si="5"/>
        <v>Good</v>
      </c>
    </row>
    <row r="137" spans="1:14">
      <c r="A137" t="s">
        <v>48</v>
      </c>
      <c r="B137">
        <v>2017</v>
      </c>
      <c r="C137" t="s">
        <v>383</v>
      </c>
      <c r="D137" t="s">
        <v>14</v>
      </c>
      <c r="E137" t="s">
        <v>384</v>
      </c>
      <c r="F137" t="s">
        <v>46</v>
      </c>
      <c r="G137">
        <v>11.23</v>
      </c>
      <c r="H137">
        <v>89</v>
      </c>
      <c r="I137" t="s">
        <v>61</v>
      </c>
      <c r="J137" t="s">
        <v>37</v>
      </c>
      <c r="K137" t="s">
        <v>157</v>
      </c>
      <c r="L137">
        <v>36</v>
      </c>
      <c r="M137" t="str">
        <f t="shared" si="4"/>
        <v>Low</v>
      </c>
      <c r="N137" t="str">
        <f t="shared" si="5"/>
        <v>Good</v>
      </c>
    </row>
    <row r="138" spans="1:14">
      <c r="A138" t="s">
        <v>48</v>
      </c>
      <c r="B138">
        <v>2022</v>
      </c>
      <c r="C138" t="s">
        <v>385</v>
      </c>
      <c r="D138" t="s">
        <v>33</v>
      </c>
      <c r="E138" t="s">
        <v>386</v>
      </c>
      <c r="F138" t="s">
        <v>46</v>
      </c>
      <c r="G138">
        <v>24.27</v>
      </c>
      <c r="H138">
        <v>85</v>
      </c>
      <c r="I138" t="s">
        <v>29</v>
      </c>
      <c r="J138" t="s">
        <v>37</v>
      </c>
      <c r="K138" t="s">
        <v>387</v>
      </c>
      <c r="L138">
        <v>139</v>
      </c>
      <c r="M138" t="str">
        <f t="shared" si="4"/>
        <v>Medium</v>
      </c>
      <c r="N138" t="str">
        <f t="shared" si="5"/>
        <v>Good</v>
      </c>
    </row>
    <row r="139" spans="1:14">
      <c r="A139" t="s">
        <v>20</v>
      </c>
      <c r="B139">
        <v>2001</v>
      </c>
      <c r="C139" t="s">
        <v>388</v>
      </c>
      <c r="D139" t="s">
        <v>33</v>
      </c>
      <c r="E139" t="s">
        <v>389</v>
      </c>
      <c r="F139" t="s">
        <v>46</v>
      </c>
      <c r="G139">
        <v>3.42</v>
      </c>
      <c r="H139">
        <v>87</v>
      </c>
      <c r="I139" t="s">
        <v>29</v>
      </c>
      <c r="J139" t="s">
        <v>24</v>
      </c>
      <c r="K139" t="s">
        <v>12</v>
      </c>
      <c r="L139">
        <v>181</v>
      </c>
      <c r="M139" t="str">
        <f t="shared" si="4"/>
        <v>Low</v>
      </c>
      <c r="N139" t="str">
        <f t="shared" si="5"/>
        <v>Good</v>
      </c>
    </row>
    <row r="140" spans="1:14">
      <c r="A140" t="s">
        <v>68</v>
      </c>
      <c r="B140">
        <v>2013</v>
      </c>
      <c r="C140" t="s">
        <v>390</v>
      </c>
      <c r="D140" t="s">
        <v>14</v>
      </c>
      <c r="E140" t="s">
        <v>391</v>
      </c>
      <c r="F140" t="s">
        <v>42</v>
      </c>
      <c r="G140">
        <v>38.94</v>
      </c>
      <c r="H140">
        <v>98</v>
      </c>
      <c r="I140" t="s">
        <v>29</v>
      </c>
      <c r="J140" t="s">
        <v>24</v>
      </c>
      <c r="K140" t="s">
        <v>392</v>
      </c>
      <c r="L140">
        <v>333</v>
      </c>
      <c r="M140" t="str">
        <f t="shared" si="4"/>
        <v>High</v>
      </c>
      <c r="N140" t="str">
        <f t="shared" si="5"/>
        <v>Excellent</v>
      </c>
    </row>
    <row r="141" spans="1:14">
      <c r="A141" t="s">
        <v>65</v>
      </c>
      <c r="B141">
        <v>2023</v>
      </c>
      <c r="C141" t="s">
        <v>393</v>
      </c>
      <c r="D141" t="s">
        <v>33</v>
      </c>
      <c r="E141" t="s">
        <v>394</v>
      </c>
      <c r="F141" t="s">
        <v>42</v>
      </c>
      <c r="G141">
        <v>41.31</v>
      </c>
      <c r="H141">
        <v>62</v>
      </c>
      <c r="I141" t="s">
        <v>17</v>
      </c>
      <c r="J141" t="s">
        <v>37</v>
      </c>
      <c r="K141" t="s">
        <v>395</v>
      </c>
      <c r="L141">
        <v>101</v>
      </c>
      <c r="M141" t="str">
        <f t="shared" si="4"/>
        <v>High</v>
      </c>
      <c r="N141" t="str">
        <f t="shared" si="5"/>
        <v>Average</v>
      </c>
    </row>
    <row r="142" spans="1:14">
      <c r="A142" t="s">
        <v>38</v>
      </c>
      <c r="B142">
        <v>2009</v>
      </c>
      <c r="C142" t="s">
        <v>396</v>
      </c>
      <c r="D142" t="s">
        <v>33</v>
      </c>
      <c r="E142" t="s">
        <v>397</v>
      </c>
      <c r="F142" t="s">
        <v>16</v>
      </c>
      <c r="G142">
        <v>42.52</v>
      </c>
      <c r="H142">
        <v>75</v>
      </c>
      <c r="I142" t="s">
        <v>36</v>
      </c>
      <c r="J142" t="s">
        <v>24</v>
      </c>
      <c r="K142" t="s">
        <v>398</v>
      </c>
      <c r="L142">
        <v>75</v>
      </c>
      <c r="M142" t="str">
        <f t="shared" si="4"/>
        <v>High</v>
      </c>
      <c r="N142" t="str">
        <f t="shared" si="5"/>
        <v>Good</v>
      </c>
    </row>
    <row r="143" spans="1:14">
      <c r="A143" t="s">
        <v>68</v>
      </c>
      <c r="B143">
        <v>2012</v>
      </c>
      <c r="C143" t="s">
        <v>399</v>
      </c>
      <c r="D143" t="s">
        <v>33</v>
      </c>
      <c r="E143" t="s">
        <v>400</v>
      </c>
      <c r="F143" t="s">
        <v>42</v>
      </c>
      <c r="G143">
        <v>8.0399999999999991</v>
      </c>
      <c r="H143">
        <v>80</v>
      </c>
      <c r="I143" t="s">
        <v>36</v>
      </c>
      <c r="J143" t="s">
        <v>18</v>
      </c>
      <c r="K143" t="s">
        <v>401</v>
      </c>
      <c r="L143">
        <v>276</v>
      </c>
      <c r="M143" t="str">
        <f t="shared" si="4"/>
        <v>Low</v>
      </c>
      <c r="N143" t="str">
        <f t="shared" si="5"/>
        <v>Good</v>
      </c>
    </row>
    <row r="144" spans="1:14">
      <c r="A144" t="s">
        <v>47</v>
      </c>
      <c r="B144">
        <v>2001</v>
      </c>
      <c r="C144" t="s">
        <v>402</v>
      </c>
      <c r="D144" t="s">
        <v>33</v>
      </c>
      <c r="E144" t="s">
        <v>403</v>
      </c>
      <c r="F144" t="s">
        <v>57</v>
      </c>
      <c r="G144">
        <v>7.04</v>
      </c>
      <c r="H144">
        <v>58</v>
      </c>
      <c r="I144" t="s">
        <v>36</v>
      </c>
      <c r="J144" t="s">
        <v>24</v>
      </c>
      <c r="K144" t="s">
        <v>404</v>
      </c>
      <c r="L144">
        <v>101</v>
      </c>
      <c r="M144" t="str">
        <f t="shared" si="4"/>
        <v>Low</v>
      </c>
      <c r="N144" t="str">
        <f t="shared" si="5"/>
        <v>Average</v>
      </c>
    </row>
    <row r="145" spans="1:14">
      <c r="A145" t="s">
        <v>48</v>
      </c>
      <c r="B145">
        <v>2011</v>
      </c>
      <c r="C145" t="s">
        <v>405</v>
      </c>
      <c r="D145" t="s">
        <v>14</v>
      </c>
      <c r="E145" t="s">
        <v>406</v>
      </c>
      <c r="F145" t="s">
        <v>57</v>
      </c>
      <c r="G145">
        <v>9.84</v>
      </c>
      <c r="H145">
        <v>83</v>
      </c>
      <c r="I145" t="s">
        <v>36</v>
      </c>
      <c r="J145" t="s">
        <v>18</v>
      </c>
      <c r="K145" t="s">
        <v>407</v>
      </c>
      <c r="L145">
        <v>304</v>
      </c>
      <c r="M145" t="str">
        <f t="shared" si="4"/>
        <v>Low</v>
      </c>
      <c r="N145" t="str">
        <f t="shared" si="5"/>
        <v>Good</v>
      </c>
    </row>
    <row r="146" spans="1:14">
      <c r="A146" t="s">
        <v>26</v>
      </c>
      <c r="B146">
        <v>2010</v>
      </c>
      <c r="C146" t="s">
        <v>408</v>
      </c>
      <c r="D146" t="s">
        <v>33</v>
      </c>
      <c r="E146" t="s">
        <v>409</v>
      </c>
      <c r="F146" t="s">
        <v>35</v>
      </c>
      <c r="G146">
        <v>37.909999999999997</v>
      </c>
      <c r="H146">
        <v>56</v>
      </c>
      <c r="I146" t="s">
        <v>29</v>
      </c>
      <c r="J146" t="s">
        <v>37</v>
      </c>
      <c r="K146" t="s">
        <v>410</v>
      </c>
      <c r="L146">
        <v>311</v>
      </c>
      <c r="M146" t="str">
        <f t="shared" si="4"/>
        <v>High</v>
      </c>
      <c r="N146" t="str">
        <f t="shared" si="5"/>
        <v>Average</v>
      </c>
    </row>
    <row r="147" spans="1:14">
      <c r="A147" t="s">
        <v>12</v>
      </c>
      <c r="B147">
        <v>2002</v>
      </c>
      <c r="C147" t="s">
        <v>411</v>
      </c>
      <c r="D147" t="s">
        <v>14</v>
      </c>
      <c r="E147" t="s">
        <v>412</v>
      </c>
      <c r="F147" t="s">
        <v>42</v>
      </c>
      <c r="G147">
        <v>25.28</v>
      </c>
      <c r="H147">
        <v>75</v>
      </c>
      <c r="I147" t="s">
        <v>36</v>
      </c>
      <c r="J147" t="s">
        <v>18</v>
      </c>
      <c r="K147" t="s">
        <v>65</v>
      </c>
      <c r="L147">
        <v>132</v>
      </c>
      <c r="M147" t="str">
        <f t="shared" si="4"/>
        <v>Medium</v>
      </c>
      <c r="N147" t="str">
        <f t="shared" si="5"/>
        <v>Good</v>
      </c>
    </row>
    <row r="148" spans="1:14">
      <c r="A148" t="s">
        <v>26</v>
      </c>
      <c r="B148">
        <v>2013</v>
      </c>
      <c r="C148" t="s">
        <v>413</v>
      </c>
      <c r="D148" t="s">
        <v>14</v>
      </c>
      <c r="E148" t="s">
        <v>414</v>
      </c>
      <c r="F148" t="s">
        <v>46</v>
      </c>
      <c r="G148">
        <v>28.52</v>
      </c>
      <c r="H148">
        <v>54</v>
      </c>
      <c r="I148" t="s">
        <v>23</v>
      </c>
      <c r="J148" t="s">
        <v>18</v>
      </c>
      <c r="K148" t="s">
        <v>39</v>
      </c>
      <c r="L148">
        <v>343</v>
      </c>
      <c r="M148" t="str">
        <f t="shared" si="4"/>
        <v>Medium</v>
      </c>
      <c r="N148" t="str">
        <f t="shared" si="5"/>
        <v>Average</v>
      </c>
    </row>
    <row r="149" spans="1:14">
      <c r="A149" t="s">
        <v>65</v>
      </c>
      <c r="B149">
        <v>2008</v>
      </c>
      <c r="C149" t="s">
        <v>415</v>
      </c>
      <c r="D149" t="s">
        <v>14</v>
      </c>
      <c r="E149" t="s">
        <v>416</v>
      </c>
      <c r="F149" t="s">
        <v>16</v>
      </c>
      <c r="G149">
        <v>28.42</v>
      </c>
      <c r="H149">
        <v>95</v>
      </c>
      <c r="I149" t="s">
        <v>17</v>
      </c>
      <c r="J149" t="s">
        <v>37</v>
      </c>
      <c r="K149" t="s">
        <v>417</v>
      </c>
      <c r="L149">
        <v>135</v>
      </c>
      <c r="M149" t="str">
        <f t="shared" si="4"/>
        <v>Medium</v>
      </c>
      <c r="N149" t="str">
        <f t="shared" si="5"/>
        <v>Excellent</v>
      </c>
    </row>
    <row r="150" spans="1:14">
      <c r="A150" t="s">
        <v>12</v>
      </c>
      <c r="B150">
        <v>2014</v>
      </c>
      <c r="C150" t="s">
        <v>418</v>
      </c>
      <c r="D150" t="s">
        <v>33</v>
      </c>
      <c r="E150" t="s">
        <v>419</v>
      </c>
      <c r="F150" t="s">
        <v>16</v>
      </c>
      <c r="G150">
        <v>46.7</v>
      </c>
      <c r="H150">
        <v>52</v>
      </c>
      <c r="I150" t="s">
        <v>29</v>
      </c>
      <c r="J150" t="s">
        <v>24</v>
      </c>
      <c r="K150" t="s">
        <v>420</v>
      </c>
      <c r="L150">
        <v>287</v>
      </c>
      <c r="M150" t="str">
        <f t="shared" si="4"/>
        <v>High</v>
      </c>
      <c r="N150" t="str">
        <f t="shared" si="5"/>
        <v>Average</v>
      </c>
    </row>
    <row r="151" spans="1:14">
      <c r="A151" t="s">
        <v>12</v>
      </c>
      <c r="B151">
        <v>2015</v>
      </c>
      <c r="C151" t="s">
        <v>421</v>
      </c>
      <c r="D151" t="s">
        <v>14</v>
      </c>
      <c r="E151" t="s">
        <v>422</v>
      </c>
      <c r="F151" t="s">
        <v>16</v>
      </c>
      <c r="G151">
        <v>8.35</v>
      </c>
      <c r="H151">
        <v>73</v>
      </c>
      <c r="I151" t="s">
        <v>23</v>
      </c>
      <c r="J151" t="s">
        <v>18</v>
      </c>
      <c r="K151" t="s">
        <v>26</v>
      </c>
      <c r="L151">
        <v>239</v>
      </c>
      <c r="M151" t="str">
        <f t="shared" si="4"/>
        <v>Low</v>
      </c>
      <c r="N151" t="str">
        <f t="shared" si="5"/>
        <v>Average</v>
      </c>
    </row>
    <row r="152" spans="1:14">
      <c r="A152" t="s">
        <v>20</v>
      </c>
      <c r="B152">
        <v>2007</v>
      </c>
      <c r="C152" t="s">
        <v>423</v>
      </c>
      <c r="D152" t="s">
        <v>33</v>
      </c>
      <c r="E152" t="s">
        <v>424</v>
      </c>
      <c r="F152" t="s">
        <v>57</v>
      </c>
      <c r="G152">
        <v>31.94</v>
      </c>
      <c r="H152">
        <v>69</v>
      </c>
      <c r="I152" t="s">
        <v>36</v>
      </c>
      <c r="J152" t="s">
        <v>18</v>
      </c>
      <c r="K152" t="s">
        <v>65</v>
      </c>
      <c r="L152">
        <v>137</v>
      </c>
      <c r="M152" t="str">
        <f t="shared" si="4"/>
        <v>Medium</v>
      </c>
      <c r="N152" t="str">
        <f t="shared" si="5"/>
        <v>Average</v>
      </c>
    </row>
    <row r="153" spans="1:14">
      <c r="A153" t="s">
        <v>26</v>
      </c>
      <c r="B153">
        <v>2009</v>
      </c>
      <c r="C153" t="s">
        <v>425</v>
      </c>
      <c r="D153" t="s">
        <v>14</v>
      </c>
      <c r="E153" t="s">
        <v>426</v>
      </c>
      <c r="F153" t="s">
        <v>16</v>
      </c>
      <c r="G153">
        <v>27.79</v>
      </c>
      <c r="H153">
        <v>58</v>
      </c>
      <c r="I153" t="s">
        <v>29</v>
      </c>
      <c r="J153" t="s">
        <v>24</v>
      </c>
      <c r="K153" t="s">
        <v>427</v>
      </c>
      <c r="L153">
        <v>134</v>
      </c>
      <c r="M153" t="str">
        <f t="shared" si="4"/>
        <v>Medium</v>
      </c>
      <c r="N153" t="str">
        <f t="shared" si="5"/>
        <v>Average</v>
      </c>
    </row>
    <row r="154" spans="1:14">
      <c r="A154" t="s">
        <v>20</v>
      </c>
      <c r="B154">
        <v>2012</v>
      </c>
      <c r="C154" t="s">
        <v>428</v>
      </c>
      <c r="D154" t="s">
        <v>33</v>
      </c>
      <c r="E154" t="s">
        <v>429</v>
      </c>
      <c r="F154" t="s">
        <v>16</v>
      </c>
      <c r="G154">
        <v>15.59</v>
      </c>
      <c r="H154">
        <v>68</v>
      </c>
      <c r="I154" t="s">
        <v>29</v>
      </c>
      <c r="J154" t="s">
        <v>37</v>
      </c>
      <c r="K154" t="s">
        <v>430</v>
      </c>
      <c r="L154">
        <v>277</v>
      </c>
      <c r="M154" t="str">
        <f t="shared" si="4"/>
        <v>Medium</v>
      </c>
      <c r="N154" t="str">
        <f t="shared" si="5"/>
        <v>Average</v>
      </c>
    </row>
    <row r="155" spans="1:14">
      <c r="A155" t="s">
        <v>39</v>
      </c>
      <c r="B155">
        <v>2014</v>
      </c>
      <c r="C155" t="s">
        <v>431</v>
      </c>
      <c r="D155" t="s">
        <v>33</v>
      </c>
      <c r="E155" t="s">
        <v>432</v>
      </c>
      <c r="F155" t="s">
        <v>42</v>
      </c>
      <c r="G155">
        <v>38.950000000000003</v>
      </c>
      <c r="H155">
        <v>70</v>
      </c>
      <c r="I155" t="s">
        <v>23</v>
      </c>
      <c r="J155" t="s">
        <v>24</v>
      </c>
      <c r="K155" t="s">
        <v>433</v>
      </c>
      <c r="L155">
        <v>305</v>
      </c>
      <c r="M155" t="str">
        <f t="shared" si="4"/>
        <v>High</v>
      </c>
      <c r="N155" t="str">
        <f t="shared" si="5"/>
        <v>Average</v>
      </c>
    </row>
    <row r="156" spans="1:14">
      <c r="A156" t="s">
        <v>12</v>
      </c>
      <c r="B156">
        <v>2023</v>
      </c>
      <c r="C156" t="s">
        <v>434</v>
      </c>
      <c r="D156" t="s">
        <v>14</v>
      </c>
      <c r="E156" t="s">
        <v>435</v>
      </c>
      <c r="F156" t="s">
        <v>16</v>
      </c>
      <c r="G156">
        <v>32.36</v>
      </c>
      <c r="H156">
        <v>51</v>
      </c>
      <c r="I156" t="s">
        <v>36</v>
      </c>
      <c r="J156" t="s">
        <v>37</v>
      </c>
      <c r="K156" t="s">
        <v>436</v>
      </c>
      <c r="L156">
        <v>264</v>
      </c>
      <c r="M156" t="str">
        <f t="shared" si="4"/>
        <v>Medium</v>
      </c>
      <c r="N156" t="str">
        <f t="shared" si="5"/>
        <v>Average</v>
      </c>
    </row>
    <row r="157" spans="1:14">
      <c r="A157" t="s">
        <v>47</v>
      </c>
      <c r="B157">
        <v>2002</v>
      </c>
      <c r="C157" t="s">
        <v>437</v>
      </c>
      <c r="D157" t="s">
        <v>33</v>
      </c>
      <c r="E157" t="s">
        <v>438</v>
      </c>
      <c r="F157" t="s">
        <v>42</v>
      </c>
      <c r="G157">
        <v>45.65</v>
      </c>
      <c r="H157">
        <v>52</v>
      </c>
      <c r="I157" t="s">
        <v>61</v>
      </c>
      <c r="J157" t="s">
        <v>18</v>
      </c>
      <c r="K157" t="s">
        <v>139</v>
      </c>
      <c r="L157">
        <v>7</v>
      </c>
      <c r="M157" t="str">
        <f t="shared" si="4"/>
        <v>High</v>
      </c>
      <c r="N157" t="str">
        <f t="shared" si="5"/>
        <v>Average</v>
      </c>
    </row>
    <row r="158" spans="1:14">
      <c r="A158" t="s">
        <v>47</v>
      </c>
      <c r="B158">
        <v>2010</v>
      </c>
      <c r="C158" t="s">
        <v>439</v>
      </c>
      <c r="D158" t="s">
        <v>14</v>
      </c>
      <c r="E158" t="s">
        <v>440</v>
      </c>
      <c r="F158" t="s">
        <v>57</v>
      </c>
      <c r="G158">
        <v>17.82</v>
      </c>
      <c r="H158">
        <v>95</v>
      </c>
      <c r="I158" t="s">
        <v>29</v>
      </c>
      <c r="J158" t="s">
        <v>37</v>
      </c>
      <c r="K158" t="s">
        <v>441</v>
      </c>
      <c r="L158">
        <v>231</v>
      </c>
      <c r="M158" t="str">
        <f t="shared" si="4"/>
        <v>Medium</v>
      </c>
      <c r="N158" t="str">
        <f t="shared" si="5"/>
        <v>Excellent</v>
      </c>
    </row>
    <row r="159" spans="1:14">
      <c r="A159" t="s">
        <v>39</v>
      </c>
      <c r="B159">
        <v>2004</v>
      </c>
      <c r="C159" t="s">
        <v>442</v>
      </c>
      <c r="D159" t="s">
        <v>14</v>
      </c>
      <c r="E159" t="s">
        <v>443</v>
      </c>
      <c r="F159" t="s">
        <v>42</v>
      </c>
      <c r="G159">
        <v>33.47</v>
      </c>
      <c r="H159">
        <v>67</v>
      </c>
      <c r="I159" t="s">
        <v>36</v>
      </c>
      <c r="J159" t="s">
        <v>24</v>
      </c>
      <c r="K159" t="s">
        <v>38</v>
      </c>
      <c r="L159">
        <v>114</v>
      </c>
      <c r="M159" t="str">
        <f t="shared" si="4"/>
        <v>Medium</v>
      </c>
      <c r="N159" t="str">
        <f t="shared" si="5"/>
        <v>Average</v>
      </c>
    </row>
    <row r="160" spans="1:14">
      <c r="A160" t="s">
        <v>26</v>
      </c>
      <c r="B160">
        <v>2022</v>
      </c>
      <c r="C160" t="s">
        <v>444</v>
      </c>
      <c r="D160" t="s">
        <v>33</v>
      </c>
      <c r="E160" t="s">
        <v>414</v>
      </c>
      <c r="F160" t="s">
        <v>46</v>
      </c>
      <c r="G160">
        <v>22.6</v>
      </c>
      <c r="H160">
        <v>88</v>
      </c>
      <c r="I160" t="s">
        <v>29</v>
      </c>
      <c r="J160" t="s">
        <v>37</v>
      </c>
      <c r="K160" t="s">
        <v>445</v>
      </c>
      <c r="L160">
        <v>149</v>
      </c>
      <c r="M160" t="str">
        <f t="shared" si="4"/>
        <v>Medium</v>
      </c>
      <c r="N160" t="str">
        <f t="shared" si="5"/>
        <v>Good</v>
      </c>
    </row>
    <row r="161" spans="1:14">
      <c r="A161" t="s">
        <v>47</v>
      </c>
      <c r="B161">
        <v>2001</v>
      </c>
      <c r="C161" t="s">
        <v>446</v>
      </c>
      <c r="D161" t="s">
        <v>33</v>
      </c>
      <c r="E161" t="s">
        <v>447</v>
      </c>
      <c r="F161" t="s">
        <v>35</v>
      </c>
      <c r="G161">
        <v>31.32</v>
      </c>
      <c r="H161">
        <v>74</v>
      </c>
      <c r="I161" t="s">
        <v>29</v>
      </c>
      <c r="J161" t="s">
        <v>37</v>
      </c>
      <c r="K161" t="s">
        <v>26</v>
      </c>
      <c r="L161">
        <v>64</v>
      </c>
      <c r="M161" t="str">
        <f t="shared" si="4"/>
        <v>Medium</v>
      </c>
      <c r="N161" t="str">
        <f t="shared" si="5"/>
        <v>Average</v>
      </c>
    </row>
    <row r="162" spans="1:14">
      <c r="A162" t="s">
        <v>26</v>
      </c>
      <c r="B162">
        <v>2018</v>
      </c>
      <c r="C162" t="s">
        <v>448</v>
      </c>
      <c r="D162" t="s">
        <v>33</v>
      </c>
      <c r="E162" t="s">
        <v>449</v>
      </c>
      <c r="F162" t="s">
        <v>16</v>
      </c>
      <c r="G162">
        <v>27.09</v>
      </c>
      <c r="H162">
        <v>75</v>
      </c>
      <c r="I162" t="s">
        <v>23</v>
      </c>
      <c r="J162" t="s">
        <v>37</v>
      </c>
      <c r="K162" t="s">
        <v>65</v>
      </c>
      <c r="L162">
        <v>144</v>
      </c>
      <c r="M162" t="str">
        <f t="shared" si="4"/>
        <v>Medium</v>
      </c>
      <c r="N162" t="str">
        <f t="shared" si="5"/>
        <v>Good</v>
      </c>
    </row>
    <row r="163" spans="1:14">
      <c r="A163" t="s">
        <v>20</v>
      </c>
      <c r="B163">
        <v>2004</v>
      </c>
      <c r="C163" t="s">
        <v>450</v>
      </c>
      <c r="D163" t="s">
        <v>14</v>
      </c>
      <c r="E163" t="s">
        <v>451</v>
      </c>
      <c r="F163" t="s">
        <v>42</v>
      </c>
      <c r="G163">
        <v>13.33</v>
      </c>
      <c r="H163">
        <v>66</v>
      </c>
      <c r="I163" t="s">
        <v>36</v>
      </c>
      <c r="J163" t="s">
        <v>37</v>
      </c>
      <c r="K163" t="s">
        <v>68</v>
      </c>
      <c r="L163">
        <v>110</v>
      </c>
      <c r="M163" t="str">
        <f t="shared" si="4"/>
        <v>Low</v>
      </c>
      <c r="N163" t="str">
        <f t="shared" si="5"/>
        <v>Average</v>
      </c>
    </row>
    <row r="164" spans="1:14">
      <c r="A164" t="s">
        <v>65</v>
      </c>
      <c r="B164">
        <v>2024</v>
      </c>
      <c r="C164" t="s">
        <v>452</v>
      </c>
      <c r="D164" t="s">
        <v>14</v>
      </c>
      <c r="E164" t="s">
        <v>453</v>
      </c>
      <c r="F164" t="s">
        <v>16</v>
      </c>
      <c r="G164">
        <v>20.7</v>
      </c>
      <c r="H164">
        <v>80</v>
      </c>
      <c r="I164" t="s">
        <v>17</v>
      </c>
      <c r="J164" t="s">
        <v>18</v>
      </c>
      <c r="K164" t="s">
        <v>454</v>
      </c>
      <c r="L164">
        <v>264</v>
      </c>
      <c r="M164" t="str">
        <f t="shared" si="4"/>
        <v>Medium</v>
      </c>
      <c r="N164" t="str">
        <f t="shared" si="5"/>
        <v>Good</v>
      </c>
    </row>
    <row r="165" spans="1:14">
      <c r="A165" t="s">
        <v>65</v>
      </c>
      <c r="B165">
        <v>2003</v>
      </c>
      <c r="C165" t="s">
        <v>455</v>
      </c>
      <c r="D165" t="s">
        <v>33</v>
      </c>
      <c r="E165" t="s">
        <v>456</v>
      </c>
      <c r="F165" t="s">
        <v>35</v>
      </c>
      <c r="G165">
        <v>30.03</v>
      </c>
      <c r="H165">
        <v>100</v>
      </c>
      <c r="I165" t="s">
        <v>36</v>
      </c>
      <c r="J165" t="s">
        <v>37</v>
      </c>
      <c r="K165" t="s">
        <v>457</v>
      </c>
      <c r="L165">
        <v>43</v>
      </c>
      <c r="M165" t="str">
        <f t="shared" si="4"/>
        <v>Medium</v>
      </c>
      <c r="N165" t="str">
        <f t="shared" si="5"/>
        <v>Excellent</v>
      </c>
    </row>
    <row r="166" spans="1:14">
      <c r="A166" t="s">
        <v>20</v>
      </c>
      <c r="B166">
        <v>2006</v>
      </c>
      <c r="C166" t="s">
        <v>458</v>
      </c>
      <c r="D166" t="s">
        <v>14</v>
      </c>
      <c r="E166" t="s">
        <v>459</v>
      </c>
      <c r="F166" t="s">
        <v>16</v>
      </c>
      <c r="G166">
        <v>12.87</v>
      </c>
      <c r="H166">
        <v>96</v>
      </c>
      <c r="I166" t="s">
        <v>17</v>
      </c>
      <c r="J166" t="s">
        <v>24</v>
      </c>
      <c r="K166" t="s">
        <v>460</v>
      </c>
      <c r="L166">
        <v>170</v>
      </c>
      <c r="M166" t="str">
        <f t="shared" si="4"/>
        <v>Low</v>
      </c>
      <c r="N166" t="str">
        <f t="shared" si="5"/>
        <v>Excellent</v>
      </c>
    </row>
    <row r="167" spans="1:14">
      <c r="A167" t="s">
        <v>68</v>
      </c>
      <c r="B167">
        <v>2025</v>
      </c>
      <c r="C167" t="s">
        <v>461</v>
      </c>
      <c r="D167" t="s">
        <v>14</v>
      </c>
      <c r="E167" t="s">
        <v>462</v>
      </c>
      <c r="F167" t="s">
        <v>46</v>
      </c>
      <c r="G167">
        <v>31.41</v>
      </c>
      <c r="H167">
        <v>78</v>
      </c>
      <c r="I167" t="s">
        <v>61</v>
      </c>
      <c r="J167" t="s">
        <v>18</v>
      </c>
      <c r="K167" t="s">
        <v>114</v>
      </c>
      <c r="L167">
        <v>85</v>
      </c>
      <c r="M167" t="str">
        <f t="shared" si="4"/>
        <v>Medium</v>
      </c>
      <c r="N167" t="str">
        <f t="shared" si="5"/>
        <v>Good</v>
      </c>
    </row>
    <row r="168" spans="1:14">
      <c r="A168" t="s">
        <v>65</v>
      </c>
      <c r="B168">
        <v>2003</v>
      </c>
      <c r="C168" t="s">
        <v>463</v>
      </c>
      <c r="D168" t="s">
        <v>33</v>
      </c>
      <c r="E168" t="s">
        <v>464</v>
      </c>
      <c r="F168" t="s">
        <v>35</v>
      </c>
      <c r="G168">
        <v>16.079999999999998</v>
      </c>
      <c r="H168">
        <v>56</v>
      </c>
      <c r="I168" t="s">
        <v>36</v>
      </c>
      <c r="J168" t="s">
        <v>18</v>
      </c>
      <c r="K168" t="s">
        <v>465</v>
      </c>
      <c r="L168">
        <v>2</v>
      </c>
      <c r="M168" t="str">
        <f t="shared" si="4"/>
        <v>Medium</v>
      </c>
      <c r="N168" t="str">
        <f t="shared" si="5"/>
        <v>Average</v>
      </c>
    </row>
    <row r="169" spans="1:14">
      <c r="A169" t="s">
        <v>12</v>
      </c>
      <c r="B169">
        <v>2000</v>
      </c>
      <c r="C169" t="s">
        <v>466</v>
      </c>
      <c r="D169" t="s">
        <v>33</v>
      </c>
      <c r="E169" t="s">
        <v>467</v>
      </c>
      <c r="F169" t="s">
        <v>16</v>
      </c>
      <c r="G169">
        <v>3.99</v>
      </c>
      <c r="H169">
        <v>100</v>
      </c>
      <c r="I169" t="s">
        <v>29</v>
      </c>
      <c r="J169" t="s">
        <v>18</v>
      </c>
      <c r="K169" t="s">
        <v>209</v>
      </c>
      <c r="L169">
        <v>139</v>
      </c>
      <c r="M169" t="str">
        <f t="shared" si="4"/>
        <v>Low</v>
      </c>
      <c r="N169" t="str">
        <f t="shared" si="5"/>
        <v>Excellent</v>
      </c>
    </row>
    <row r="170" spans="1:14">
      <c r="A170" t="s">
        <v>31</v>
      </c>
      <c r="B170">
        <v>2018</v>
      </c>
      <c r="C170" t="s">
        <v>468</v>
      </c>
      <c r="D170" t="s">
        <v>14</v>
      </c>
      <c r="E170" t="s">
        <v>469</v>
      </c>
      <c r="F170" t="s">
        <v>42</v>
      </c>
      <c r="G170">
        <v>46.02</v>
      </c>
      <c r="H170">
        <v>52</v>
      </c>
      <c r="I170" t="s">
        <v>36</v>
      </c>
      <c r="J170" t="s">
        <v>18</v>
      </c>
      <c r="K170" t="s">
        <v>84</v>
      </c>
      <c r="L170">
        <v>167</v>
      </c>
      <c r="M170" t="str">
        <f t="shared" si="4"/>
        <v>High</v>
      </c>
      <c r="N170" t="str">
        <f t="shared" si="5"/>
        <v>Average</v>
      </c>
    </row>
    <row r="171" spans="1:14">
      <c r="A171" t="s">
        <v>47</v>
      </c>
      <c r="B171">
        <v>2023</v>
      </c>
      <c r="C171" t="s">
        <v>470</v>
      </c>
      <c r="D171" t="s">
        <v>14</v>
      </c>
      <c r="E171" t="s">
        <v>471</v>
      </c>
      <c r="F171" t="s">
        <v>16</v>
      </c>
      <c r="G171">
        <v>11.99</v>
      </c>
      <c r="H171">
        <v>99</v>
      </c>
      <c r="I171" t="s">
        <v>23</v>
      </c>
      <c r="J171" t="s">
        <v>24</v>
      </c>
      <c r="K171" t="s">
        <v>31</v>
      </c>
      <c r="L171">
        <v>145</v>
      </c>
      <c r="M171" t="str">
        <f t="shared" si="4"/>
        <v>Low</v>
      </c>
      <c r="N171" t="str">
        <f t="shared" si="5"/>
        <v>Excellent</v>
      </c>
    </row>
    <row r="172" spans="1:14">
      <c r="A172" t="s">
        <v>65</v>
      </c>
      <c r="B172">
        <v>2008</v>
      </c>
      <c r="C172" t="s">
        <v>472</v>
      </c>
      <c r="D172" t="s">
        <v>33</v>
      </c>
      <c r="E172" t="s">
        <v>473</v>
      </c>
      <c r="F172" t="s">
        <v>57</v>
      </c>
      <c r="G172">
        <v>34.47</v>
      </c>
      <c r="H172">
        <v>51</v>
      </c>
      <c r="I172" t="s">
        <v>29</v>
      </c>
      <c r="J172" t="s">
        <v>37</v>
      </c>
      <c r="K172" t="s">
        <v>474</v>
      </c>
      <c r="L172">
        <v>50</v>
      </c>
      <c r="M172" t="str">
        <f t="shared" si="4"/>
        <v>Medium</v>
      </c>
      <c r="N172" t="str">
        <f t="shared" si="5"/>
        <v>Average</v>
      </c>
    </row>
    <row r="173" spans="1:14">
      <c r="A173" t="s">
        <v>39</v>
      </c>
      <c r="B173">
        <v>2000</v>
      </c>
      <c r="C173" t="s">
        <v>475</v>
      </c>
      <c r="D173" t="s">
        <v>33</v>
      </c>
      <c r="E173" t="s">
        <v>476</v>
      </c>
      <c r="F173" t="s">
        <v>42</v>
      </c>
      <c r="G173">
        <v>37.049999999999997</v>
      </c>
      <c r="H173">
        <v>89</v>
      </c>
      <c r="I173" t="s">
        <v>29</v>
      </c>
      <c r="J173" t="s">
        <v>18</v>
      </c>
      <c r="K173" t="s">
        <v>47</v>
      </c>
      <c r="L173">
        <v>174</v>
      </c>
      <c r="M173" t="str">
        <f t="shared" si="4"/>
        <v>High</v>
      </c>
      <c r="N173" t="str">
        <f t="shared" si="5"/>
        <v>Good</v>
      </c>
    </row>
    <row r="174" spans="1:14">
      <c r="A174" t="s">
        <v>47</v>
      </c>
      <c r="B174">
        <v>2016</v>
      </c>
      <c r="C174" t="s">
        <v>477</v>
      </c>
      <c r="D174" t="s">
        <v>33</v>
      </c>
      <c r="E174" t="s">
        <v>478</v>
      </c>
      <c r="F174" t="s">
        <v>46</v>
      </c>
      <c r="G174">
        <v>16.53</v>
      </c>
      <c r="H174">
        <v>69</v>
      </c>
      <c r="I174" t="s">
        <v>61</v>
      </c>
      <c r="J174" t="s">
        <v>24</v>
      </c>
      <c r="K174" t="s">
        <v>78</v>
      </c>
      <c r="L174">
        <v>20</v>
      </c>
      <c r="M174" t="str">
        <f t="shared" si="4"/>
        <v>Medium</v>
      </c>
      <c r="N174" t="str">
        <f t="shared" si="5"/>
        <v>Average</v>
      </c>
    </row>
    <row r="175" spans="1:14">
      <c r="A175" t="s">
        <v>31</v>
      </c>
      <c r="B175">
        <v>2018</v>
      </c>
      <c r="C175" t="s">
        <v>479</v>
      </c>
      <c r="D175" t="s">
        <v>14</v>
      </c>
      <c r="E175" t="s">
        <v>480</v>
      </c>
      <c r="F175" t="s">
        <v>57</v>
      </c>
      <c r="G175">
        <v>7.14</v>
      </c>
      <c r="H175">
        <v>57</v>
      </c>
      <c r="I175" t="s">
        <v>29</v>
      </c>
      <c r="J175" t="s">
        <v>18</v>
      </c>
      <c r="K175" t="s">
        <v>48</v>
      </c>
      <c r="L175">
        <v>83</v>
      </c>
      <c r="M175" t="str">
        <f t="shared" si="4"/>
        <v>Low</v>
      </c>
      <c r="N175" t="str">
        <f t="shared" si="5"/>
        <v>Average</v>
      </c>
    </row>
    <row r="176" spans="1:14">
      <c r="A176" t="s">
        <v>48</v>
      </c>
      <c r="B176">
        <v>2004</v>
      </c>
      <c r="C176" t="s">
        <v>481</v>
      </c>
      <c r="D176" t="s">
        <v>14</v>
      </c>
      <c r="E176" t="s">
        <v>482</v>
      </c>
      <c r="F176" t="s">
        <v>16</v>
      </c>
      <c r="G176">
        <v>44.87</v>
      </c>
      <c r="H176">
        <v>65</v>
      </c>
      <c r="I176" t="s">
        <v>29</v>
      </c>
      <c r="J176" t="s">
        <v>37</v>
      </c>
      <c r="K176" t="s">
        <v>249</v>
      </c>
      <c r="L176">
        <v>295</v>
      </c>
      <c r="M176" t="str">
        <f t="shared" si="4"/>
        <v>High</v>
      </c>
      <c r="N176" t="str">
        <f t="shared" si="5"/>
        <v>Average</v>
      </c>
    </row>
    <row r="177" spans="1:14">
      <c r="A177" t="s">
        <v>20</v>
      </c>
      <c r="B177">
        <v>2019</v>
      </c>
      <c r="C177" t="s">
        <v>483</v>
      </c>
      <c r="D177" t="s">
        <v>33</v>
      </c>
      <c r="E177" t="s">
        <v>484</v>
      </c>
      <c r="F177" t="s">
        <v>42</v>
      </c>
      <c r="G177">
        <v>18.190000000000001</v>
      </c>
      <c r="H177">
        <v>90</v>
      </c>
      <c r="I177" t="s">
        <v>36</v>
      </c>
      <c r="J177" t="s">
        <v>24</v>
      </c>
      <c r="K177" t="s">
        <v>485</v>
      </c>
      <c r="L177">
        <v>48</v>
      </c>
      <c r="M177" t="str">
        <f t="shared" si="4"/>
        <v>Medium</v>
      </c>
      <c r="N177" t="str">
        <f t="shared" si="5"/>
        <v>Excellent</v>
      </c>
    </row>
    <row r="178" spans="1:14">
      <c r="A178" t="s">
        <v>68</v>
      </c>
      <c r="B178">
        <v>2015</v>
      </c>
      <c r="C178" t="s">
        <v>486</v>
      </c>
      <c r="D178" t="s">
        <v>33</v>
      </c>
      <c r="E178" t="s">
        <v>487</v>
      </c>
      <c r="F178" t="s">
        <v>42</v>
      </c>
      <c r="G178">
        <v>42.16</v>
      </c>
      <c r="H178">
        <v>70</v>
      </c>
      <c r="I178" t="s">
        <v>23</v>
      </c>
      <c r="J178" t="s">
        <v>24</v>
      </c>
      <c r="K178" t="s">
        <v>488</v>
      </c>
      <c r="L178">
        <v>216</v>
      </c>
      <c r="M178" t="str">
        <f t="shared" si="4"/>
        <v>High</v>
      </c>
      <c r="N178" t="str">
        <f t="shared" si="5"/>
        <v>Average</v>
      </c>
    </row>
    <row r="179" spans="1:14">
      <c r="A179" t="s">
        <v>68</v>
      </c>
      <c r="B179">
        <v>2017</v>
      </c>
      <c r="C179" t="s">
        <v>489</v>
      </c>
      <c r="D179" t="s">
        <v>33</v>
      </c>
      <c r="E179" t="s">
        <v>490</v>
      </c>
      <c r="F179" t="s">
        <v>16</v>
      </c>
      <c r="G179">
        <v>23.44</v>
      </c>
      <c r="H179">
        <v>90</v>
      </c>
      <c r="I179" t="s">
        <v>61</v>
      </c>
      <c r="J179" t="s">
        <v>37</v>
      </c>
      <c r="K179" t="s">
        <v>47</v>
      </c>
      <c r="L179">
        <v>304</v>
      </c>
      <c r="M179" t="str">
        <f t="shared" si="4"/>
        <v>Medium</v>
      </c>
      <c r="N179" t="str">
        <f t="shared" si="5"/>
        <v>Excellent</v>
      </c>
    </row>
    <row r="180" spans="1:14">
      <c r="A180" t="s">
        <v>68</v>
      </c>
      <c r="B180">
        <v>2008</v>
      </c>
      <c r="C180" t="s">
        <v>491</v>
      </c>
      <c r="D180" t="s">
        <v>14</v>
      </c>
      <c r="E180" t="s">
        <v>492</v>
      </c>
      <c r="F180" t="s">
        <v>42</v>
      </c>
      <c r="G180">
        <v>25.4</v>
      </c>
      <c r="H180">
        <v>58</v>
      </c>
      <c r="I180" t="s">
        <v>23</v>
      </c>
      <c r="J180" t="s">
        <v>37</v>
      </c>
      <c r="K180" t="s">
        <v>493</v>
      </c>
      <c r="L180">
        <v>103</v>
      </c>
      <c r="M180" t="str">
        <f t="shared" si="4"/>
        <v>Medium</v>
      </c>
      <c r="N180" t="str">
        <f t="shared" si="5"/>
        <v>Average</v>
      </c>
    </row>
    <row r="181" spans="1:14">
      <c r="A181" t="s">
        <v>65</v>
      </c>
      <c r="B181">
        <v>2022</v>
      </c>
      <c r="C181" t="s">
        <v>494</v>
      </c>
      <c r="D181" t="s">
        <v>14</v>
      </c>
      <c r="E181" t="s">
        <v>495</v>
      </c>
      <c r="F181" t="s">
        <v>35</v>
      </c>
      <c r="G181">
        <v>48.07</v>
      </c>
      <c r="H181">
        <v>54</v>
      </c>
      <c r="I181" t="s">
        <v>23</v>
      </c>
      <c r="J181" t="s">
        <v>24</v>
      </c>
      <c r="K181" t="s">
        <v>12</v>
      </c>
      <c r="L181">
        <v>78</v>
      </c>
      <c r="M181" t="str">
        <f t="shared" si="4"/>
        <v>High</v>
      </c>
      <c r="N181" t="str">
        <f t="shared" si="5"/>
        <v>Average</v>
      </c>
    </row>
    <row r="182" spans="1:14">
      <c r="A182" t="s">
        <v>47</v>
      </c>
      <c r="B182">
        <v>2008</v>
      </c>
      <c r="C182" t="s">
        <v>496</v>
      </c>
      <c r="D182" t="s">
        <v>33</v>
      </c>
      <c r="E182" t="s">
        <v>497</v>
      </c>
      <c r="F182" t="s">
        <v>42</v>
      </c>
      <c r="G182">
        <v>16.53</v>
      </c>
      <c r="H182">
        <v>69</v>
      </c>
      <c r="I182" t="s">
        <v>29</v>
      </c>
      <c r="J182" t="s">
        <v>37</v>
      </c>
      <c r="K182" t="s">
        <v>498</v>
      </c>
      <c r="L182">
        <v>330</v>
      </c>
      <c r="M182" t="str">
        <f t="shared" si="4"/>
        <v>Medium</v>
      </c>
      <c r="N182" t="str">
        <f t="shared" si="5"/>
        <v>Average</v>
      </c>
    </row>
    <row r="183" spans="1:14">
      <c r="A183" t="s">
        <v>68</v>
      </c>
      <c r="B183">
        <v>2008</v>
      </c>
      <c r="C183" t="s">
        <v>499</v>
      </c>
      <c r="D183" t="s">
        <v>14</v>
      </c>
      <c r="E183" t="s">
        <v>500</v>
      </c>
      <c r="F183" t="s">
        <v>35</v>
      </c>
      <c r="G183">
        <v>10.18</v>
      </c>
      <c r="H183">
        <v>73</v>
      </c>
      <c r="I183" t="s">
        <v>17</v>
      </c>
      <c r="J183" t="s">
        <v>24</v>
      </c>
      <c r="K183" t="s">
        <v>48</v>
      </c>
      <c r="L183">
        <v>7</v>
      </c>
      <c r="M183" t="str">
        <f t="shared" si="4"/>
        <v>Low</v>
      </c>
      <c r="N183" t="str">
        <f t="shared" si="5"/>
        <v>Average</v>
      </c>
    </row>
    <row r="184" spans="1:14">
      <c r="A184" t="s">
        <v>26</v>
      </c>
      <c r="B184">
        <v>2018</v>
      </c>
      <c r="C184" t="s">
        <v>501</v>
      </c>
      <c r="D184" t="s">
        <v>33</v>
      </c>
      <c r="E184" t="s">
        <v>502</v>
      </c>
      <c r="F184" t="s">
        <v>42</v>
      </c>
      <c r="G184">
        <v>35.44</v>
      </c>
      <c r="H184">
        <v>68</v>
      </c>
      <c r="I184" t="s">
        <v>17</v>
      </c>
      <c r="J184" t="s">
        <v>18</v>
      </c>
      <c r="K184" t="s">
        <v>39</v>
      </c>
      <c r="L184">
        <v>101</v>
      </c>
      <c r="M184" t="str">
        <f t="shared" si="4"/>
        <v>High</v>
      </c>
      <c r="N184" t="str">
        <f t="shared" si="5"/>
        <v>Average</v>
      </c>
    </row>
    <row r="185" spans="1:14">
      <c r="A185" t="s">
        <v>39</v>
      </c>
      <c r="B185">
        <v>2017</v>
      </c>
      <c r="C185" t="s">
        <v>503</v>
      </c>
      <c r="D185" t="s">
        <v>14</v>
      </c>
      <c r="E185" t="s">
        <v>504</v>
      </c>
      <c r="F185" t="s">
        <v>46</v>
      </c>
      <c r="G185">
        <v>24.65</v>
      </c>
      <c r="H185">
        <v>93</v>
      </c>
      <c r="I185" t="s">
        <v>36</v>
      </c>
      <c r="J185" t="s">
        <v>18</v>
      </c>
      <c r="K185" t="s">
        <v>505</v>
      </c>
      <c r="L185">
        <v>84</v>
      </c>
      <c r="M185" t="str">
        <f t="shared" si="4"/>
        <v>Medium</v>
      </c>
      <c r="N185" t="str">
        <f t="shared" si="5"/>
        <v>Excellent</v>
      </c>
    </row>
    <row r="186" spans="1:14">
      <c r="A186" t="s">
        <v>20</v>
      </c>
      <c r="B186">
        <v>2023</v>
      </c>
      <c r="C186" t="s">
        <v>506</v>
      </c>
      <c r="D186" t="s">
        <v>33</v>
      </c>
      <c r="E186" t="s">
        <v>507</v>
      </c>
      <c r="F186" t="s">
        <v>57</v>
      </c>
      <c r="G186">
        <v>9.66</v>
      </c>
      <c r="H186">
        <v>96</v>
      </c>
      <c r="I186" t="s">
        <v>36</v>
      </c>
      <c r="J186" t="s">
        <v>18</v>
      </c>
      <c r="K186" t="s">
        <v>508</v>
      </c>
      <c r="L186">
        <v>137</v>
      </c>
      <c r="M186" t="str">
        <f t="shared" si="4"/>
        <v>Low</v>
      </c>
      <c r="N186" t="str">
        <f t="shared" si="5"/>
        <v>Excellent</v>
      </c>
    </row>
    <row r="187" spans="1:14">
      <c r="A187" t="s">
        <v>47</v>
      </c>
      <c r="B187">
        <v>2003</v>
      </c>
      <c r="C187" t="s">
        <v>509</v>
      </c>
      <c r="D187" t="s">
        <v>14</v>
      </c>
      <c r="E187" t="s">
        <v>510</v>
      </c>
      <c r="F187" t="s">
        <v>57</v>
      </c>
      <c r="G187">
        <v>36.549999999999997</v>
      </c>
      <c r="H187">
        <v>64</v>
      </c>
      <c r="I187" t="s">
        <v>29</v>
      </c>
      <c r="J187" t="s">
        <v>37</v>
      </c>
      <c r="K187" t="s">
        <v>38</v>
      </c>
      <c r="L187">
        <v>276</v>
      </c>
      <c r="M187" t="str">
        <f t="shared" si="4"/>
        <v>High</v>
      </c>
      <c r="N187" t="str">
        <f t="shared" si="5"/>
        <v>Average</v>
      </c>
    </row>
    <row r="188" spans="1:14">
      <c r="A188" t="s">
        <v>31</v>
      </c>
      <c r="B188">
        <v>2009</v>
      </c>
      <c r="C188" t="s">
        <v>511</v>
      </c>
      <c r="D188" t="s">
        <v>14</v>
      </c>
      <c r="E188" t="s">
        <v>512</v>
      </c>
      <c r="F188" t="s">
        <v>46</v>
      </c>
      <c r="G188">
        <v>15.34</v>
      </c>
      <c r="H188">
        <v>69</v>
      </c>
      <c r="I188" t="s">
        <v>23</v>
      </c>
      <c r="J188" t="s">
        <v>24</v>
      </c>
      <c r="K188" t="s">
        <v>513</v>
      </c>
      <c r="L188">
        <v>234</v>
      </c>
      <c r="M188" t="str">
        <f t="shared" si="4"/>
        <v>Medium</v>
      </c>
      <c r="N188" t="str">
        <f t="shared" si="5"/>
        <v>Average</v>
      </c>
    </row>
    <row r="189" spans="1:14">
      <c r="A189" t="s">
        <v>12</v>
      </c>
      <c r="B189">
        <v>2012</v>
      </c>
      <c r="C189" t="s">
        <v>514</v>
      </c>
      <c r="D189" t="s">
        <v>14</v>
      </c>
      <c r="E189" t="s">
        <v>515</v>
      </c>
      <c r="F189" t="s">
        <v>42</v>
      </c>
      <c r="G189">
        <v>45.57</v>
      </c>
      <c r="H189">
        <v>60</v>
      </c>
      <c r="I189" t="s">
        <v>36</v>
      </c>
      <c r="J189" t="s">
        <v>18</v>
      </c>
      <c r="K189" t="s">
        <v>465</v>
      </c>
      <c r="L189">
        <v>99</v>
      </c>
      <c r="M189" t="str">
        <f t="shared" si="4"/>
        <v>High</v>
      </c>
      <c r="N189" t="str">
        <f t="shared" si="5"/>
        <v>Average</v>
      </c>
    </row>
    <row r="190" spans="1:14">
      <c r="A190" t="s">
        <v>38</v>
      </c>
      <c r="B190">
        <v>2020</v>
      </c>
      <c r="C190" t="s">
        <v>516</v>
      </c>
      <c r="D190" t="s">
        <v>14</v>
      </c>
      <c r="E190" t="s">
        <v>517</v>
      </c>
      <c r="F190" t="s">
        <v>16</v>
      </c>
      <c r="G190">
        <v>29.74</v>
      </c>
      <c r="H190">
        <v>79</v>
      </c>
      <c r="I190" t="s">
        <v>61</v>
      </c>
      <c r="J190" t="s">
        <v>18</v>
      </c>
      <c r="K190" t="s">
        <v>305</v>
      </c>
      <c r="L190">
        <v>309</v>
      </c>
      <c r="M190" t="str">
        <f t="shared" si="4"/>
        <v>Medium</v>
      </c>
      <c r="N190" t="str">
        <f t="shared" si="5"/>
        <v>Good</v>
      </c>
    </row>
    <row r="191" spans="1:14">
      <c r="A191" t="s">
        <v>48</v>
      </c>
      <c r="B191">
        <v>2020</v>
      </c>
      <c r="C191" t="s">
        <v>518</v>
      </c>
      <c r="D191" t="s">
        <v>33</v>
      </c>
      <c r="E191" t="s">
        <v>519</v>
      </c>
      <c r="F191" t="s">
        <v>57</v>
      </c>
      <c r="G191">
        <v>42.56</v>
      </c>
      <c r="H191">
        <v>81</v>
      </c>
      <c r="I191" t="s">
        <v>29</v>
      </c>
      <c r="J191" t="s">
        <v>37</v>
      </c>
      <c r="K191" t="s">
        <v>410</v>
      </c>
      <c r="L191">
        <v>260</v>
      </c>
      <c r="M191" t="str">
        <f t="shared" si="4"/>
        <v>High</v>
      </c>
      <c r="N191" t="str">
        <f t="shared" si="5"/>
        <v>Good</v>
      </c>
    </row>
    <row r="192" spans="1:14">
      <c r="A192" t="s">
        <v>47</v>
      </c>
      <c r="B192">
        <v>2009</v>
      </c>
      <c r="C192" t="s">
        <v>520</v>
      </c>
      <c r="D192" t="s">
        <v>33</v>
      </c>
      <c r="E192" t="s">
        <v>521</v>
      </c>
      <c r="F192" t="s">
        <v>42</v>
      </c>
      <c r="G192">
        <v>31.38</v>
      </c>
      <c r="H192">
        <v>61</v>
      </c>
      <c r="I192" t="s">
        <v>23</v>
      </c>
      <c r="J192" t="s">
        <v>37</v>
      </c>
      <c r="K192" t="s">
        <v>68</v>
      </c>
      <c r="L192">
        <v>90</v>
      </c>
      <c r="M192" t="str">
        <f t="shared" si="4"/>
        <v>Medium</v>
      </c>
      <c r="N192" t="str">
        <f t="shared" si="5"/>
        <v>Average</v>
      </c>
    </row>
    <row r="193" spans="1:14">
      <c r="A193" t="s">
        <v>20</v>
      </c>
      <c r="B193">
        <v>2010</v>
      </c>
      <c r="C193" t="s">
        <v>522</v>
      </c>
      <c r="D193" t="s">
        <v>33</v>
      </c>
      <c r="E193" t="s">
        <v>523</v>
      </c>
      <c r="F193" t="s">
        <v>35</v>
      </c>
      <c r="G193">
        <v>38.83</v>
      </c>
      <c r="H193">
        <v>83</v>
      </c>
      <c r="I193" t="s">
        <v>61</v>
      </c>
      <c r="J193" t="s">
        <v>18</v>
      </c>
      <c r="K193" t="s">
        <v>524</v>
      </c>
      <c r="L193">
        <v>220</v>
      </c>
      <c r="M193" t="str">
        <f t="shared" si="4"/>
        <v>High</v>
      </c>
      <c r="N193" t="str">
        <f t="shared" si="5"/>
        <v>Good</v>
      </c>
    </row>
    <row r="194" spans="1:14">
      <c r="A194" t="s">
        <v>65</v>
      </c>
      <c r="B194">
        <v>2002</v>
      </c>
      <c r="C194" t="s">
        <v>525</v>
      </c>
      <c r="D194" t="s">
        <v>14</v>
      </c>
      <c r="E194" t="s">
        <v>526</v>
      </c>
      <c r="F194" t="s">
        <v>35</v>
      </c>
      <c r="G194">
        <v>11.86</v>
      </c>
      <c r="H194">
        <v>60</v>
      </c>
      <c r="I194" t="s">
        <v>29</v>
      </c>
      <c r="J194" t="s">
        <v>24</v>
      </c>
      <c r="K194" t="s">
        <v>65</v>
      </c>
      <c r="L194">
        <v>250</v>
      </c>
      <c r="M194" t="str">
        <f t="shared" si="4"/>
        <v>Low</v>
      </c>
      <c r="N194" t="str">
        <f t="shared" si="5"/>
        <v>Average</v>
      </c>
    </row>
    <row r="195" spans="1:14">
      <c r="A195" t="s">
        <v>12</v>
      </c>
      <c r="B195">
        <v>2007</v>
      </c>
      <c r="C195" t="s">
        <v>527</v>
      </c>
      <c r="D195" t="s">
        <v>14</v>
      </c>
      <c r="E195" t="s">
        <v>528</v>
      </c>
      <c r="F195" t="s">
        <v>57</v>
      </c>
      <c r="G195">
        <v>36.630000000000003</v>
      </c>
      <c r="H195">
        <v>51</v>
      </c>
      <c r="I195" t="s">
        <v>23</v>
      </c>
      <c r="J195" t="s">
        <v>24</v>
      </c>
      <c r="K195" t="s">
        <v>529</v>
      </c>
      <c r="L195">
        <v>20</v>
      </c>
      <c r="M195" t="str">
        <f t="shared" ref="M195:M258" si="6">IF(G195&lt;15,"Low",IF(G195&lt;35,"Medium","High"))</f>
        <v>High</v>
      </c>
      <c r="N195" t="str">
        <f t="shared" ref="N195:N258" si="7">IF(H195&gt;=90,"Excellent",IF(H195&gt;=75,"Good","Average"))</f>
        <v>Average</v>
      </c>
    </row>
    <row r="196" spans="1:14">
      <c r="A196" t="s">
        <v>39</v>
      </c>
      <c r="B196">
        <v>2008</v>
      </c>
      <c r="C196" t="s">
        <v>530</v>
      </c>
      <c r="D196" t="s">
        <v>33</v>
      </c>
      <c r="E196" t="s">
        <v>531</v>
      </c>
      <c r="F196" t="s">
        <v>16</v>
      </c>
      <c r="G196">
        <v>39.93</v>
      </c>
      <c r="H196">
        <v>87</v>
      </c>
      <c r="I196" t="s">
        <v>23</v>
      </c>
      <c r="J196" t="s">
        <v>37</v>
      </c>
      <c r="K196" t="s">
        <v>48</v>
      </c>
      <c r="L196">
        <v>314</v>
      </c>
      <c r="M196" t="str">
        <f t="shared" si="6"/>
        <v>High</v>
      </c>
      <c r="N196" t="str">
        <f t="shared" si="7"/>
        <v>Good</v>
      </c>
    </row>
    <row r="197" spans="1:14">
      <c r="A197" t="s">
        <v>65</v>
      </c>
      <c r="B197">
        <v>2007</v>
      </c>
      <c r="C197" t="s">
        <v>532</v>
      </c>
      <c r="D197" t="s">
        <v>33</v>
      </c>
      <c r="E197" t="s">
        <v>533</v>
      </c>
      <c r="F197" t="s">
        <v>16</v>
      </c>
      <c r="G197">
        <v>34.04</v>
      </c>
      <c r="H197">
        <v>76</v>
      </c>
      <c r="I197" t="s">
        <v>36</v>
      </c>
      <c r="J197" t="s">
        <v>37</v>
      </c>
      <c r="K197" t="s">
        <v>534</v>
      </c>
      <c r="L197">
        <v>42</v>
      </c>
      <c r="M197" t="str">
        <f t="shared" si="6"/>
        <v>Medium</v>
      </c>
      <c r="N197" t="str">
        <f t="shared" si="7"/>
        <v>Good</v>
      </c>
    </row>
    <row r="198" spans="1:14">
      <c r="A198" t="s">
        <v>31</v>
      </c>
      <c r="B198">
        <v>2004</v>
      </c>
      <c r="C198" t="s">
        <v>535</v>
      </c>
      <c r="D198" t="s">
        <v>14</v>
      </c>
      <c r="E198" t="s">
        <v>536</v>
      </c>
      <c r="F198" t="s">
        <v>16</v>
      </c>
      <c r="G198">
        <v>42.85</v>
      </c>
      <c r="H198">
        <v>56</v>
      </c>
      <c r="I198" t="s">
        <v>61</v>
      </c>
      <c r="J198" t="s">
        <v>37</v>
      </c>
      <c r="K198" t="s">
        <v>537</v>
      </c>
      <c r="L198">
        <v>226</v>
      </c>
      <c r="M198" t="str">
        <f t="shared" si="6"/>
        <v>High</v>
      </c>
      <c r="N198" t="str">
        <f t="shared" si="7"/>
        <v>Average</v>
      </c>
    </row>
    <row r="199" spans="1:14">
      <c r="A199" t="s">
        <v>47</v>
      </c>
      <c r="B199">
        <v>2007</v>
      </c>
      <c r="C199" t="s">
        <v>538</v>
      </c>
      <c r="D199" t="s">
        <v>14</v>
      </c>
      <c r="E199" t="s">
        <v>539</v>
      </c>
      <c r="F199" t="s">
        <v>57</v>
      </c>
      <c r="G199">
        <v>5.67</v>
      </c>
      <c r="H199">
        <v>87</v>
      </c>
      <c r="I199" t="s">
        <v>17</v>
      </c>
      <c r="J199" t="s">
        <v>24</v>
      </c>
      <c r="K199" t="s">
        <v>540</v>
      </c>
      <c r="L199">
        <v>110</v>
      </c>
      <c r="M199" t="str">
        <f t="shared" si="6"/>
        <v>Low</v>
      </c>
      <c r="N199" t="str">
        <f t="shared" si="7"/>
        <v>Good</v>
      </c>
    </row>
    <row r="200" spans="1:14">
      <c r="A200" t="s">
        <v>47</v>
      </c>
      <c r="B200">
        <v>2008</v>
      </c>
      <c r="C200" t="s">
        <v>541</v>
      </c>
      <c r="D200" t="s">
        <v>33</v>
      </c>
      <c r="E200" t="s">
        <v>542</v>
      </c>
      <c r="F200" t="s">
        <v>35</v>
      </c>
      <c r="G200">
        <v>29.48</v>
      </c>
      <c r="H200">
        <v>52</v>
      </c>
      <c r="I200" t="s">
        <v>29</v>
      </c>
      <c r="J200" t="s">
        <v>37</v>
      </c>
      <c r="K200" t="s">
        <v>68</v>
      </c>
      <c r="L200">
        <v>15</v>
      </c>
      <c r="M200" t="str">
        <f t="shared" si="6"/>
        <v>Medium</v>
      </c>
      <c r="N200" t="str">
        <f t="shared" si="7"/>
        <v>Average</v>
      </c>
    </row>
    <row r="201" spans="1:14">
      <c r="A201" t="s">
        <v>47</v>
      </c>
      <c r="B201">
        <v>2015</v>
      </c>
      <c r="C201" t="s">
        <v>543</v>
      </c>
      <c r="D201" t="s">
        <v>14</v>
      </c>
      <c r="E201" t="s">
        <v>544</v>
      </c>
      <c r="F201" t="s">
        <v>46</v>
      </c>
      <c r="G201">
        <v>33.11</v>
      </c>
      <c r="H201">
        <v>61</v>
      </c>
      <c r="I201" t="s">
        <v>61</v>
      </c>
      <c r="J201" t="s">
        <v>24</v>
      </c>
      <c r="K201" t="s">
        <v>545</v>
      </c>
      <c r="L201">
        <v>299</v>
      </c>
      <c r="M201" t="str">
        <f t="shared" si="6"/>
        <v>Medium</v>
      </c>
      <c r="N201" t="str">
        <f t="shared" si="7"/>
        <v>Average</v>
      </c>
    </row>
    <row r="202" spans="1:14">
      <c r="A202" t="s">
        <v>38</v>
      </c>
      <c r="B202">
        <v>2007</v>
      </c>
      <c r="C202" t="s">
        <v>546</v>
      </c>
      <c r="D202" t="s">
        <v>14</v>
      </c>
      <c r="E202" t="s">
        <v>547</v>
      </c>
      <c r="F202" t="s">
        <v>35</v>
      </c>
      <c r="G202">
        <v>39.71</v>
      </c>
      <c r="H202">
        <v>80</v>
      </c>
      <c r="I202" t="s">
        <v>61</v>
      </c>
      <c r="J202" t="s">
        <v>18</v>
      </c>
      <c r="K202" t="s">
        <v>548</v>
      </c>
      <c r="L202">
        <v>300</v>
      </c>
      <c r="M202" t="str">
        <f t="shared" si="6"/>
        <v>High</v>
      </c>
      <c r="N202" t="str">
        <f t="shared" si="7"/>
        <v>Good</v>
      </c>
    </row>
    <row r="203" spans="1:14">
      <c r="A203" t="s">
        <v>38</v>
      </c>
      <c r="B203">
        <v>2017</v>
      </c>
      <c r="C203" t="s">
        <v>549</v>
      </c>
      <c r="D203" t="s">
        <v>33</v>
      </c>
      <c r="E203" t="s">
        <v>550</v>
      </c>
      <c r="F203" t="s">
        <v>42</v>
      </c>
      <c r="G203">
        <v>41.54</v>
      </c>
      <c r="H203">
        <v>55</v>
      </c>
      <c r="I203" t="s">
        <v>23</v>
      </c>
      <c r="J203" t="s">
        <v>37</v>
      </c>
      <c r="K203" t="s">
        <v>48</v>
      </c>
      <c r="L203">
        <v>130</v>
      </c>
      <c r="M203" t="str">
        <f t="shared" si="6"/>
        <v>High</v>
      </c>
      <c r="N203" t="str">
        <f t="shared" si="7"/>
        <v>Average</v>
      </c>
    </row>
    <row r="204" spans="1:14">
      <c r="A204" t="s">
        <v>68</v>
      </c>
      <c r="B204">
        <v>2022</v>
      </c>
      <c r="C204" t="s">
        <v>551</v>
      </c>
      <c r="D204" t="s">
        <v>33</v>
      </c>
      <c r="E204" t="s">
        <v>552</v>
      </c>
      <c r="F204" t="s">
        <v>42</v>
      </c>
      <c r="G204">
        <v>15.6</v>
      </c>
      <c r="H204">
        <v>94</v>
      </c>
      <c r="I204" t="s">
        <v>29</v>
      </c>
      <c r="J204" t="s">
        <v>24</v>
      </c>
      <c r="K204" t="s">
        <v>38</v>
      </c>
      <c r="L204">
        <v>109</v>
      </c>
      <c r="M204" t="str">
        <f t="shared" si="6"/>
        <v>Medium</v>
      </c>
      <c r="N204" t="str">
        <f t="shared" si="7"/>
        <v>Excellent</v>
      </c>
    </row>
    <row r="205" spans="1:14">
      <c r="A205" t="s">
        <v>26</v>
      </c>
      <c r="B205">
        <v>2007</v>
      </c>
      <c r="C205" t="s">
        <v>553</v>
      </c>
      <c r="D205" t="s">
        <v>14</v>
      </c>
      <c r="E205" t="s">
        <v>554</v>
      </c>
      <c r="F205" t="s">
        <v>57</v>
      </c>
      <c r="G205">
        <v>28.88</v>
      </c>
      <c r="H205">
        <v>63</v>
      </c>
      <c r="I205" t="s">
        <v>17</v>
      </c>
      <c r="J205" t="s">
        <v>37</v>
      </c>
      <c r="K205" t="s">
        <v>555</v>
      </c>
      <c r="L205">
        <v>311</v>
      </c>
      <c r="M205" t="str">
        <f t="shared" si="6"/>
        <v>Medium</v>
      </c>
      <c r="N205" t="str">
        <f t="shared" si="7"/>
        <v>Average</v>
      </c>
    </row>
    <row r="206" spans="1:14">
      <c r="A206" t="s">
        <v>31</v>
      </c>
      <c r="B206">
        <v>2021</v>
      </c>
      <c r="C206" t="s">
        <v>556</v>
      </c>
      <c r="D206" t="s">
        <v>14</v>
      </c>
      <c r="E206" t="s">
        <v>557</v>
      </c>
      <c r="F206" t="s">
        <v>57</v>
      </c>
      <c r="G206">
        <v>22.71</v>
      </c>
      <c r="H206">
        <v>81</v>
      </c>
      <c r="I206" t="s">
        <v>23</v>
      </c>
      <c r="J206" t="s">
        <v>37</v>
      </c>
      <c r="K206" t="s">
        <v>26</v>
      </c>
      <c r="L206">
        <v>185</v>
      </c>
      <c r="M206" t="str">
        <f t="shared" si="6"/>
        <v>Medium</v>
      </c>
      <c r="N206" t="str">
        <f t="shared" si="7"/>
        <v>Good</v>
      </c>
    </row>
    <row r="207" spans="1:14">
      <c r="A207" t="s">
        <v>48</v>
      </c>
      <c r="B207">
        <v>2015</v>
      </c>
      <c r="C207" t="s">
        <v>558</v>
      </c>
      <c r="D207" t="s">
        <v>33</v>
      </c>
      <c r="E207" t="s">
        <v>559</v>
      </c>
      <c r="F207" t="s">
        <v>46</v>
      </c>
      <c r="G207">
        <v>38.46</v>
      </c>
      <c r="H207">
        <v>63</v>
      </c>
      <c r="I207" t="s">
        <v>23</v>
      </c>
      <c r="J207" t="s">
        <v>37</v>
      </c>
      <c r="K207" t="s">
        <v>560</v>
      </c>
      <c r="L207">
        <v>21</v>
      </c>
      <c r="M207" t="str">
        <f t="shared" si="6"/>
        <v>High</v>
      </c>
      <c r="N207" t="str">
        <f t="shared" si="7"/>
        <v>Average</v>
      </c>
    </row>
    <row r="208" spans="1:14">
      <c r="A208" t="s">
        <v>47</v>
      </c>
      <c r="B208">
        <v>2016</v>
      </c>
      <c r="C208" t="s">
        <v>561</v>
      </c>
      <c r="D208" t="s">
        <v>14</v>
      </c>
      <c r="E208" t="s">
        <v>562</v>
      </c>
      <c r="F208" t="s">
        <v>35</v>
      </c>
      <c r="G208">
        <v>11.86</v>
      </c>
      <c r="H208">
        <v>81</v>
      </c>
      <c r="I208" t="s">
        <v>17</v>
      </c>
      <c r="J208" t="s">
        <v>24</v>
      </c>
      <c r="K208" t="s">
        <v>31</v>
      </c>
      <c r="L208">
        <v>333</v>
      </c>
      <c r="M208" t="str">
        <f t="shared" si="6"/>
        <v>Low</v>
      </c>
      <c r="N208" t="str">
        <f t="shared" si="7"/>
        <v>Good</v>
      </c>
    </row>
    <row r="209" spans="1:14">
      <c r="A209" t="s">
        <v>38</v>
      </c>
      <c r="B209">
        <v>2019</v>
      </c>
      <c r="C209" t="s">
        <v>563</v>
      </c>
      <c r="D209" t="s">
        <v>14</v>
      </c>
      <c r="E209" t="s">
        <v>564</v>
      </c>
      <c r="F209" t="s">
        <v>46</v>
      </c>
      <c r="G209">
        <v>0.57999999999999996</v>
      </c>
      <c r="H209">
        <v>84</v>
      </c>
      <c r="I209" t="s">
        <v>17</v>
      </c>
      <c r="J209" t="s">
        <v>18</v>
      </c>
      <c r="K209" t="s">
        <v>65</v>
      </c>
      <c r="L209">
        <v>112</v>
      </c>
      <c r="M209" t="str">
        <f t="shared" si="6"/>
        <v>Low</v>
      </c>
      <c r="N209" t="str">
        <f t="shared" si="7"/>
        <v>Good</v>
      </c>
    </row>
    <row r="210" spans="1:14">
      <c r="A210" t="s">
        <v>47</v>
      </c>
      <c r="B210">
        <v>2005</v>
      </c>
      <c r="C210" t="s">
        <v>565</v>
      </c>
      <c r="D210" t="s">
        <v>14</v>
      </c>
      <c r="E210" t="s">
        <v>566</v>
      </c>
      <c r="F210" t="s">
        <v>35</v>
      </c>
      <c r="G210">
        <v>22.97</v>
      </c>
      <c r="H210">
        <v>61</v>
      </c>
      <c r="I210" t="s">
        <v>29</v>
      </c>
      <c r="J210" t="s">
        <v>18</v>
      </c>
      <c r="K210" t="s">
        <v>26</v>
      </c>
      <c r="L210">
        <v>349</v>
      </c>
      <c r="M210" t="str">
        <f t="shared" si="6"/>
        <v>Medium</v>
      </c>
      <c r="N210" t="str">
        <f t="shared" si="7"/>
        <v>Average</v>
      </c>
    </row>
    <row r="211" spans="1:14">
      <c r="A211" t="s">
        <v>39</v>
      </c>
      <c r="B211">
        <v>2007</v>
      </c>
      <c r="C211" t="s">
        <v>567</v>
      </c>
      <c r="D211" t="s">
        <v>14</v>
      </c>
      <c r="E211" t="s">
        <v>568</v>
      </c>
      <c r="F211" t="s">
        <v>35</v>
      </c>
      <c r="G211">
        <v>18.57</v>
      </c>
      <c r="H211">
        <v>76</v>
      </c>
      <c r="I211" t="s">
        <v>61</v>
      </c>
      <c r="J211" t="s">
        <v>37</v>
      </c>
      <c r="K211" t="s">
        <v>220</v>
      </c>
      <c r="L211">
        <v>5</v>
      </c>
      <c r="M211" t="str">
        <f t="shared" si="6"/>
        <v>Medium</v>
      </c>
      <c r="N211" t="str">
        <f t="shared" si="7"/>
        <v>Good</v>
      </c>
    </row>
    <row r="212" spans="1:14">
      <c r="A212" t="s">
        <v>31</v>
      </c>
      <c r="B212">
        <v>2000</v>
      </c>
      <c r="C212" t="s">
        <v>569</v>
      </c>
      <c r="D212" t="s">
        <v>14</v>
      </c>
      <c r="E212" t="s">
        <v>570</v>
      </c>
      <c r="F212" t="s">
        <v>16</v>
      </c>
      <c r="G212">
        <v>16.02</v>
      </c>
      <c r="H212">
        <v>74</v>
      </c>
      <c r="I212" t="s">
        <v>61</v>
      </c>
      <c r="J212" t="s">
        <v>24</v>
      </c>
      <c r="K212" t="s">
        <v>571</v>
      </c>
      <c r="L212">
        <v>300</v>
      </c>
      <c r="M212" t="str">
        <f t="shared" si="6"/>
        <v>Medium</v>
      </c>
      <c r="N212" t="str">
        <f t="shared" si="7"/>
        <v>Average</v>
      </c>
    </row>
    <row r="213" spans="1:14">
      <c r="A213" t="s">
        <v>65</v>
      </c>
      <c r="B213">
        <v>2017</v>
      </c>
      <c r="C213" t="s">
        <v>572</v>
      </c>
      <c r="D213" t="s">
        <v>33</v>
      </c>
      <c r="E213" t="s">
        <v>573</v>
      </c>
      <c r="F213" t="s">
        <v>35</v>
      </c>
      <c r="G213">
        <v>39.83</v>
      </c>
      <c r="H213">
        <v>95</v>
      </c>
      <c r="I213" t="s">
        <v>17</v>
      </c>
      <c r="J213" t="s">
        <v>37</v>
      </c>
      <c r="K213" t="s">
        <v>574</v>
      </c>
      <c r="L213">
        <v>321</v>
      </c>
      <c r="M213" t="str">
        <f t="shared" si="6"/>
        <v>High</v>
      </c>
      <c r="N213" t="str">
        <f t="shared" si="7"/>
        <v>Excellent</v>
      </c>
    </row>
    <row r="214" spans="1:14">
      <c r="A214" t="s">
        <v>31</v>
      </c>
      <c r="B214">
        <v>2002</v>
      </c>
      <c r="C214" t="s">
        <v>575</v>
      </c>
      <c r="D214" t="s">
        <v>33</v>
      </c>
      <c r="E214" t="s">
        <v>576</v>
      </c>
      <c r="F214" t="s">
        <v>16</v>
      </c>
      <c r="G214">
        <v>46.41</v>
      </c>
      <c r="H214">
        <v>54</v>
      </c>
      <c r="I214" t="s">
        <v>36</v>
      </c>
      <c r="J214" t="s">
        <v>37</v>
      </c>
      <c r="K214" t="s">
        <v>577</v>
      </c>
      <c r="L214">
        <v>16</v>
      </c>
      <c r="M214" t="str">
        <f t="shared" si="6"/>
        <v>High</v>
      </c>
      <c r="N214" t="str">
        <f t="shared" si="7"/>
        <v>Average</v>
      </c>
    </row>
    <row r="215" spans="1:14">
      <c r="A215" t="s">
        <v>68</v>
      </c>
      <c r="B215">
        <v>2020</v>
      </c>
      <c r="C215" t="s">
        <v>578</v>
      </c>
      <c r="D215" t="s">
        <v>33</v>
      </c>
      <c r="E215" t="s">
        <v>579</v>
      </c>
      <c r="F215" t="s">
        <v>42</v>
      </c>
      <c r="G215">
        <v>7.92</v>
      </c>
      <c r="H215">
        <v>76</v>
      </c>
      <c r="I215" t="s">
        <v>36</v>
      </c>
      <c r="J215" t="s">
        <v>37</v>
      </c>
      <c r="K215" t="s">
        <v>580</v>
      </c>
      <c r="L215">
        <v>152</v>
      </c>
      <c r="M215" t="str">
        <f t="shared" si="6"/>
        <v>Low</v>
      </c>
      <c r="N215" t="str">
        <f t="shared" si="7"/>
        <v>Good</v>
      </c>
    </row>
    <row r="216" spans="1:14">
      <c r="A216" t="s">
        <v>38</v>
      </c>
      <c r="B216">
        <v>2002</v>
      </c>
      <c r="C216" t="s">
        <v>581</v>
      </c>
      <c r="D216" t="s">
        <v>14</v>
      </c>
      <c r="E216" t="s">
        <v>582</v>
      </c>
      <c r="F216" t="s">
        <v>46</v>
      </c>
      <c r="G216">
        <v>39.450000000000003</v>
      </c>
      <c r="H216">
        <v>87</v>
      </c>
      <c r="I216" t="s">
        <v>36</v>
      </c>
      <c r="J216" t="s">
        <v>18</v>
      </c>
      <c r="K216" t="s">
        <v>65</v>
      </c>
      <c r="L216">
        <v>233</v>
      </c>
      <c r="M216" t="str">
        <f t="shared" si="6"/>
        <v>High</v>
      </c>
      <c r="N216" t="str">
        <f t="shared" si="7"/>
        <v>Good</v>
      </c>
    </row>
    <row r="217" spans="1:14">
      <c r="A217" t="s">
        <v>31</v>
      </c>
      <c r="B217">
        <v>2017</v>
      </c>
      <c r="C217" t="s">
        <v>583</v>
      </c>
      <c r="D217" t="s">
        <v>14</v>
      </c>
      <c r="E217" t="s">
        <v>584</v>
      </c>
      <c r="F217" t="s">
        <v>16</v>
      </c>
      <c r="G217">
        <v>6.2</v>
      </c>
      <c r="H217">
        <v>76</v>
      </c>
      <c r="I217" t="s">
        <v>36</v>
      </c>
      <c r="J217" t="s">
        <v>24</v>
      </c>
      <c r="K217" t="s">
        <v>47</v>
      </c>
      <c r="L217">
        <v>29</v>
      </c>
      <c r="M217" t="str">
        <f t="shared" si="6"/>
        <v>Low</v>
      </c>
      <c r="N217" t="str">
        <f t="shared" si="7"/>
        <v>Good</v>
      </c>
    </row>
    <row r="218" spans="1:14">
      <c r="A218" t="s">
        <v>26</v>
      </c>
      <c r="B218">
        <v>2001</v>
      </c>
      <c r="C218" t="s">
        <v>585</v>
      </c>
      <c r="D218" t="s">
        <v>33</v>
      </c>
      <c r="E218" t="s">
        <v>586</v>
      </c>
      <c r="F218" t="s">
        <v>57</v>
      </c>
      <c r="G218">
        <v>8.24</v>
      </c>
      <c r="H218">
        <v>89</v>
      </c>
      <c r="I218" t="s">
        <v>17</v>
      </c>
      <c r="J218" t="s">
        <v>24</v>
      </c>
      <c r="K218" t="s">
        <v>587</v>
      </c>
      <c r="L218">
        <v>189</v>
      </c>
      <c r="M218" t="str">
        <f t="shared" si="6"/>
        <v>Low</v>
      </c>
      <c r="N218" t="str">
        <f t="shared" si="7"/>
        <v>Good</v>
      </c>
    </row>
    <row r="219" spans="1:14">
      <c r="A219" t="s">
        <v>12</v>
      </c>
      <c r="B219">
        <v>2004</v>
      </c>
      <c r="C219" t="s">
        <v>588</v>
      </c>
      <c r="D219" t="s">
        <v>14</v>
      </c>
      <c r="E219" t="s">
        <v>589</v>
      </c>
      <c r="F219" t="s">
        <v>46</v>
      </c>
      <c r="G219">
        <v>38.340000000000003</v>
      </c>
      <c r="H219">
        <v>99</v>
      </c>
      <c r="I219" t="s">
        <v>17</v>
      </c>
      <c r="J219" t="s">
        <v>18</v>
      </c>
      <c r="K219" t="s">
        <v>39</v>
      </c>
      <c r="L219">
        <v>218</v>
      </c>
      <c r="M219" t="str">
        <f t="shared" si="6"/>
        <v>High</v>
      </c>
      <c r="N219" t="str">
        <f t="shared" si="7"/>
        <v>Excellent</v>
      </c>
    </row>
    <row r="220" spans="1:14">
      <c r="A220" t="s">
        <v>31</v>
      </c>
      <c r="B220">
        <v>2003</v>
      </c>
      <c r="C220" t="s">
        <v>590</v>
      </c>
      <c r="D220" t="s">
        <v>33</v>
      </c>
      <c r="E220" t="s">
        <v>591</v>
      </c>
      <c r="F220" t="s">
        <v>16</v>
      </c>
      <c r="G220">
        <v>21.31</v>
      </c>
      <c r="H220">
        <v>60</v>
      </c>
      <c r="I220" t="s">
        <v>61</v>
      </c>
      <c r="J220" t="s">
        <v>24</v>
      </c>
      <c r="K220" t="s">
        <v>592</v>
      </c>
      <c r="L220">
        <v>225</v>
      </c>
      <c r="M220" t="str">
        <f t="shared" si="6"/>
        <v>Medium</v>
      </c>
      <c r="N220" t="str">
        <f t="shared" si="7"/>
        <v>Average</v>
      </c>
    </row>
    <row r="221" spans="1:14">
      <c r="A221" t="s">
        <v>38</v>
      </c>
      <c r="B221">
        <v>2002</v>
      </c>
      <c r="C221" t="s">
        <v>593</v>
      </c>
      <c r="D221" t="s">
        <v>33</v>
      </c>
      <c r="E221" t="s">
        <v>594</v>
      </c>
      <c r="F221" t="s">
        <v>35</v>
      </c>
      <c r="G221">
        <v>22.58</v>
      </c>
      <c r="H221">
        <v>89</v>
      </c>
      <c r="I221" t="s">
        <v>36</v>
      </c>
      <c r="J221" t="s">
        <v>24</v>
      </c>
      <c r="K221" t="s">
        <v>595</v>
      </c>
      <c r="L221">
        <v>163</v>
      </c>
      <c r="M221" t="str">
        <f t="shared" si="6"/>
        <v>Medium</v>
      </c>
      <c r="N221" t="str">
        <f t="shared" si="7"/>
        <v>Good</v>
      </c>
    </row>
    <row r="222" spans="1:14">
      <c r="A222" t="s">
        <v>68</v>
      </c>
      <c r="B222">
        <v>2006</v>
      </c>
      <c r="C222" t="s">
        <v>596</v>
      </c>
      <c r="D222" t="s">
        <v>14</v>
      </c>
      <c r="E222" t="s">
        <v>266</v>
      </c>
      <c r="F222" t="s">
        <v>42</v>
      </c>
      <c r="G222">
        <v>5.53</v>
      </c>
      <c r="H222">
        <v>89</v>
      </c>
      <c r="I222" t="s">
        <v>36</v>
      </c>
      <c r="J222" t="s">
        <v>24</v>
      </c>
      <c r="K222" t="s">
        <v>308</v>
      </c>
      <c r="L222">
        <v>306</v>
      </c>
      <c r="M222" t="str">
        <f t="shared" si="6"/>
        <v>Low</v>
      </c>
      <c r="N222" t="str">
        <f t="shared" si="7"/>
        <v>Good</v>
      </c>
    </row>
    <row r="223" spans="1:14">
      <c r="A223" t="s">
        <v>31</v>
      </c>
      <c r="B223">
        <v>2006</v>
      </c>
      <c r="C223" t="s">
        <v>597</v>
      </c>
      <c r="D223" t="s">
        <v>33</v>
      </c>
      <c r="E223" t="s">
        <v>598</v>
      </c>
      <c r="F223" t="s">
        <v>57</v>
      </c>
      <c r="G223">
        <v>2.19</v>
      </c>
      <c r="H223">
        <v>85</v>
      </c>
      <c r="I223" t="s">
        <v>29</v>
      </c>
      <c r="J223" t="s">
        <v>37</v>
      </c>
      <c r="K223" t="s">
        <v>292</v>
      </c>
      <c r="L223">
        <v>292</v>
      </c>
      <c r="M223" t="str">
        <f t="shared" si="6"/>
        <v>Low</v>
      </c>
      <c r="N223" t="str">
        <f t="shared" si="7"/>
        <v>Good</v>
      </c>
    </row>
    <row r="224" spans="1:14">
      <c r="A224" t="s">
        <v>31</v>
      </c>
      <c r="B224">
        <v>2000</v>
      </c>
      <c r="C224" t="s">
        <v>599</v>
      </c>
      <c r="D224" t="s">
        <v>33</v>
      </c>
      <c r="E224" t="s">
        <v>600</v>
      </c>
      <c r="F224" t="s">
        <v>42</v>
      </c>
      <c r="G224">
        <v>15.51</v>
      </c>
      <c r="H224">
        <v>56</v>
      </c>
      <c r="I224" t="s">
        <v>29</v>
      </c>
      <c r="J224" t="s">
        <v>37</v>
      </c>
      <c r="K224" t="s">
        <v>601</v>
      </c>
      <c r="L224">
        <v>332</v>
      </c>
      <c r="M224" t="str">
        <f t="shared" si="6"/>
        <v>Medium</v>
      </c>
      <c r="N224" t="str">
        <f t="shared" si="7"/>
        <v>Average</v>
      </c>
    </row>
    <row r="225" spans="1:14">
      <c r="A225" t="s">
        <v>31</v>
      </c>
      <c r="B225">
        <v>2000</v>
      </c>
      <c r="C225" t="s">
        <v>602</v>
      </c>
      <c r="D225" t="s">
        <v>14</v>
      </c>
      <c r="E225" t="s">
        <v>603</v>
      </c>
      <c r="F225" t="s">
        <v>42</v>
      </c>
      <c r="G225">
        <v>30.58</v>
      </c>
      <c r="H225">
        <v>83</v>
      </c>
      <c r="I225" t="s">
        <v>17</v>
      </c>
      <c r="J225" t="s">
        <v>18</v>
      </c>
      <c r="K225" t="s">
        <v>604</v>
      </c>
      <c r="L225">
        <v>76</v>
      </c>
      <c r="M225" t="str">
        <f t="shared" si="6"/>
        <v>Medium</v>
      </c>
      <c r="N225" t="str">
        <f t="shared" si="7"/>
        <v>Good</v>
      </c>
    </row>
    <row r="226" spans="1:14">
      <c r="A226" t="s">
        <v>39</v>
      </c>
      <c r="B226">
        <v>2009</v>
      </c>
      <c r="C226" t="s">
        <v>605</v>
      </c>
      <c r="D226" t="s">
        <v>33</v>
      </c>
      <c r="E226" t="s">
        <v>606</v>
      </c>
      <c r="F226" t="s">
        <v>46</v>
      </c>
      <c r="G226">
        <v>16.47</v>
      </c>
      <c r="H226">
        <v>56</v>
      </c>
      <c r="I226" t="s">
        <v>17</v>
      </c>
      <c r="J226" t="s">
        <v>24</v>
      </c>
      <c r="K226" t="s">
        <v>607</v>
      </c>
      <c r="L226">
        <v>104</v>
      </c>
      <c r="M226" t="str">
        <f t="shared" si="6"/>
        <v>Medium</v>
      </c>
      <c r="N226" t="str">
        <f t="shared" si="7"/>
        <v>Average</v>
      </c>
    </row>
    <row r="227" spans="1:14">
      <c r="A227" t="s">
        <v>68</v>
      </c>
      <c r="B227">
        <v>2005</v>
      </c>
      <c r="C227" t="s">
        <v>608</v>
      </c>
      <c r="D227" t="s">
        <v>14</v>
      </c>
      <c r="E227" t="s">
        <v>609</v>
      </c>
      <c r="F227" t="s">
        <v>57</v>
      </c>
      <c r="G227">
        <v>7.17</v>
      </c>
      <c r="H227">
        <v>84</v>
      </c>
      <c r="I227" t="s">
        <v>17</v>
      </c>
      <c r="J227" t="s">
        <v>37</v>
      </c>
      <c r="K227" t="s">
        <v>610</v>
      </c>
      <c r="L227">
        <v>68</v>
      </c>
      <c r="M227" t="str">
        <f t="shared" si="6"/>
        <v>Low</v>
      </c>
      <c r="N227" t="str">
        <f t="shared" si="7"/>
        <v>Good</v>
      </c>
    </row>
    <row r="228" spans="1:14">
      <c r="A228" t="s">
        <v>48</v>
      </c>
      <c r="B228">
        <v>2013</v>
      </c>
      <c r="C228" t="s">
        <v>611</v>
      </c>
      <c r="D228" t="s">
        <v>33</v>
      </c>
      <c r="E228" t="s">
        <v>612</v>
      </c>
      <c r="F228" t="s">
        <v>42</v>
      </c>
      <c r="G228">
        <v>13.72</v>
      </c>
      <c r="H228">
        <v>89</v>
      </c>
      <c r="I228" t="s">
        <v>29</v>
      </c>
      <c r="J228" t="s">
        <v>37</v>
      </c>
      <c r="K228" t="s">
        <v>81</v>
      </c>
      <c r="L228">
        <v>15</v>
      </c>
      <c r="M228" t="str">
        <f t="shared" si="6"/>
        <v>Low</v>
      </c>
      <c r="N228" t="str">
        <f t="shared" si="7"/>
        <v>Good</v>
      </c>
    </row>
    <row r="229" spans="1:14">
      <c r="A229" t="s">
        <v>20</v>
      </c>
      <c r="B229">
        <v>2025</v>
      </c>
      <c r="C229" t="s">
        <v>613</v>
      </c>
      <c r="D229" t="s">
        <v>14</v>
      </c>
      <c r="E229" t="s">
        <v>614</v>
      </c>
      <c r="F229" t="s">
        <v>16</v>
      </c>
      <c r="G229">
        <v>9.92</v>
      </c>
      <c r="H229">
        <v>55</v>
      </c>
      <c r="I229" t="s">
        <v>23</v>
      </c>
      <c r="J229" t="s">
        <v>18</v>
      </c>
      <c r="K229" t="s">
        <v>615</v>
      </c>
      <c r="L229">
        <v>28</v>
      </c>
      <c r="M229" t="str">
        <f t="shared" si="6"/>
        <v>Low</v>
      </c>
      <c r="N229" t="str">
        <f t="shared" si="7"/>
        <v>Average</v>
      </c>
    </row>
    <row r="230" spans="1:14">
      <c r="A230" t="s">
        <v>39</v>
      </c>
      <c r="B230">
        <v>2025</v>
      </c>
      <c r="C230" t="s">
        <v>616</v>
      </c>
      <c r="D230" t="s">
        <v>14</v>
      </c>
      <c r="E230" t="s">
        <v>617</v>
      </c>
      <c r="F230" t="s">
        <v>42</v>
      </c>
      <c r="G230">
        <v>28.78</v>
      </c>
      <c r="H230">
        <v>55</v>
      </c>
      <c r="I230" t="s">
        <v>29</v>
      </c>
      <c r="J230" t="s">
        <v>37</v>
      </c>
      <c r="K230" t="s">
        <v>65</v>
      </c>
      <c r="L230">
        <v>330</v>
      </c>
      <c r="M230" t="str">
        <f t="shared" si="6"/>
        <v>Medium</v>
      </c>
      <c r="N230" t="str">
        <f t="shared" si="7"/>
        <v>Average</v>
      </c>
    </row>
    <row r="231" spans="1:14">
      <c r="A231" t="s">
        <v>31</v>
      </c>
      <c r="B231">
        <v>2017</v>
      </c>
      <c r="C231" t="s">
        <v>618</v>
      </c>
      <c r="D231" t="s">
        <v>33</v>
      </c>
      <c r="E231" t="s">
        <v>619</v>
      </c>
      <c r="F231" t="s">
        <v>42</v>
      </c>
      <c r="G231">
        <v>45.04</v>
      </c>
      <c r="H231">
        <v>54</v>
      </c>
      <c r="I231" t="s">
        <v>29</v>
      </c>
      <c r="J231" t="s">
        <v>24</v>
      </c>
      <c r="K231" t="s">
        <v>154</v>
      </c>
      <c r="L231">
        <v>144</v>
      </c>
      <c r="M231" t="str">
        <f t="shared" si="6"/>
        <v>High</v>
      </c>
      <c r="N231" t="str">
        <f t="shared" si="7"/>
        <v>Average</v>
      </c>
    </row>
    <row r="232" spans="1:14">
      <c r="A232" t="s">
        <v>12</v>
      </c>
      <c r="B232">
        <v>2003</v>
      </c>
      <c r="C232" t="s">
        <v>620</v>
      </c>
      <c r="D232" t="s">
        <v>33</v>
      </c>
      <c r="E232" t="s">
        <v>621</v>
      </c>
      <c r="F232" t="s">
        <v>35</v>
      </c>
      <c r="G232">
        <v>11.91</v>
      </c>
      <c r="H232">
        <v>62</v>
      </c>
      <c r="I232" t="s">
        <v>23</v>
      </c>
      <c r="J232" t="s">
        <v>24</v>
      </c>
      <c r="K232" t="s">
        <v>26</v>
      </c>
      <c r="L232">
        <v>246</v>
      </c>
      <c r="M232" t="str">
        <f t="shared" si="6"/>
        <v>Low</v>
      </c>
      <c r="N232" t="str">
        <f t="shared" si="7"/>
        <v>Average</v>
      </c>
    </row>
    <row r="233" spans="1:14">
      <c r="A233" t="s">
        <v>39</v>
      </c>
      <c r="B233">
        <v>2004</v>
      </c>
      <c r="C233" t="s">
        <v>622</v>
      </c>
      <c r="D233" t="s">
        <v>33</v>
      </c>
      <c r="E233" t="s">
        <v>623</v>
      </c>
      <c r="F233" t="s">
        <v>46</v>
      </c>
      <c r="G233">
        <v>44.52</v>
      </c>
      <c r="H233">
        <v>83</v>
      </c>
      <c r="I233" t="s">
        <v>36</v>
      </c>
      <c r="J233" t="s">
        <v>24</v>
      </c>
      <c r="K233" t="s">
        <v>624</v>
      </c>
      <c r="L233">
        <v>214</v>
      </c>
      <c r="M233" t="str">
        <f t="shared" si="6"/>
        <v>High</v>
      </c>
      <c r="N233" t="str">
        <f t="shared" si="7"/>
        <v>Good</v>
      </c>
    </row>
    <row r="234" spans="1:14">
      <c r="A234" t="s">
        <v>65</v>
      </c>
      <c r="B234">
        <v>2018</v>
      </c>
      <c r="C234" t="s">
        <v>625</v>
      </c>
      <c r="D234" t="s">
        <v>14</v>
      </c>
      <c r="E234" t="s">
        <v>626</v>
      </c>
      <c r="F234" t="s">
        <v>16</v>
      </c>
      <c r="G234">
        <v>36.28</v>
      </c>
      <c r="H234">
        <v>51</v>
      </c>
      <c r="I234" t="s">
        <v>61</v>
      </c>
      <c r="J234" t="s">
        <v>37</v>
      </c>
      <c r="K234" t="s">
        <v>627</v>
      </c>
      <c r="L234">
        <v>237</v>
      </c>
      <c r="M234" t="str">
        <f t="shared" si="6"/>
        <v>High</v>
      </c>
      <c r="N234" t="str">
        <f t="shared" si="7"/>
        <v>Average</v>
      </c>
    </row>
    <row r="235" spans="1:14">
      <c r="A235" t="s">
        <v>20</v>
      </c>
      <c r="B235">
        <v>2012</v>
      </c>
      <c r="C235" t="s">
        <v>628</v>
      </c>
      <c r="D235" t="s">
        <v>33</v>
      </c>
      <c r="E235" t="s">
        <v>629</v>
      </c>
      <c r="F235" t="s">
        <v>42</v>
      </c>
      <c r="G235">
        <v>9.48</v>
      </c>
      <c r="H235">
        <v>93</v>
      </c>
      <c r="I235" t="s">
        <v>17</v>
      </c>
      <c r="J235" t="s">
        <v>24</v>
      </c>
      <c r="K235" t="s">
        <v>68</v>
      </c>
      <c r="L235">
        <v>305</v>
      </c>
      <c r="M235" t="str">
        <f t="shared" si="6"/>
        <v>Low</v>
      </c>
      <c r="N235" t="str">
        <f t="shared" si="7"/>
        <v>Excellent</v>
      </c>
    </row>
    <row r="236" spans="1:14">
      <c r="A236" t="s">
        <v>26</v>
      </c>
      <c r="B236">
        <v>2004</v>
      </c>
      <c r="C236" t="s">
        <v>630</v>
      </c>
      <c r="D236" t="s">
        <v>14</v>
      </c>
      <c r="E236" t="s">
        <v>631</v>
      </c>
      <c r="F236" t="s">
        <v>42</v>
      </c>
      <c r="G236">
        <v>20.440000000000001</v>
      </c>
      <c r="H236">
        <v>54</v>
      </c>
      <c r="I236" t="s">
        <v>36</v>
      </c>
      <c r="J236" t="s">
        <v>37</v>
      </c>
      <c r="K236" t="s">
        <v>31</v>
      </c>
      <c r="L236">
        <v>167</v>
      </c>
      <c r="M236" t="str">
        <f t="shared" si="6"/>
        <v>Medium</v>
      </c>
      <c r="N236" t="str">
        <f t="shared" si="7"/>
        <v>Average</v>
      </c>
    </row>
    <row r="237" spans="1:14">
      <c r="A237" t="s">
        <v>20</v>
      </c>
      <c r="B237">
        <v>2016</v>
      </c>
      <c r="C237" t="s">
        <v>632</v>
      </c>
      <c r="D237" t="s">
        <v>14</v>
      </c>
      <c r="E237" t="s">
        <v>633</v>
      </c>
      <c r="F237" t="s">
        <v>46</v>
      </c>
      <c r="G237">
        <v>32.58</v>
      </c>
      <c r="H237">
        <v>97</v>
      </c>
      <c r="I237" t="s">
        <v>23</v>
      </c>
      <c r="J237" t="s">
        <v>37</v>
      </c>
      <c r="K237" t="s">
        <v>78</v>
      </c>
      <c r="L237">
        <v>248</v>
      </c>
      <c r="M237" t="str">
        <f t="shared" si="6"/>
        <v>Medium</v>
      </c>
      <c r="N237" t="str">
        <f t="shared" si="7"/>
        <v>Excellent</v>
      </c>
    </row>
    <row r="238" spans="1:14">
      <c r="A238" t="s">
        <v>47</v>
      </c>
      <c r="B238">
        <v>2023</v>
      </c>
      <c r="C238" t="s">
        <v>634</v>
      </c>
      <c r="D238" t="s">
        <v>33</v>
      </c>
      <c r="E238" t="s">
        <v>635</v>
      </c>
      <c r="F238" t="s">
        <v>57</v>
      </c>
      <c r="G238">
        <v>26.23</v>
      </c>
      <c r="H238">
        <v>69</v>
      </c>
      <c r="I238" t="s">
        <v>23</v>
      </c>
      <c r="J238" t="s">
        <v>24</v>
      </c>
      <c r="K238" t="s">
        <v>636</v>
      </c>
      <c r="L238">
        <v>327</v>
      </c>
      <c r="M238" t="str">
        <f t="shared" si="6"/>
        <v>Medium</v>
      </c>
      <c r="N238" t="str">
        <f t="shared" si="7"/>
        <v>Average</v>
      </c>
    </row>
    <row r="239" spans="1:14">
      <c r="A239" t="s">
        <v>26</v>
      </c>
      <c r="B239">
        <v>2021</v>
      </c>
      <c r="C239" t="s">
        <v>637</v>
      </c>
      <c r="D239" t="s">
        <v>14</v>
      </c>
      <c r="E239" t="s">
        <v>638</v>
      </c>
      <c r="F239" t="s">
        <v>35</v>
      </c>
      <c r="G239">
        <v>42.24</v>
      </c>
      <c r="H239">
        <v>57</v>
      </c>
      <c r="I239" t="s">
        <v>29</v>
      </c>
      <c r="J239" t="s">
        <v>24</v>
      </c>
      <c r="K239" t="s">
        <v>47</v>
      </c>
      <c r="L239">
        <v>154</v>
      </c>
      <c r="M239" t="str">
        <f t="shared" si="6"/>
        <v>High</v>
      </c>
      <c r="N239" t="str">
        <f t="shared" si="7"/>
        <v>Average</v>
      </c>
    </row>
    <row r="240" spans="1:14">
      <c r="A240" t="s">
        <v>47</v>
      </c>
      <c r="B240">
        <v>2023</v>
      </c>
      <c r="C240" t="s">
        <v>639</v>
      </c>
      <c r="D240" t="s">
        <v>33</v>
      </c>
      <c r="E240" t="s">
        <v>640</v>
      </c>
      <c r="F240" t="s">
        <v>16</v>
      </c>
      <c r="G240">
        <v>14.39</v>
      </c>
      <c r="H240">
        <v>97</v>
      </c>
      <c r="I240" t="s">
        <v>36</v>
      </c>
      <c r="J240" t="s">
        <v>24</v>
      </c>
      <c r="K240" t="s">
        <v>84</v>
      </c>
      <c r="L240">
        <v>51</v>
      </c>
      <c r="M240" t="str">
        <f t="shared" si="6"/>
        <v>Low</v>
      </c>
      <c r="N240" t="str">
        <f t="shared" si="7"/>
        <v>Excellent</v>
      </c>
    </row>
    <row r="241" spans="1:14">
      <c r="A241" t="s">
        <v>38</v>
      </c>
      <c r="B241">
        <v>2004</v>
      </c>
      <c r="C241" t="s">
        <v>641</v>
      </c>
      <c r="D241" t="s">
        <v>33</v>
      </c>
      <c r="E241" t="s">
        <v>642</v>
      </c>
      <c r="F241" t="s">
        <v>35</v>
      </c>
      <c r="G241">
        <v>44.1</v>
      </c>
      <c r="H241">
        <v>68</v>
      </c>
      <c r="I241" t="s">
        <v>17</v>
      </c>
      <c r="J241" t="s">
        <v>37</v>
      </c>
      <c r="K241" t="s">
        <v>259</v>
      </c>
      <c r="L241">
        <v>307</v>
      </c>
      <c r="M241" t="str">
        <f t="shared" si="6"/>
        <v>High</v>
      </c>
      <c r="N241" t="str">
        <f t="shared" si="7"/>
        <v>Average</v>
      </c>
    </row>
    <row r="242" spans="1:14">
      <c r="A242" t="s">
        <v>31</v>
      </c>
      <c r="B242">
        <v>2013</v>
      </c>
      <c r="C242" t="s">
        <v>643</v>
      </c>
      <c r="D242" t="s">
        <v>14</v>
      </c>
      <c r="E242" t="s">
        <v>644</v>
      </c>
      <c r="F242" t="s">
        <v>16</v>
      </c>
      <c r="G242">
        <v>47.12</v>
      </c>
      <c r="H242">
        <v>95</v>
      </c>
      <c r="I242" t="s">
        <v>36</v>
      </c>
      <c r="J242" t="s">
        <v>24</v>
      </c>
      <c r="K242" t="s">
        <v>465</v>
      </c>
      <c r="L242">
        <v>251</v>
      </c>
      <c r="M242" t="str">
        <f t="shared" si="6"/>
        <v>High</v>
      </c>
      <c r="N242" t="str">
        <f t="shared" si="7"/>
        <v>Excellent</v>
      </c>
    </row>
    <row r="243" spans="1:14">
      <c r="A243" t="s">
        <v>12</v>
      </c>
      <c r="B243">
        <v>2009</v>
      </c>
      <c r="C243" t="s">
        <v>645</v>
      </c>
      <c r="D243" t="s">
        <v>14</v>
      </c>
      <c r="E243" t="s">
        <v>646</v>
      </c>
      <c r="F243" t="s">
        <v>46</v>
      </c>
      <c r="G243">
        <v>43.25</v>
      </c>
      <c r="H243">
        <v>52</v>
      </c>
      <c r="I243" t="s">
        <v>36</v>
      </c>
      <c r="J243" t="s">
        <v>37</v>
      </c>
      <c r="K243" t="s">
        <v>68</v>
      </c>
      <c r="L243">
        <v>57</v>
      </c>
      <c r="M243" t="str">
        <f t="shared" si="6"/>
        <v>High</v>
      </c>
      <c r="N243" t="str">
        <f t="shared" si="7"/>
        <v>Average</v>
      </c>
    </row>
    <row r="244" spans="1:14">
      <c r="A244" t="s">
        <v>48</v>
      </c>
      <c r="B244">
        <v>2009</v>
      </c>
      <c r="C244" t="s">
        <v>647</v>
      </c>
      <c r="D244" t="s">
        <v>14</v>
      </c>
      <c r="E244" t="s">
        <v>648</v>
      </c>
      <c r="F244" t="s">
        <v>46</v>
      </c>
      <c r="G244">
        <v>17.12</v>
      </c>
      <c r="H244">
        <v>55</v>
      </c>
      <c r="I244" t="s">
        <v>29</v>
      </c>
      <c r="J244" t="s">
        <v>18</v>
      </c>
      <c r="K244" t="s">
        <v>68</v>
      </c>
      <c r="L244">
        <v>63</v>
      </c>
      <c r="M244" t="str">
        <f t="shared" si="6"/>
        <v>Medium</v>
      </c>
      <c r="N244" t="str">
        <f t="shared" si="7"/>
        <v>Average</v>
      </c>
    </row>
    <row r="245" spans="1:14">
      <c r="A245" t="s">
        <v>48</v>
      </c>
      <c r="B245">
        <v>2013</v>
      </c>
      <c r="C245" t="s">
        <v>649</v>
      </c>
      <c r="D245" t="s">
        <v>33</v>
      </c>
      <c r="E245" t="s">
        <v>650</v>
      </c>
      <c r="F245" t="s">
        <v>57</v>
      </c>
      <c r="G245">
        <v>43.65</v>
      </c>
      <c r="H245">
        <v>59</v>
      </c>
      <c r="I245" t="s">
        <v>29</v>
      </c>
      <c r="J245" t="s">
        <v>37</v>
      </c>
      <c r="K245" t="s">
        <v>651</v>
      </c>
      <c r="L245">
        <v>365</v>
      </c>
      <c r="M245" t="str">
        <f t="shared" si="6"/>
        <v>High</v>
      </c>
      <c r="N245" t="str">
        <f t="shared" si="7"/>
        <v>Average</v>
      </c>
    </row>
    <row r="246" spans="1:14">
      <c r="A246" t="s">
        <v>12</v>
      </c>
      <c r="B246">
        <v>2000</v>
      </c>
      <c r="C246" t="s">
        <v>652</v>
      </c>
      <c r="D246" t="s">
        <v>33</v>
      </c>
      <c r="E246" t="s">
        <v>653</v>
      </c>
      <c r="F246" t="s">
        <v>35</v>
      </c>
      <c r="G246">
        <v>45.66</v>
      </c>
      <c r="H246">
        <v>62</v>
      </c>
      <c r="I246" t="s">
        <v>61</v>
      </c>
      <c r="J246" t="s">
        <v>18</v>
      </c>
      <c r="K246" t="s">
        <v>317</v>
      </c>
      <c r="L246">
        <v>252</v>
      </c>
      <c r="M246" t="str">
        <f t="shared" si="6"/>
        <v>High</v>
      </c>
      <c r="N246" t="str">
        <f t="shared" si="7"/>
        <v>Average</v>
      </c>
    </row>
    <row r="247" spans="1:14">
      <c r="A247" t="s">
        <v>26</v>
      </c>
      <c r="B247">
        <v>2005</v>
      </c>
      <c r="C247" t="s">
        <v>654</v>
      </c>
      <c r="D247" t="s">
        <v>14</v>
      </c>
      <c r="E247" t="s">
        <v>655</v>
      </c>
      <c r="F247" t="s">
        <v>35</v>
      </c>
      <c r="G247">
        <v>48.27</v>
      </c>
      <c r="H247">
        <v>52</v>
      </c>
      <c r="I247" t="s">
        <v>17</v>
      </c>
      <c r="J247" t="s">
        <v>24</v>
      </c>
      <c r="K247" t="s">
        <v>656</v>
      </c>
      <c r="L247">
        <v>169</v>
      </c>
      <c r="M247" t="str">
        <f t="shared" si="6"/>
        <v>High</v>
      </c>
      <c r="N247" t="str">
        <f t="shared" si="7"/>
        <v>Average</v>
      </c>
    </row>
    <row r="248" spans="1:14">
      <c r="A248" t="s">
        <v>26</v>
      </c>
      <c r="B248">
        <v>2025</v>
      </c>
      <c r="C248" t="s">
        <v>657</v>
      </c>
      <c r="D248" t="s">
        <v>33</v>
      </c>
      <c r="E248" t="s">
        <v>658</v>
      </c>
      <c r="F248" t="s">
        <v>57</v>
      </c>
      <c r="G248">
        <v>12.36</v>
      </c>
      <c r="H248">
        <v>83</v>
      </c>
      <c r="I248" t="s">
        <v>61</v>
      </c>
      <c r="J248" t="s">
        <v>18</v>
      </c>
      <c r="K248" t="s">
        <v>659</v>
      </c>
      <c r="L248">
        <v>169</v>
      </c>
      <c r="M248" t="str">
        <f t="shared" si="6"/>
        <v>Low</v>
      </c>
      <c r="N248" t="str">
        <f t="shared" si="7"/>
        <v>Good</v>
      </c>
    </row>
    <row r="249" spans="1:14">
      <c r="A249" t="s">
        <v>65</v>
      </c>
      <c r="B249">
        <v>2021</v>
      </c>
      <c r="C249" t="s">
        <v>660</v>
      </c>
      <c r="D249" t="s">
        <v>14</v>
      </c>
      <c r="E249" t="s">
        <v>661</v>
      </c>
      <c r="F249" t="s">
        <v>57</v>
      </c>
      <c r="G249">
        <v>10.88</v>
      </c>
      <c r="H249">
        <v>71</v>
      </c>
      <c r="I249" t="s">
        <v>23</v>
      </c>
      <c r="J249" t="s">
        <v>37</v>
      </c>
      <c r="K249" t="s">
        <v>508</v>
      </c>
      <c r="L249">
        <v>153</v>
      </c>
      <c r="M249" t="str">
        <f t="shared" si="6"/>
        <v>Low</v>
      </c>
      <c r="N249" t="str">
        <f t="shared" si="7"/>
        <v>Average</v>
      </c>
    </row>
    <row r="250" spans="1:14">
      <c r="A250" t="s">
        <v>48</v>
      </c>
      <c r="B250">
        <v>2021</v>
      </c>
      <c r="C250" t="s">
        <v>662</v>
      </c>
      <c r="D250" t="s">
        <v>14</v>
      </c>
      <c r="E250" t="s">
        <v>663</v>
      </c>
      <c r="F250" t="s">
        <v>57</v>
      </c>
      <c r="G250">
        <v>6.92</v>
      </c>
      <c r="H250">
        <v>58</v>
      </c>
      <c r="I250" t="s">
        <v>36</v>
      </c>
      <c r="J250" t="s">
        <v>18</v>
      </c>
      <c r="K250" t="s">
        <v>664</v>
      </c>
      <c r="L250">
        <v>93</v>
      </c>
      <c r="M250" t="str">
        <f t="shared" si="6"/>
        <v>Low</v>
      </c>
      <c r="N250" t="str">
        <f t="shared" si="7"/>
        <v>Average</v>
      </c>
    </row>
    <row r="251" spans="1:14">
      <c r="A251" t="s">
        <v>26</v>
      </c>
      <c r="B251">
        <v>2007</v>
      </c>
      <c r="C251" t="s">
        <v>665</v>
      </c>
      <c r="D251" t="s">
        <v>33</v>
      </c>
      <c r="E251" t="s">
        <v>666</v>
      </c>
      <c r="F251" t="s">
        <v>42</v>
      </c>
      <c r="G251">
        <v>40.83</v>
      </c>
      <c r="H251">
        <v>81</v>
      </c>
      <c r="I251" t="s">
        <v>23</v>
      </c>
      <c r="J251" t="s">
        <v>24</v>
      </c>
      <c r="K251" t="s">
        <v>667</v>
      </c>
      <c r="L251">
        <v>237</v>
      </c>
      <c r="M251" t="str">
        <f t="shared" si="6"/>
        <v>High</v>
      </c>
      <c r="N251" t="str">
        <f t="shared" si="7"/>
        <v>Good</v>
      </c>
    </row>
    <row r="252" spans="1:14">
      <c r="A252" t="s">
        <v>20</v>
      </c>
      <c r="B252">
        <v>2024</v>
      </c>
      <c r="C252" t="s">
        <v>668</v>
      </c>
      <c r="D252" t="s">
        <v>14</v>
      </c>
      <c r="E252" t="s">
        <v>669</v>
      </c>
      <c r="F252" t="s">
        <v>35</v>
      </c>
      <c r="G252">
        <v>25.15</v>
      </c>
      <c r="H252">
        <v>52</v>
      </c>
      <c r="I252" t="s">
        <v>17</v>
      </c>
      <c r="J252" t="s">
        <v>37</v>
      </c>
      <c r="K252" t="s">
        <v>39</v>
      </c>
      <c r="L252">
        <v>216</v>
      </c>
      <c r="M252" t="str">
        <f t="shared" si="6"/>
        <v>Medium</v>
      </c>
      <c r="N252" t="str">
        <f t="shared" si="7"/>
        <v>Average</v>
      </c>
    </row>
    <row r="253" spans="1:14">
      <c r="A253" t="s">
        <v>48</v>
      </c>
      <c r="B253">
        <v>2005</v>
      </c>
      <c r="C253" t="s">
        <v>670</v>
      </c>
      <c r="D253" t="s">
        <v>14</v>
      </c>
      <c r="E253" t="s">
        <v>671</v>
      </c>
      <c r="F253" t="s">
        <v>42</v>
      </c>
      <c r="G253">
        <v>11.98</v>
      </c>
      <c r="H253">
        <v>100</v>
      </c>
      <c r="I253" t="s">
        <v>36</v>
      </c>
      <c r="J253" t="s">
        <v>24</v>
      </c>
      <c r="K253" t="s">
        <v>65</v>
      </c>
      <c r="L253">
        <v>62</v>
      </c>
      <c r="M253" t="str">
        <f t="shared" si="6"/>
        <v>Low</v>
      </c>
      <c r="N253" t="str">
        <f t="shared" si="7"/>
        <v>Excellent</v>
      </c>
    </row>
    <row r="254" spans="1:14">
      <c r="A254" t="s">
        <v>68</v>
      </c>
      <c r="B254">
        <v>2001</v>
      </c>
      <c r="C254" t="s">
        <v>672</v>
      </c>
      <c r="D254" t="s">
        <v>33</v>
      </c>
      <c r="E254" t="s">
        <v>673</v>
      </c>
      <c r="F254" t="s">
        <v>57</v>
      </c>
      <c r="G254">
        <v>36.75</v>
      </c>
      <c r="H254">
        <v>59</v>
      </c>
      <c r="I254" t="s">
        <v>17</v>
      </c>
      <c r="J254" t="s">
        <v>24</v>
      </c>
      <c r="K254" t="s">
        <v>31</v>
      </c>
      <c r="L254">
        <v>40</v>
      </c>
      <c r="M254" t="str">
        <f t="shared" si="6"/>
        <v>High</v>
      </c>
      <c r="N254" t="str">
        <f t="shared" si="7"/>
        <v>Average</v>
      </c>
    </row>
    <row r="255" spans="1:14">
      <c r="A255" t="s">
        <v>20</v>
      </c>
      <c r="B255">
        <v>2015</v>
      </c>
      <c r="C255" t="s">
        <v>674</v>
      </c>
      <c r="D255" t="s">
        <v>33</v>
      </c>
      <c r="E255" t="s">
        <v>675</v>
      </c>
      <c r="F255" t="s">
        <v>35</v>
      </c>
      <c r="G255">
        <v>30.25</v>
      </c>
      <c r="H255">
        <v>87</v>
      </c>
      <c r="I255" t="s">
        <v>61</v>
      </c>
      <c r="J255" t="s">
        <v>18</v>
      </c>
      <c r="K255" t="s">
        <v>343</v>
      </c>
      <c r="L255">
        <v>107</v>
      </c>
      <c r="M255" t="str">
        <f t="shared" si="6"/>
        <v>Medium</v>
      </c>
      <c r="N255" t="str">
        <f t="shared" si="7"/>
        <v>Good</v>
      </c>
    </row>
    <row r="256" spans="1:14">
      <c r="A256" t="s">
        <v>68</v>
      </c>
      <c r="B256">
        <v>2020</v>
      </c>
      <c r="C256" t="s">
        <v>676</v>
      </c>
      <c r="D256" t="s">
        <v>33</v>
      </c>
      <c r="E256" t="s">
        <v>677</v>
      </c>
      <c r="F256" t="s">
        <v>46</v>
      </c>
      <c r="G256">
        <v>10.76</v>
      </c>
      <c r="H256">
        <v>91</v>
      </c>
      <c r="I256" t="s">
        <v>36</v>
      </c>
      <c r="J256" t="s">
        <v>24</v>
      </c>
      <c r="K256" t="s">
        <v>678</v>
      </c>
      <c r="L256">
        <v>343</v>
      </c>
      <c r="M256" t="str">
        <f t="shared" si="6"/>
        <v>Low</v>
      </c>
      <c r="N256" t="str">
        <f t="shared" si="7"/>
        <v>Excellent</v>
      </c>
    </row>
    <row r="257" spans="1:14">
      <c r="A257" t="s">
        <v>48</v>
      </c>
      <c r="B257">
        <v>2022</v>
      </c>
      <c r="C257" t="s">
        <v>679</v>
      </c>
      <c r="D257" t="s">
        <v>33</v>
      </c>
      <c r="E257" t="s">
        <v>680</v>
      </c>
      <c r="F257" t="s">
        <v>16</v>
      </c>
      <c r="G257">
        <v>25.22</v>
      </c>
      <c r="H257">
        <v>64</v>
      </c>
      <c r="I257" t="s">
        <v>61</v>
      </c>
      <c r="J257" t="s">
        <v>37</v>
      </c>
      <c r="K257" t="s">
        <v>39</v>
      </c>
      <c r="L257">
        <v>144</v>
      </c>
      <c r="M257" t="str">
        <f t="shared" si="6"/>
        <v>Medium</v>
      </c>
      <c r="N257" t="str">
        <f t="shared" si="7"/>
        <v>Average</v>
      </c>
    </row>
    <row r="258" spans="1:14">
      <c r="A258" t="s">
        <v>26</v>
      </c>
      <c r="B258">
        <v>2009</v>
      </c>
      <c r="C258" t="s">
        <v>681</v>
      </c>
      <c r="D258" t="s">
        <v>14</v>
      </c>
      <c r="E258" t="s">
        <v>682</v>
      </c>
      <c r="F258" t="s">
        <v>35</v>
      </c>
      <c r="G258">
        <v>27.3</v>
      </c>
      <c r="H258">
        <v>56</v>
      </c>
      <c r="I258" t="s">
        <v>36</v>
      </c>
      <c r="J258" t="s">
        <v>18</v>
      </c>
      <c r="K258" t="s">
        <v>38</v>
      </c>
      <c r="L258">
        <v>321</v>
      </c>
      <c r="M258" t="str">
        <f t="shared" si="6"/>
        <v>Medium</v>
      </c>
      <c r="N258" t="str">
        <f t="shared" si="7"/>
        <v>Average</v>
      </c>
    </row>
    <row r="259" spans="1:14">
      <c r="A259" t="s">
        <v>68</v>
      </c>
      <c r="B259">
        <v>2024</v>
      </c>
      <c r="C259" t="s">
        <v>683</v>
      </c>
      <c r="D259" t="s">
        <v>14</v>
      </c>
      <c r="E259" t="s">
        <v>684</v>
      </c>
      <c r="F259" t="s">
        <v>42</v>
      </c>
      <c r="G259">
        <v>46.96</v>
      </c>
      <c r="H259">
        <v>54</v>
      </c>
      <c r="I259" t="s">
        <v>29</v>
      </c>
      <c r="J259" t="s">
        <v>37</v>
      </c>
      <c r="K259" t="s">
        <v>65</v>
      </c>
      <c r="L259">
        <v>235</v>
      </c>
      <c r="M259" t="str">
        <f t="shared" ref="M259:M322" si="8">IF(G259&lt;15,"Low",IF(G259&lt;35,"Medium","High"))</f>
        <v>High</v>
      </c>
      <c r="N259" t="str">
        <f t="shared" ref="N259:N322" si="9">IF(H259&gt;=90,"Excellent",IF(H259&gt;=75,"Good","Average"))</f>
        <v>Average</v>
      </c>
    </row>
    <row r="260" spans="1:14">
      <c r="A260" t="s">
        <v>38</v>
      </c>
      <c r="B260">
        <v>2004</v>
      </c>
      <c r="C260" t="s">
        <v>685</v>
      </c>
      <c r="D260" t="s">
        <v>33</v>
      </c>
      <c r="E260" t="s">
        <v>686</v>
      </c>
      <c r="F260" t="s">
        <v>16</v>
      </c>
      <c r="G260">
        <v>31.82</v>
      </c>
      <c r="H260">
        <v>83</v>
      </c>
      <c r="I260" t="s">
        <v>61</v>
      </c>
      <c r="J260" t="s">
        <v>18</v>
      </c>
      <c r="K260" t="s">
        <v>687</v>
      </c>
      <c r="L260">
        <v>78</v>
      </c>
      <c r="M260" t="str">
        <f t="shared" si="8"/>
        <v>Medium</v>
      </c>
      <c r="N260" t="str">
        <f t="shared" si="9"/>
        <v>Good</v>
      </c>
    </row>
    <row r="261" spans="1:14">
      <c r="A261" t="s">
        <v>39</v>
      </c>
      <c r="B261">
        <v>2024</v>
      </c>
      <c r="C261" t="s">
        <v>688</v>
      </c>
      <c r="D261" t="s">
        <v>33</v>
      </c>
      <c r="E261" t="s">
        <v>689</v>
      </c>
      <c r="F261" t="s">
        <v>35</v>
      </c>
      <c r="G261">
        <v>6.81</v>
      </c>
      <c r="H261">
        <v>74</v>
      </c>
      <c r="I261" t="s">
        <v>23</v>
      </c>
      <c r="J261" t="s">
        <v>18</v>
      </c>
      <c r="K261" t="s">
        <v>690</v>
      </c>
      <c r="L261">
        <v>177</v>
      </c>
      <c r="M261" t="str">
        <f t="shared" si="8"/>
        <v>Low</v>
      </c>
      <c r="N261" t="str">
        <f t="shared" si="9"/>
        <v>Average</v>
      </c>
    </row>
    <row r="262" spans="1:14">
      <c r="A262" t="s">
        <v>31</v>
      </c>
      <c r="B262">
        <v>2015</v>
      </c>
      <c r="C262" t="s">
        <v>691</v>
      </c>
      <c r="D262" t="s">
        <v>33</v>
      </c>
      <c r="E262" t="s">
        <v>692</v>
      </c>
      <c r="F262" t="s">
        <v>57</v>
      </c>
      <c r="G262">
        <v>41.19</v>
      </c>
      <c r="H262">
        <v>58</v>
      </c>
      <c r="I262" t="s">
        <v>17</v>
      </c>
      <c r="J262" t="s">
        <v>37</v>
      </c>
      <c r="K262" t="s">
        <v>693</v>
      </c>
      <c r="L262">
        <v>48</v>
      </c>
      <c r="M262" t="str">
        <f t="shared" si="8"/>
        <v>High</v>
      </c>
      <c r="N262" t="str">
        <f t="shared" si="9"/>
        <v>Average</v>
      </c>
    </row>
    <row r="263" spans="1:14">
      <c r="A263" t="s">
        <v>12</v>
      </c>
      <c r="B263">
        <v>2003</v>
      </c>
      <c r="C263" t="s">
        <v>694</v>
      </c>
      <c r="D263" t="s">
        <v>14</v>
      </c>
      <c r="E263" t="s">
        <v>695</v>
      </c>
      <c r="F263" t="s">
        <v>42</v>
      </c>
      <c r="G263">
        <v>49.23</v>
      </c>
      <c r="H263">
        <v>56</v>
      </c>
      <c r="I263" t="s">
        <v>17</v>
      </c>
      <c r="J263" t="s">
        <v>24</v>
      </c>
      <c r="K263" t="s">
        <v>320</v>
      </c>
      <c r="L263">
        <v>113</v>
      </c>
      <c r="M263" t="str">
        <f t="shared" si="8"/>
        <v>High</v>
      </c>
      <c r="N263" t="str">
        <f t="shared" si="9"/>
        <v>Average</v>
      </c>
    </row>
    <row r="264" spans="1:14">
      <c r="A264" t="s">
        <v>47</v>
      </c>
      <c r="B264">
        <v>2020</v>
      </c>
      <c r="C264" t="s">
        <v>696</v>
      </c>
      <c r="D264" t="s">
        <v>14</v>
      </c>
      <c r="E264" t="s">
        <v>697</v>
      </c>
      <c r="F264" t="s">
        <v>16</v>
      </c>
      <c r="G264">
        <v>4.63</v>
      </c>
      <c r="H264">
        <v>93</v>
      </c>
      <c r="I264" t="s">
        <v>61</v>
      </c>
      <c r="J264" t="s">
        <v>18</v>
      </c>
      <c r="K264" t="s">
        <v>698</v>
      </c>
      <c r="L264">
        <v>178</v>
      </c>
      <c r="M264" t="str">
        <f t="shared" si="8"/>
        <v>Low</v>
      </c>
      <c r="N264" t="str">
        <f t="shared" si="9"/>
        <v>Excellent</v>
      </c>
    </row>
    <row r="265" spans="1:14">
      <c r="A265" t="s">
        <v>20</v>
      </c>
      <c r="B265">
        <v>2005</v>
      </c>
      <c r="C265" t="s">
        <v>699</v>
      </c>
      <c r="D265" t="s">
        <v>33</v>
      </c>
      <c r="E265" t="s">
        <v>700</v>
      </c>
      <c r="F265" t="s">
        <v>57</v>
      </c>
      <c r="G265">
        <v>30.4</v>
      </c>
      <c r="H265">
        <v>61</v>
      </c>
      <c r="I265" t="s">
        <v>61</v>
      </c>
      <c r="J265" t="s">
        <v>24</v>
      </c>
      <c r="K265" t="s">
        <v>47</v>
      </c>
      <c r="L265">
        <v>10</v>
      </c>
      <c r="M265" t="str">
        <f t="shared" si="8"/>
        <v>Medium</v>
      </c>
      <c r="N265" t="str">
        <f t="shared" si="9"/>
        <v>Average</v>
      </c>
    </row>
    <row r="266" spans="1:14">
      <c r="A266" t="s">
        <v>38</v>
      </c>
      <c r="B266">
        <v>2014</v>
      </c>
      <c r="C266" t="s">
        <v>701</v>
      </c>
      <c r="D266" t="s">
        <v>14</v>
      </c>
      <c r="E266" t="s">
        <v>702</v>
      </c>
      <c r="F266" t="s">
        <v>42</v>
      </c>
      <c r="G266">
        <v>41.51</v>
      </c>
      <c r="H266">
        <v>64</v>
      </c>
      <c r="I266" t="s">
        <v>23</v>
      </c>
      <c r="J266" t="s">
        <v>37</v>
      </c>
      <c r="K266" t="s">
        <v>26</v>
      </c>
      <c r="L266">
        <v>96</v>
      </c>
      <c r="M266" t="str">
        <f t="shared" si="8"/>
        <v>High</v>
      </c>
      <c r="N266" t="str">
        <f t="shared" si="9"/>
        <v>Average</v>
      </c>
    </row>
    <row r="267" spans="1:14">
      <c r="A267" t="s">
        <v>20</v>
      </c>
      <c r="B267">
        <v>2022</v>
      </c>
      <c r="C267" t="s">
        <v>703</v>
      </c>
      <c r="D267" t="s">
        <v>14</v>
      </c>
      <c r="E267" t="s">
        <v>704</v>
      </c>
      <c r="F267" t="s">
        <v>57</v>
      </c>
      <c r="G267">
        <v>8.01</v>
      </c>
      <c r="H267">
        <v>96</v>
      </c>
      <c r="I267" t="s">
        <v>17</v>
      </c>
      <c r="J267" t="s">
        <v>24</v>
      </c>
      <c r="K267" t="s">
        <v>705</v>
      </c>
      <c r="L267">
        <v>179</v>
      </c>
      <c r="M267" t="str">
        <f t="shared" si="8"/>
        <v>Low</v>
      </c>
      <c r="N267" t="str">
        <f t="shared" si="9"/>
        <v>Excellent</v>
      </c>
    </row>
    <row r="268" spans="1:14">
      <c r="A268" t="s">
        <v>20</v>
      </c>
      <c r="B268">
        <v>2022</v>
      </c>
      <c r="C268" t="s">
        <v>706</v>
      </c>
      <c r="D268" t="s">
        <v>33</v>
      </c>
      <c r="E268" t="s">
        <v>707</v>
      </c>
      <c r="F268" t="s">
        <v>46</v>
      </c>
      <c r="G268">
        <v>44.18</v>
      </c>
      <c r="H268">
        <v>54</v>
      </c>
      <c r="I268" t="s">
        <v>17</v>
      </c>
      <c r="J268" t="s">
        <v>24</v>
      </c>
      <c r="K268" t="s">
        <v>708</v>
      </c>
      <c r="L268">
        <v>316</v>
      </c>
      <c r="M268" t="str">
        <f t="shared" si="8"/>
        <v>High</v>
      </c>
      <c r="N268" t="str">
        <f t="shared" si="9"/>
        <v>Average</v>
      </c>
    </row>
    <row r="269" spans="1:14">
      <c r="A269" t="s">
        <v>65</v>
      </c>
      <c r="B269">
        <v>2009</v>
      </c>
      <c r="C269" t="s">
        <v>709</v>
      </c>
      <c r="D269" t="s">
        <v>14</v>
      </c>
      <c r="E269" t="s">
        <v>710</v>
      </c>
      <c r="F269" t="s">
        <v>42</v>
      </c>
      <c r="G269">
        <v>12.38</v>
      </c>
      <c r="H269">
        <v>79</v>
      </c>
      <c r="I269" t="s">
        <v>23</v>
      </c>
      <c r="J269" t="s">
        <v>18</v>
      </c>
      <c r="K269" t="s">
        <v>31</v>
      </c>
      <c r="L269">
        <v>311</v>
      </c>
      <c r="M269" t="str">
        <f t="shared" si="8"/>
        <v>Low</v>
      </c>
      <c r="N269" t="str">
        <f t="shared" si="9"/>
        <v>Good</v>
      </c>
    </row>
    <row r="270" spans="1:14">
      <c r="A270" t="s">
        <v>26</v>
      </c>
      <c r="B270">
        <v>2022</v>
      </c>
      <c r="C270" t="s">
        <v>711</v>
      </c>
      <c r="D270" t="s">
        <v>33</v>
      </c>
      <c r="E270" t="s">
        <v>712</v>
      </c>
      <c r="F270" t="s">
        <v>42</v>
      </c>
      <c r="G270">
        <v>5.0199999999999996</v>
      </c>
      <c r="H270">
        <v>97</v>
      </c>
      <c r="I270" t="s">
        <v>17</v>
      </c>
      <c r="J270" t="s">
        <v>37</v>
      </c>
      <c r="K270" t="s">
        <v>308</v>
      </c>
      <c r="L270">
        <v>311</v>
      </c>
      <c r="M270" t="str">
        <f t="shared" si="8"/>
        <v>Low</v>
      </c>
      <c r="N270" t="str">
        <f t="shared" si="9"/>
        <v>Excellent</v>
      </c>
    </row>
    <row r="271" spans="1:14">
      <c r="A271" t="s">
        <v>26</v>
      </c>
      <c r="B271">
        <v>2012</v>
      </c>
      <c r="C271" t="s">
        <v>713</v>
      </c>
      <c r="D271" t="s">
        <v>14</v>
      </c>
      <c r="E271" t="s">
        <v>714</v>
      </c>
      <c r="F271" t="s">
        <v>57</v>
      </c>
      <c r="G271">
        <v>27.52</v>
      </c>
      <c r="H271">
        <v>100</v>
      </c>
      <c r="I271" t="s">
        <v>23</v>
      </c>
      <c r="J271" t="s">
        <v>24</v>
      </c>
      <c r="K271" t="s">
        <v>89</v>
      </c>
      <c r="L271">
        <v>153</v>
      </c>
      <c r="M271" t="str">
        <f t="shared" si="8"/>
        <v>Medium</v>
      </c>
      <c r="N271" t="str">
        <f t="shared" si="9"/>
        <v>Excellent</v>
      </c>
    </row>
    <row r="272" spans="1:14">
      <c r="A272" t="s">
        <v>48</v>
      </c>
      <c r="B272">
        <v>2024</v>
      </c>
      <c r="C272" t="s">
        <v>715</v>
      </c>
      <c r="D272" t="s">
        <v>33</v>
      </c>
      <c r="E272" t="s">
        <v>716</v>
      </c>
      <c r="F272" t="s">
        <v>16</v>
      </c>
      <c r="G272">
        <v>49.53</v>
      </c>
      <c r="H272">
        <v>56</v>
      </c>
      <c r="I272" t="s">
        <v>29</v>
      </c>
      <c r="J272" t="s">
        <v>18</v>
      </c>
      <c r="K272" t="s">
        <v>498</v>
      </c>
      <c r="L272">
        <v>36</v>
      </c>
      <c r="M272" t="str">
        <f t="shared" si="8"/>
        <v>High</v>
      </c>
      <c r="N272" t="str">
        <f t="shared" si="9"/>
        <v>Average</v>
      </c>
    </row>
    <row r="273" spans="1:14">
      <c r="A273" t="s">
        <v>38</v>
      </c>
      <c r="B273">
        <v>2017</v>
      </c>
      <c r="C273" t="s">
        <v>717</v>
      </c>
      <c r="D273" t="s">
        <v>14</v>
      </c>
      <c r="E273" t="s">
        <v>718</v>
      </c>
      <c r="F273" t="s">
        <v>46</v>
      </c>
      <c r="G273">
        <v>3.81</v>
      </c>
      <c r="H273">
        <v>53</v>
      </c>
      <c r="I273" t="s">
        <v>61</v>
      </c>
      <c r="J273" t="s">
        <v>37</v>
      </c>
      <c r="K273" t="s">
        <v>68</v>
      </c>
      <c r="L273">
        <v>6</v>
      </c>
      <c r="M273" t="str">
        <f t="shared" si="8"/>
        <v>Low</v>
      </c>
      <c r="N273" t="str">
        <f t="shared" si="9"/>
        <v>Average</v>
      </c>
    </row>
    <row r="274" spans="1:14">
      <c r="A274" t="s">
        <v>47</v>
      </c>
      <c r="B274">
        <v>2025</v>
      </c>
      <c r="C274" t="s">
        <v>719</v>
      </c>
      <c r="D274" t="s">
        <v>14</v>
      </c>
      <c r="E274" t="s">
        <v>720</v>
      </c>
      <c r="F274" t="s">
        <v>35</v>
      </c>
      <c r="G274">
        <v>25.13</v>
      </c>
      <c r="H274">
        <v>71</v>
      </c>
      <c r="I274" t="s">
        <v>23</v>
      </c>
      <c r="J274" t="s">
        <v>37</v>
      </c>
      <c r="K274" t="s">
        <v>47</v>
      </c>
      <c r="L274">
        <v>238</v>
      </c>
      <c r="M274" t="str">
        <f t="shared" si="8"/>
        <v>Medium</v>
      </c>
      <c r="N274" t="str">
        <f t="shared" si="9"/>
        <v>Average</v>
      </c>
    </row>
    <row r="275" spans="1:14">
      <c r="A275" t="s">
        <v>39</v>
      </c>
      <c r="B275">
        <v>2000</v>
      </c>
      <c r="C275" t="s">
        <v>721</v>
      </c>
      <c r="D275" t="s">
        <v>14</v>
      </c>
      <c r="E275" t="s">
        <v>722</v>
      </c>
      <c r="F275" t="s">
        <v>46</v>
      </c>
      <c r="G275">
        <v>40.44</v>
      </c>
      <c r="H275">
        <v>79</v>
      </c>
      <c r="I275" t="s">
        <v>23</v>
      </c>
      <c r="J275" t="s">
        <v>18</v>
      </c>
      <c r="K275" t="s">
        <v>58</v>
      </c>
      <c r="L275">
        <v>209</v>
      </c>
      <c r="M275" t="str">
        <f t="shared" si="8"/>
        <v>High</v>
      </c>
      <c r="N275" t="str">
        <f t="shared" si="9"/>
        <v>Good</v>
      </c>
    </row>
    <row r="276" spans="1:14">
      <c r="A276" t="s">
        <v>39</v>
      </c>
      <c r="B276">
        <v>2025</v>
      </c>
      <c r="C276" t="s">
        <v>723</v>
      </c>
      <c r="D276" t="s">
        <v>14</v>
      </c>
      <c r="E276" t="s">
        <v>724</v>
      </c>
      <c r="F276" t="s">
        <v>46</v>
      </c>
      <c r="G276">
        <v>30.99</v>
      </c>
      <c r="H276">
        <v>56</v>
      </c>
      <c r="I276" t="s">
        <v>17</v>
      </c>
      <c r="J276" t="s">
        <v>24</v>
      </c>
      <c r="K276" t="s">
        <v>38</v>
      </c>
      <c r="L276">
        <v>208</v>
      </c>
      <c r="M276" t="str">
        <f t="shared" si="8"/>
        <v>Medium</v>
      </c>
      <c r="N276" t="str">
        <f t="shared" si="9"/>
        <v>Average</v>
      </c>
    </row>
    <row r="277" spans="1:14">
      <c r="A277" t="s">
        <v>39</v>
      </c>
      <c r="B277">
        <v>2021</v>
      </c>
      <c r="C277" t="s">
        <v>725</v>
      </c>
      <c r="D277" t="s">
        <v>33</v>
      </c>
      <c r="E277" t="s">
        <v>726</v>
      </c>
      <c r="F277" t="s">
        <v>16</v>
      </c>
      <c r="G277">
        <v>41.84</v>
      </c>
      <c r="H277">
        <v>62</v>
      </c>
      <c r="I277" t="s">
        <v>23</v>
      </c>
      <c r="J277" t="s">
        <v>18</v>
      </c>
      <c r="K277" t="s">
        <v>254</v>
      </c>
      <c r="L277">
        <v>166</v>
      </c>
      <c r="M277" t="str">
        <f t="shared" si="8"/>
        <v>High</v>
      </c>
      <c r="N277" t="str">
        <f t="shared" si="9"/>
        <v>Average</v>
      </c>
    </row>
    <row r="278" spans="1:14">
      <c r="A278" t="s">
        <v>48</v>
      </c>
      <c r="B278">
        <v>2025</v>
      </c>
      <c r="C278" t="s">
        <v>727</v>
      </c>
      <c r="D278" t="s">
        <v>33</v>
      </c>
      <c r="E278" t="s">
        <v>728</v>
      </c>
      <c r="F278" t="s">
        <v>16</v>
      </c>
      <c r="G278">
        <v>27.23</v>
      </c>
      <c r="H278">
        <v>62</v>
      </c>
      <c r="I278" t="s">
        <v>17</v>
      </c>
      <c r="J278" t="s">
        <v>24</v>
      </c>
      <c r="K278" t="s">
        <v>47</v>
      </c>
      <c r="L278">
        <v>205</v>
      </c>
      <c r="M278" t="str">
        <f t="shared" si="8"/>
        <v>Medium</v>
      </c>
      <c r="N278" t="str">
        <f t="shared" si="9"/>
        <v>Average</v>
      </c>
    </row>
    <row r="279" spans="1:14">
      <c r="A279" t="s">
        <v>68</v>
      </c>
      <c r="B279">
        <v>2003</v>
      </c>
      <c r="C279" t="s">
        <v>729</v>
      </c>
      <c r="D279" t="s">
        <v>33</v>
      </c>
      <c r="E279" t="s">
        <v>564</v>
      </c>
      <c r="F279" t="s">
        <v>16</v>
      </c>
      <c r="G279">
        <v>14.7</v>
      </c>
      <c r="H279">
        <v>71</v>
      </c>
      <c r="I279" t="s">
        <v>23</v>
      </c>
      <c r="J279" t="s">
        <v>18</v>
      </c>
      <c r="K279" t="s">
        <v>730</v>
      </c>
      <c r="L279">
        <v>281</v>
      </c>
      <c r="M279" t="str">
        <f t="shared" si="8"/>
        <v>Low</v>
      </c>
      <c r="N279" t="str">
        <f t="shared" si="9"/>
        <v>Average</v>
      </c>
    </row>
    <row r="280" spans="1:14">
      <c r="A280" t="s">
        <v>20</v>
      </c>
      <c r="B280">
        <v>2005</v>
      </c>
      <c r="C280" t="s">
        <v>731</v>
      </c>
      <c r="D280" t="s">
        <v>14</v>
      </c>
      <c r="E280" t="s">
        <v>732</v>
      </c>
      <c r="F280" t="s">
        <v>57</v>
      </c>
      <c r="G280">
        <v>38.42</v>
      </c>
      <c r="H280">
        <v>84</v>
      </c>
      <c r="I280" t="s">
        <v>17</v>
      </c>
      <c r="J280" t="s">
        <v>24</v>
      </c>
      <c r="K280" t="s">
        <v>733</v>
      </c>
      <c r="L280">
        <v>203</v>
      </c>
      <c r="M280" t="str">
        <f t="shared" si="8"/>
        <v>High</v>
      </c>
      <c r="N280" t="str">
        <f t="shared" si="9"/>
        <v>Good</v>
      </c>
    </row>
    <row r="281" spans="1:14">
      <c r="A281" t="s">
        <v>47</v>
      </c>
      <c r="B281">
        <v>2016</v>
      </c>
      <c r="C281" t="s">
        <v>734</v>
      </c>
      <c r="D281" t="s">
        <v>14</v>
      </c>
      <c r="E281" t="s">
        <v>735</v>
      </c>
      <c r="F281" t="s">
        <v>42</v>
      </c>
      <c r="G281">
        <v>33.18</v>
      </c>
      <c r="H281">
        <v>63</v>
      </c>
      <c r="I281" t="s">
        <v>61</v>
      </c>
      <c r="J281" t="s">
        <v>24</v>
      </c>
      <c r="K281" t="s">
        <v>736</v>
      </c>
      <c r="L281">
        <v>221</v>
      </c>
      <c r="M281" t="str">
        <f t="shared" si="8"/>
        <v>Medium</v>
      </c>
      <c r="N281" t="str">
        <f t="shared" si="9"/>
        <v>Average</v>
      </c>
    </row>
    <row r="282" spans="1:14">
      <c r="A282" t="s">
        <v>47</v>
      </c>
      <c r="B282">
        <v>2001</v>
      </c>
      <c r="C282" t="s">
        <v>737</v>
      </c>
      <c r="D282" t="s">
        <v>33</v>
      </c>
      <c r="E282" t="s">
        <v>738</v>
      </c>
      <c r="F282" t="s">
        <v>42</v>
      </c>
      <c r="G282">
        <v>18.89</v>
      </c>
      <c r="H282">
        <v>52</v>
      </c>
      <c r="I282" t="s">
        <v>23</v>
      </c>
      <c r="J282" t="s">
        <v>18</v>
      </c>
      <c r="K282" t="s">
        <v>739</v>
      </c>
      <c r="L282">
        <v>291</v>
      </c>
      <c r="M282" t="str">
        <f t="shared" si="8"/>
        <v>Medium</v>
      </c>
      <c r="N282" t="str">
        <f t="shared" si="9"/>
        <v>Average</v>
      </c>
    </row>
    <row r="283" spans="1:14">
      <c r="A283" t="s">
        <v>38</v>
      </c>
      <c r="B283">
        <v>2022</v>
      </c>
      <c r="C283" t="s">
        <v>740</v>
      </c>
      <c r="D283" t="s">
        <v>14</v>
      </c>
      <c r="E283" t="s">
        <v>741</v>
      </c>
      <c r="F283" t="s">
        <v>57</v>
      </c>
      <c r="G283">
        <v>8.51</v>
      </c>
      <c r="H283">
        <v>50</v>
      </c>
      <c r="I283" t="s">
        <v>17</v>
      </c>
      <c r="J283" t="s">
        <v>37</v>
      </c>
      <c r="K283" t="s">
        <v>742</v>
      </c>
      <c r="L283">
        <v>353</v>
      </c>
      <c r="M283" t="str">
        <f t="shared" si="8"/>
        <v>Low</v>
      </c>
      <c r="N283" t="str">
        <f t="shared" si="9"/>
        <v>Average</v>
      </c>
    </row>
    <row r="284" spans="1:14">
      <c r="A284" t="s">
        <v>31</v>
      </c>
      <c r="B284">
        <v>2011</v>
      </c>
      <c r="C284" t="s">
        <v>743</v>
      </c>
      <c r="D284" t="s">
        <v>33</v>
      </c>
      <c r="E284" t="s">
        <v>744</v>
      </c>
      <c r="F284" t="s">
        <v>42</v>
      </c>
      <c r="G284">
        <v>16.98</v>
      </c>
      <c r="H284">
        <v>95</v>
      </c>
      <c r="I284" t="s">
        <v>17</v>
      </c>
      <c r="J284" t="s">
        <v>24</v>
      </c>
      <c r="K284" t="s">
        <v>97</v>
      </c>
      <c r="L284">
        <v>98</v>
      </c>
      <c r="M284" t="str">
        <f t="shared" si="8"/>
        <v>Medium</v>
      </c>
      <c r="N284" t="str">
        <f t="shared" si="9"/>
        <v>Excellent</v>
      </c>
    </row>
    <row r="285" spans="1:14">
      <c r="A285" t="s">
        <v>47</v>
      </c>
      <c r="B285">
        <v>2006</v>
      </c>
      <c r="C285" t="s">
        <v>745</v>
      </c>
      <c r="D285" t="s">
        <v>33</v>
      </c>
      <c r="E285" t="s">
        <v>746</v>
      </c>
      <c r="F285" t="s">
        <v>42</v>
      </c>
      <c r="G285">
        <v>19.32</v>
      </c>
      <c r="H285">
        <v>84</v>
      </c>
      <c r="I285" t="s">
        <v>17</v>
      </c>
      <c r="J285" t="s">
        <v>24</v>
      </c>
      <c r="K285" t="s">
        <v>151</v>
      </c>
      <c r="L285">
        <v>209</v>
      </c>
      <c r="M285" t="str">
        <f t="shared" si="8"/>
        <v>Medium</v>
      </c>
      <c r="N285" t="str">
        <f t="shared" si="9"/>
        <v>Good</v>
      </c>
    </row>
    <row r="286" spans="1:14">
      <c r="A286" t="s">
        <v>39</v>
      </c>
      <c r="B286">
        <v>2008</v>
      </c>
      <c r="C286" t="s">
        <v>747</v>
      </c>
      <c r="D286" t="s">
        <v>33</v>
      </c>
      <c r="E286" t="s">
        <v>748</v>
      </c>
      <c r="F286" t="s">
        <v>35</v>
      </c>
      <c r="G286">
        <v>6.53</v>
      </c>
      <c r="H286">
        <v>87</v>
      </c>
      <c r="I286" t="s">
        <v>36</v>
      </c>
      <c r="J286" t="s">
        <v>24</v>
      </c>
      <c r="K286" t="s">
        <v>749</v>
      </c>
      <c r="L286">
        <v>315</v>
      </c>
      <c r="M286" t="str">
        <f t="shared" si="8"/>
        <v>Low</v>
      </c>
      <c r="N286" t="str">
        <f t="shared" si="9"/>
        <v>Good</v>
      </c>
    </row>
    <row r="287" spans="1:14">
      <c r="A287" t="s">
        <v>26</v>
      </c>
      <c r="B287">
        <v>2015</v>
      </c>
      <c r="C287" t="s">
        <v>750</v>
      </c>
      <c r="D287" t="s">
        <v>14</v>
      </c>
      <c r="E287" t="s">
        <v>751</v>
      </c>
      <c r="F287" t="s">
        <v>42</v>
      </c>
      <c r="G287">
        <v>38.21</v>
      </c>
      <c r="H287">
        <v>56</v>
      </c>
      <c r="I287" t="s">
        <v>61</v>
      </c>
      <c r="J287" t="s">
        <v>37</v>
      </c>
      <c r="K287" t="s">
        <v>752</v>
      </c>
      <c r="L287">
        <v>341</v>
      </c>
      <c r="M287" t="str">
        <f t="shared" si="8"/>
        <v>High</v>
      </c>
      <c r="N287" t="str">
        <f t="shared" si="9"/>
        <v>Average</v>
      </c>
    </row>
    <row r="288" spans="1:14">
      <c r="A288" t="s">
        <v>12</v>
      </c>
      <c r="B288">
        <v>2009</v>
      </c>
      <c r="C288" t="s">
        <v>753</v>
      </c>
      <c r="D288" t="s">
        <v>33</v>
      </c>
      <c r="E288" t="s">
        <v>754</v>
      </c>
      <c r="F288" t="s">
        <v>57</v>
      </c>
      <c r="G288">
        <v>24.06</v>
      </c>
      <c r="H288">
        <v>57</v>
      </c>
      <c r="I288" t="s">
        <v>17</v>
      </c>
      <c r="J288" t="s">
        <v>24</v>
      </c>
      <c r="K288" t="s">
        <v>38</v>
      </c>
      <c r="L288">
        <v>73</v>
      </c>
      <c r="M288" t="str">
        <f t="shared" si="8"/>
        <v>Medium</v>
      </c>
      <c r="N288" t="str">
        <f t="shared" si="9"/>
        <v>Average</v>
      </c>
    </row>
    <row r="289" spans="1:14">
      <c r="A289" t="s">
        <v>39</v>
      </c>
      <c r="B289">
        <v>2025</v>
      </c>
      <c r="C289" t="s">
        <v>755</v>
      </c>
      <c r="D289" t="s">
        <v>14</v>
      </c>
      <c r="E289" t="s">
        <v>756</v>
      </c>
      <c r="F289" t="s">
        <v>46</v>
      </c>
      <c r="G289">
        <v>9.8699999999999992</v>
      </c>
      <c r="H289">
        <v>91</v>
      </c>
      <c r="I289" t="s">
        <v>23</v>
      </c>
      <c r="J289" t="s">
        <v>24</v>
      </c>
      <c r="K289" t="s">
        <v>757</v>
      </c>
      <c r="L289">
        <v>255</v>
      </c>
      <c r="M289" t="str">
        <f t="shared" si="8"/>
        <v>Low</v>
      </c>
      <c r="N289" t="str">
        <f t="shared" si="9"/>
        <v>Excellent</v>
      </c>
    </row>
    <row r="290" spans="1:14">
      <c r="A290" t="s">
        <v>31</v>
      </c>
      <c r="B290">
        <v>2012</v>
      </c>
      <c r="C290" t="s">
        <v>758</v>
      </c>
      <c r="D290" t="s">
        <v>14</v>
      </c>
      <c r="E290" t="s">
        <v>759</v>
      </c>
      <c r="F290" t="s">
        <v>35</v>
      </c>
      <c r="G290">
        <v>4.82</v>
      </c>
      <c r="H290">
        <v>50</v>
      </c>
      <c r="I290" t="s">
        <v>17</v>
      </c>
      <c r="J290" t="s">
        <v>18</v>
      </c>
      <c r="K290" t="s">
        <v>760</v>
      </c>
      <c r="L290">
        <v>52</v>
      </c>
      <c r="M290" t="str">
        <f t="shared" si="8"/>
        <v>Low</v>
      </c>
      <c r="N290" t="str">
        <f t="shared" si="9"/>
        <v>Average</v>
      </c>
    </row>
    <row r="291" spans="1:14">
      <c r="A291" t="s">
        <v>26</v>
      </c>
      <c r="B291">
        <v>2010</v>
      </c>
      <c r="C291" t="s">
        <v>761</v>
      </c>
      <c r="D291" t="s">
        <v>14</v>
      </c>
      <c r="E291" t="s">
        <v>762</v>
      </c>
      <c r="F291" t="s">
        <v>42</v>
      </c>
      <c r="G291">
        <v>31.77</v>
      </c>
      <c r="H291">
        <v>70</v>
      </c>
      <c r="I291" t="s">
        <v>23</v>
      </c>
      <c r="J291" t="s">
        <v>18</v>
      </c>
      <c r="K291" t="s">
        <v>763</v>
      </c>
      <c r="L291">
        <v>295</v>
      </c>
      <c r="M291" t="str">
        <f t="shared" si="8"/>
        <v>Medium</v>
      </c>
      <c r="N291" t="str">
        <f t="shared" si="9"/>
        <v>Average</v>
      </c>
    </row>
    <row r="292" spans="1:14">
      <c r="A292" t="s">
        <v>68</v>
      </c>
      <c r="B292">
        <v>2011</v>
      </c>
      <c r="C292" t="s">
        <v>764</v>
      </c>
      <c r="D292" t="s">
        <v>14</v>
      </c>
      <c r="E292" t="s">
        <v>765</v>
      </c>
      <c r="F292" t="s">
        <v>46</v>
      </c>
      <c r="G292">
        <v>30.07</v>
      </c>
      <c r="H292">
        <v>56</v>
      </c>
      <c r="I292" t="s">
        <v>17</v>
      </c>
      <c r="J292" t="s">
        <v>18</v>
      </c>
      <c r="K292" t="s">
        <v>766</v>
      </c>
      <c r="L292">
        <v>97</v>
      </c>
      <c r="M292" t="str">
        <f t="shared" si="8"/>
        <v>Medium</v>
      </c>
      <c r="N292" t="str">
        <f t="shared" si="9"/>
        <v>Average</v>
      </c>
    </row>
    <row r="293" spans="1:14">
      <c r="A293" t="s">
        <v>38</v>
      </c>
      <c r="B293">
        <v>2004</v>
      </c>
      <c r="C293" t="s">
        <v>767</v>
      </c>
      <c r="D293" t="s">
        <v>14</v>
      </c>
      <c r="E293" t="s">
        <v>768</v>
      </c>
      <c r="F293" t="s">
        <v>35</v>
      </c>
      <c r="G293">
        <v>31.87</v>
      </c>
      <c r="H293">
        <v>53</v>
      </c>
      <c r="I293" t="s">
        <v>61</v>
      </c>
      <c r="J293" t="s">
        <v>24</v>
      </c>
      <c r="K293" t="s">
        <v>769</v>
      </c>
      <c r="L293">
        <v>223</v>
      </c>
      <c r="M293" t="str">
        <f t="shared" si="8"/>
        <v>Medium</v>
      </c>
      <c r="N293" t="str">
        <f t="shared" si="9"/>
        <v>Average</v>
      </c>
    </row>
    <row r="294" spans="1:14">
      <c r="A294" t="s">
        <v>68</v>
      </c>
      <c r="B294">
        <v>2012</v>
      </c>
      <c r="C294" t="s">
        <v>770</v>
      </c>
      <c r="D294" t="s">
        <v>14</v>
      </c>
      <c r="E294" t="s">
        <v>771</v>
      </c>
      <c r="F294" t="s">
        <v>57</v>
      </c>
      <c r="G294">
        <v>38.56</v>
      </c>
      <c r="H294">
        <v>86</v>
      </c>
      <c r="I294" t="s">
        <v>29</v>
      </c>
      <c r="J294" t="s">
        <v>24</v>
      </c>
      <c r="K294" t="s">
        <v>772</v>
      </c>
      <c r="L294">
        <v>151</v>
      </c>
      <c r="M294" t="str">
        <f t="shared" si="8"/>
        <v>High</v>
      </c>
      <c r="N294" t="str">
        <f t="shared" si="9"/>
        <v>Good</v>
      </c>
    </row>
    <row r="295" spans="1:14">
      <c r="A295" t="s">
        <v>47</v>
      </c>
      <c r="B295">
        <v>2008</v>
      </c>
      <c r="C295" t="s">
        <v>773</v>
      </c>
      <c r="D295" t="s">
        <v>33</v>
      </c>
      <c r="E295" t="s">
        <v>774</v>
      </c>
      <c r="F295" t="s">
        <v>35</v>
      </c>
      <c r="G295">
        <v>7.53</v>
      </c>
      <c r="H295">
        <v>100</v>
      </c>
      <c r="I295" t="s">
        <v>17</v>
      </c>
      <c r="J295" t="s">
        <v>18</v>
      </c>
      <c r="K295" t="s">
        <v>752</v>
      </c>
      <c r="L295">
        <v>205</v>
      </c>
      <c r="M295" t="str">
        <f t="shared" si="8"/>
        <v>Low</v>
      </c>
      <c r="N295" t="str">
        <f t="shared" si="9"/>
        <v>Excellent</v>
      </c>
    </row>
    <row r="296" spans="1:14">
      <c r="A296" t="s">
        <v>12</v>
      </c>
      <c r="B296">
        <v>2011</v>
      </c>
      <c r="C296" t="s">
        <v>775</v>
      </c>
      <c r="D296" t="s">
        <v>14</v>
      </c>
      <c r="E296" t="s">
        <v>776</v>
      </c>
      <c r="F296" t="s">
        <v>16</v>
      </c>
      <c r="G296">
        <v>42.35</v>
      </c>
      <c r="H296">
        <v>66</v>
      </c>
      <c r="I296" t="s">
        <v>17</v>
      </c>
      <c r="J296" t="s">
        <v>24</v>
      </c>
      <c r="K296" t="s">
        <v>292</v>
      </c>
      <c r="L296">
        <v>110</v>
      </c>
      <c r="M296" t="str">
        <f t="shared" si="8"/>
        <v>High</v>
      </c>
      <c r="N296" t="str">
        <f t="shared" si="9"/>
        <v>Average</v>
      </c>
    </row>
    <row r="297" spans="1:14">
      <c r="A297" t="s">
        <v>12</v>
      </c>
      <c r="B297">
        <v>2007</v>
      </c>
      <c r="C297" t="s">
        <v>777</v>
      </c>
      <c r="D297" t="s">
        <v>14</v>
      </c>
      <c r="E297" t="s">
        <v>778</v>
      </c>
      <c r="F297" t="s">
        <v>35</v>
      </c>
      <c r="G297">
        <v>46.16</v>
      </c>
      <c r="H297">
        <v>74</v>
      </c>
      <c r="I297" t="s">
        <v>36</v>
      </c>
      <c r="J297" t="s">
        <v>24</v>
      </c>
      <c r="K297" t="s">
        <v>779</v>
      </c>
      <c r="L297">
        <v>133</v>
      </c>
      <c r="M297" t="str">
        <f t="shared" si="8"/>
        <v>High</v>
      </c>
      <c r="N297" t="str">
        <f t="shared" si="9"/>
        <v>Average</v>
      </c>
    </row>
    <row r="298" spans="1:14">
      <c r="A298" t="s">
        <v>26</v>
      </c>
      <c r="B298">
        <v>2000</v>
      </c>
      <c r="C298" t="s">
        <v>780</v>
      </c>
      <c r="D298" t="s">
        <v>14</v>
      </c>
      <c r="E298" t="s">
        <v>781</v>
      </c>
      <c r="F298" t="s">
        <v>46</v>
      </c>
      <c r="G298">
        <v>31.98</v>
      </c>
      <c r="H298">
        <v>67</v>
      </c>
      <c r="I298" t="s">
        <v>17</v>
      </c>
      <c r="J298" t="s">
        <v>24</v>
      </c>
      <c r="K298" t="s">
        <v>47</v>
      </c>
      <c r="L298">
        <v>203</v>
      </c>
      <c r="M298" t="str">
        <f t="shared" si="8"/>
        <v>Medium</v>
      </c>
      <c r="N298" t="str">
        <f t="shared" si="9"/>
        <v>Average</v>
      </c>
    </row>
    <row r="299" spans="1:14">
      <c r="A299" t="s">
        <v>68</v>
      </c>
      <c r="B299">
        <v>2007</v>
      </c>
      <c r="C299" t="s">
        <v>782</v>
      </c>
      <c r="D299" t="s">
        <v>14</v>
      </c>
      <c r="E299" t="s">
        <v>783</v>
      </c>
      <c r="F299" t="s">
        <v>57</v>
      </c>
      <c r="G299">
        <v>1.62</v>
      </c>
      <c r="H299">
        <v>65</v>
      </c>
      <c r="I299" t="s">
        <v>23</v>
      </c>
      <c r="J299" t="s">
        <v>18</v>
      </c>
      <c r="K299" t="s">
        <v>610</v>
      </c>
      <c r="L299">
        <v>234</v>
      </c>
      <c r="M299" t="str">
        <f t="shared" si="8"/>
        <v>Low</v>
      </c>
      <c r="N299" t="str">
        <f t="shared" si="9"/>
        <v>Average</v>
      </c>
    </row>
    <row r="300" spans="1:14">
      <c r="A300" t="s">
        <v>12</v>
      </c>
      <c r="B300">
        <v>2020</v>
      </c>
      <c r="C300" t="s">
        <v>784</v>
      </c>
      <c r="D300" t="s">
        <v>14</v>
      </c>
      <c r="E300" t="s">
        <v>785</v>
      </c>
      <c r="F300" t="s">
        <v>42</v>
      </c>
      <c r="G300">
        <v>5.01</v>
      </c>
      <c r="H300">
        <v>99</v>
      </c>
      <c r="I300" t="s">
        <v>17</v>
      </c>
      <c r="J300" t="s">
        <v>37</v>
      </c>
      <c r="K300" t="s">
        <v>786</v>
      </c>
      <c r="L300">
        <v>90</v>
      </c>
      <c r="M300" t="str">
        <f t="shared" si="8"/>
        <v>Low</v>
      </c>
      <c r="N300" t="str">
        <f t="shared" si="9"/>
        <v>Excellent</v>
      </c>
    </row>
    <row r="301" spans="1:14">
      <c r="A301" t="s">
        <v>26</v>
      </c>
      <c r="B301">
        <v>2002</v>
      </c>
      <c r="C301" t="s">
        <v>787</v>
      </c>
      <c r="D301" t="s">
        <v>14</v>
      </c>
      <c r="E301" t="s">
        <v>788</v>
      </c>
      <c r="F301" t="s">
        <v>42</v>
      </c>
      <c r="G301">
        <v>22.01</v>
      </c>
      <c r="H301">
        <v>52</v>
      </c>
      <c r="I301" t="s">
        <v>29</v>
      </c>
      <c r="J301" t="s">
        <v>24</v>
      </c>
      <c r="K301" t="s">
        <v>789</v>
      </c>
      <c r="L301">
        <v>195</v>
      </c>
      <c r="M301" t="str">
        <f t="shared" si="8"/>
        <v>Medium</v>
      </c>
      <c r="N301" t="str">
        <f t="shared" si="9"/>
        <v>Average</v>
      </c>
    </row>
    <row r="302" spans="1:14">
      <c r="A302" t="s">
        <v>47</v>
      </c>
      <c r="B302">
        <v>2001</v>
      </c>
      <c r="C302" t="s">
        <v>790</v>
      </c>
      <c r="D302" t="s">
        <v>33</v>
      </c>
      <c r="E302" t="s">
        <v>791</v>
      </c>
      <c r="F302" t="s">
        <v>35</v>
      </c>
      <c r="G302">
        <v>41.41</v>
      </c>
      <c r="H302">
        <v>77</v>
      </c>
      <c r="I302" t="s">
        <v>61</v>
      </c>
      <c r="J302" t="s">
        <v>18</v>
      </c>
      <c r="K302" t="s">
        <v>792</v>
      </c>
      <c r="L302">
        <v>178</v>
      </c>
      <c r="M302" t="str">
        <f t="shared" si="8"/>
        <v>High</v>
      </c>
      <c r="N302" t="str">
        <f t="shared" si="9"/>
        <v>Good</v>
      </c>
    </row>
    <row r="303" spans="1:14">
      <c r="A303" t="s">
        <v>31</v>
      </c>
      <c r="B303">
        <v>2021</v>
      </c>
      <c r="C303" t="s">
        <v>793</v>
      </c>
      <c r="D303" t="s">
        <v>33</v>
      </c>
      <c r="E303" t="s">
        <v>794</v>
      </c>
      <c r="F303" t="s">
        <v>57</v>
      </c>
      <c r="G303">
        <v>7.5</v>
      </c>
      <c r="H303">
        <v>59</v>
      </c>
      <c r="I303" t="s">
        <v>23</v>
      </c>
      <c r="J303" t="s">
        <v>18</v>
      </c>
      <c r="K303" t="s">
        <v>795</v>
      </c>
      <c r="L303">
        <v>78</v>
      </c>
      <c r="M303" t="str">
        <f t="shared" si="8"/>
        <v>Low</v>
      </c>
      <c r="N303" t="str">
        <f t="shared" si="9"/>
        <v>Average</v>
      </c>
    </row>
    <row r="304" spans="1:14">
      <c r="A304" t="s">
        <v>38</v>
      </c>
      <c r="B304">
        <v>2009</v>
      </c>
      <c r="C304" t="s">
        <v>796</v>
      </c>
      <c r="D304" t="s">
        <v>33</v>
      </c>
      <c r="E304" t="s">
        <v>797</v>
      </c>
      <c r="F304" t="s">
        <v>42</v>
      </c>
      <c r="G304">
        <v>42.55</v>
      </c>
      <c r="H304">
        <v>63</v>
      </c>
      <c r="I304" t="s">
        <v>29</v>
      </c>
      <c r="J304" t="s">
        <v>24</v>
      </c>
      <c r="K304" t="s">
        <v>610</v>
      </c>
      <c r="L304">
        <v>198</v>
      </c>
      <c r="M304" t="str">
        <f t="shared" si="8"/>
        <v>High</v>
      </c>
      <c r="N304" t="str">
        <f t="shared" si="9"/>
        <v>Average</v>
      </c>
    </row>
    <row r="305" spans="1:14">
      <c r="A305" t="s">
        <v>65</v>
      </c>
      <c r="B305">
        <v>2013</v>
      </c>
      <c r="C305" t="s">
        <v>798</v>
      </c>
      <c r="D305" t="s">
        <v>14</v>
      </c>
      <c r="E305" t="s">
        <v>799</v>
      </c>
      <c r="F305" t="s">
        <v>42</v>
      </c>
      <c r="G305">
        <v>1.94</v>
      </c>
      <c r="H305">
        <v>67</v>
      </c>
      <c r="I305" t="s">
        <v>36</v>
      </c>
      <c r="J305" t="s">
        <v>37</v>
      </c>
      <c r="K305" t="s">
        <v>610</v>
      </c>
      <c r="L305">
        <v>205</v>
      </c>
      <c r="M305" t="str">
        <f t="shared" si="8"/>
        <v>Low</v>
      </c>
      <c r="N305" t="str">
        <f t="shared" si="9"/>
        <v>Average</v>
      </c>
    </row>
    <row r="306" spans="1:14">
      <c r="A306" t="s">
        <v>38</v>
      </c>
      <c r="B306">
        <v>2003</v>
      </c>
      <c r="C306" t="s">
        <v>800</v>
      </c>
      <c r="D306" t="s">
        <v>33</v>
      </c>
      <c r="E306" t="s">
        <v>801</v>
      </c>
      <c r="F306" t="s">
        <v>57</v>
      </c>
      <c r="G306">
        <v>47.91</v>
      </c>
      <c r="H306">
        <v>96</v>
      </c>
      <c r="I306" t="s">
        <v>61</v>
      </c>
      <c r="J306" t="s">
        <v>37</v>
      </c>
      <c r="K306" t="s">
        <v>802</v>
      </c>
      <c r="L306">
        <v>86</v>
      </c>
      <c r="M306" t="str">
        <f t="shared" si="8"/>
        <v>High</v>
      </c>
      <c r="N306" t="str">
        <f t="shared" si="9"/>
        <v>Excellent</v>
      </c>
    </row>
    <row r="307" spans="1:14">
      <c r="A307" t="s">
        <v>38</v>
      </c>
      <c r="B307">
        <v>2005</v>
      </c>
      <c r="C307" t="s">
        <v>803</v>
      </c>
      <c r="D307" t="s">
        <v>33</v>
      </c>
      <c r="E307" t="s">
        <v>804</v>
      </c>
      <c r="F307" t="s">
        <v>42</v>
      </c>
      <c r="G307">
        <v>18.8</v>
      </c>
      <c r="H307">
        <v>90</v>
      </c>
      <c r="I307" t="s">
        <v>29</v>
      </c>
      <c r="J307" t="s">
        <v>37</v>
      </c>
      <c r="K307" t="s">
        <v>465</v>
      </c>
      <c r="L307">
        <v>41</v>
      </c>
      <c r="M307" t="str">
        <f t="shared" si="8"/>
        <v>Medium</v>
      </c>
      <c r="N307" t="str">
        <f t="shared" si="9"/>
        <v>Excellent</v>
      </c>
    </row>
    <row r="308" spans="1:14">
      <c r="A308" t="s">
        <v>20</v>
      </c>
      <c r="B308">
        <v>2017</v>
      </c>
      <c r="C308" t="s">
        <v>805</v>
      </c>
      <c r="D308" t="s">
        <v>33</v>
      </c>
      <c r="E308" t="s">
        <v>806</v>
      </c>
      <c r="F308" t="s">
        <v>46</v>
      </c>
      <c r="G308">
        <v>6.12</v>
      </c>
      <c r="H308">
        <v>94</v>
      </c>
      <c r="I308" t="s">
        <v>23</v>
      </c>
      <c r="J308" t="s">
        <v>18</v>
      </c>
      <c r="K308" t="s">
        <v>807</v>
      </c>
      <c r="L308">
        <v>253</v>
      </c>
      <c r="M308" t="str">
        <f t="shared" si="8"/>
        <v>Low</v>
      </c>
      <c r="N308" t="str">
        <f t="shared" si="9"/>
        <v>Excellent</v>
      </c>
    </row>
    <row r="309" spans="1:14">
      <c r="A309" t="s">
        <v>65</v>
      </c>
      <c r="B309">
        <v>2000</v>
      </c>
      <c r="C309" t="s">
        <v>808</v>
      </c>
      <c r="D309" t="s">
        <v>33</v>
      </c>
      <c r="E309" t="s">
        <v>809</v>
      </c>
      <c r="F309" t="s">
        <v>35</v>
      </c>
      <c r="G309">
        <v>25.55</v>
      </c>
      <c r="H309">
        <v>58</v>
      </c>
      <c r="I309" t="s">
        <v>23</v>
      </c>
      <c r="J309" t="s">
        <v>18</v>
      </c>
      <c r="K309" t="s">
        <v>48</v>
      </c>
      <c r="L309">
        <v>117</v>
      </c>
      <c r="M309" t="str">
        <f t="shared" si="8"/>
        <v>Medium</v>
      </c>
      <c r="N309" t="str">
        <f t="shared" si="9"/>
        <v>Average</v>
      </c>
    </row>
    <row r="310" spans="1:14">
      <c r="A310" t="s">
        <v>20</v>
      </c>
      <c r="B310">
        <v>2016</v>
      </c>
      <c r="C310" t="s">
        <v>810</v>
      </c>
      <c r="D310" t="s">
        <v>33</v>
      </c>
      <c r="E310" t="s">
        <v>811</v>
      </c>
      <c r="F310" t="s">
        <v>46</v>
      </c>
      <c r="G310">
        <v>25.52</v>
      </c>
      <c r="H310">
        <v>52</v>
      </c>
      <c r="I310" t="s">
        <v>61</v>
      </c>
      <c r="J310" t="s">
        <v>18</v>
      </c>
      <c r="K310" t="s">
        <v>12</v>
      </c>
      <c r="L310">
        <v>157</v>
      </c>
      <c r="M310" t="str">
        <f t="shared" si="8"/>
        <v>Medium</v>
      </c>
      <c r="N310" t="str">
        <f t="shared" si="9"/>
        <v>Average</v>
      </c>
    </row>
    <row r="311" spans="1:14">
      <c r="A311" t="s">
        <v>20</v>
      </c>
      <c r="B311">
        <v>2012</v>
      </c>
      <c r="C311" t="s">
        <v>812</v>
      </c>
      <c r="D311" t="s">
        <v>33</v>
      </c>
      <c r="E311" t="s">
        <v>813</v>
      </c>
      <c r="F311" t="s">
        <v>16</v>
      </c>
      <c r="G311">
        <v>21.75</v>
      </c>
      <c r="H311">
        <v>79</v>
      </c>
      <c r="I311" t="s">
        <v>29</v>
      </c>
      <c r="J311" t="s">
        <v>37</v>
      </c>
      <c r="K311" t="s">
        <v>47</v>
      </c>
      <c r="L311">
        <v>135</v>
      </c>
      <c r="M311" t="str">
        <f t="shared" si="8"/>
        <v>Medium</v>
      </c>
      <c r="N311" t="str">
        <f t="shared" si="9"/>
        <v>Good</v>
      </c>
    </row>
    <row r="312" spans="1:14">
      <c r="A312" t="s">
        <v>12</v>
      </c>
      <c r="B312">
        <v>2021</v>
      </c>
      <c r="C312" t="s">
        <v>814</v>
      </c>
      <c r="D312" t="s">
        <v>14</v>
      </c>
      <c r="E312" t="s">
        <v>815</v>
      </c>
      <c r="F312" t="s">
        <v>57</v>
      </c>
      <c r="G312">
        <v>31.13</v>
      </c>
      <c r="H312">
        <v>92</v>
      </c>
      <c r="I312" t="s">
        <v>23</v>
      </c>
      <c r="J312" t="s">
        <v>18</v>
      </c>
      <c r="K312" t="s">
        <v>816</v>
      </c>
      <c r="L312">
        <v>203</v>
      </c>
      <c r="M312" t="str">
        <f t="shared" si="8"/>
        <v>Medium</v>
      </c>
      <c r="N312" t="str">
        <f t="shared" si="9"/>
        <v>Excellent</v>
      </c>
    </row>
    <row r="313" spans="1:14">
      <c r="A313" t="s">
        <v>39</v>
      </c>
      <c r="B313">
        <v>2008</v>
      </c>
      <c r="C313" t="s">
        <v>817</v>
      </c>
      <c r="D313" t="s">
        <v>14</v>
      </c>
      <c r="E313" t="s">
        <v>818</v>
      </c>
      <c r="F313" t="s">
        <v>57</v>
      </c>
      <c r="G313">
        <v>48.05</v>
      </c>
      <c r="H313">
        <v>94</v>
      </c>
      <c r="I313" t="s">
        <v>61</v>
      </c>
      <c r="J313" t="s">
        <v>37</v>
      </c>
      <c r="K313" t="s">
        <v>819</v>
      </c>
      <c r="L313">
        <v>74</v>
      </c>
      <c r="M313" t="str">
        <f t="shared" si="8"/>
        <v>High</v>
      </c>
      <c r="N313" t="str">
        <f t="shared" si="9"/>
        <v>Excellent</v>
      </c>
    </row>
    <row r="314" spans="1:14">
      <c r="A314" t="s">
        <v>12</v>
      </c>
      <c r="B314">
        <v>2010</v>
      </c>
      <c r="C314" t="s">
        <v>820</v>
      </c>
      <c r="D314" t="s">
        <v>33</v>
      </c>
      <c r="E314" t="s">
        <v>821</v>
      </c>
      <c r="F314" t="s">
        <v>16</v>
      </c>
      <c r="G314">
        <v>7.7</v>
      </c>
      <c r="H314">
        <v>77</v>
      </c>
      <c r="I314" t="s">
        <v>61</v>
      </c>
      <c r="J314" t="s">
        <v>37</v>
      </c>
      <c r="K314" t="s">
        <v>31</v>
      </c>
      <c r="L314">
        <v>179</v>
      </c>
      <c r="M314" t="str">
        <f t="shared" si="8"/>
        <v>Low</v>
      </c>
      <c r="N314" t="str">
        <f t="shared" si="9"/>
        <v>Good</v>
      </c>
    </row>
    <row r="315" spans="1:14">
      <c r="A315" t="s">
        <v>65</v>
      </c>
      <c r="B315">
        <v>2024</v>
      </c>
      <c r="C315" t="s">
        <v>822</v>
      </c>
      <c r="D315" t="s">
        <v>33</v>
      </c>
      <c r="E315" t="s">
        <v>823</v>
      </c>
      <c r="F315" t="s">
        <v>46</v>
      </c>
      <c r="G315">
        <v>17.98</v>
      </c>
      <c r="H315">
        <v>78</v>
      </c>
      <c r="I315" t="s">
        <v>23</v>
      </c>
      <c r="J315" t="s">
        <v>24</v>
      </c>
      <c r="K315" t="s">
        <v>824</v>
      </c>
      <c r="L315">
        <v>176</v>
      </c>
      <c r="M315" t="str">
        <f t="shared" si="8"/>
        <v>Medium</v>
      </c>
      <c r="N315" t="str">
        <f t="shared" si="9"/>
        <v>Good</v>
      </c>
    </row>
    <row r="316" spans="1:14">
      <c r="A316" t="s">
        <v>31</v>
      </c>
      <c r="B316">
        <v>2005</v>
      </c>
      <c r="C316" t="s">
        <v>825</v>
      </c>
      <c r="D316" t="s">
        <v>14</v>
      </c>
      <c r="E316" t="s">
        <v>826</v>
      </c>
      <c r="F316" t="s">
        <v>42</v>
      </c>
      <c r="G316">
        <v>10.98</v>
      </c>
      <c r="H316">
        <v>52</v>
      </c>
      <c r="I316" t="s">
        <v>17</v>
      </c>
      <c r="J316" t="s">
        <v>18</v>
      </c>
      <c r="K316" t="s">
        <v>114</v>
      </c>
      <c r="L316">
        <v>134</v>
      </c>
      <c r="M316" t="str">
        <f t="shared" si="8"/>
        <v>Low</v>
      </c>
      <c r="N316" t="str">
        <f t="shared" si="9"/>
        <v>Average</v>
      </c>
    </row>
    <row r="317" spans="1:14">
      <c r="A317" t="s">
        <v>65</v>
      </c>
      <c r="B317">
        <v>2015</v>
      </c>
      <c r="C317" t="s">
        <v>827</v>
      </c>
      <c r="D317" t="s">
        <v>14</v>
      </c>
      <c r="E317" t="s">
        <v>828</v>
      </c>
      <c r="F317" t="s">
        <v>16</v>
      </c>
      <c r="G317">
        <v>0.91</v>
      </c>
      <c r="H317">
        <v>62</v>
      </c>
      <c r="I317" t="s">
        <v>36</v>
      </c>
      <c r="J317" t="s">
        <v>24</v>
      </c>
      <c r="K317" t="s">
        <v>68</v>
      </c>
      <c r="L317">
        <v>328</v>
      </c>
      <c r="M317" t="str">
        <f t="shared" si="8"/>
        <v>Low</v>
      </c>
      <c r="N317" t="str">
        <f t="shared" si="9"/>
        <v>Average</v>
      </c>
    </row>
    <row r="318" spans="1:14">
      <c r="A318" t="s">
        <v>38</v>
      </c>
      <c r="B318">
        <v>2016</v>
      </c>
      <c r="C318" t="s">
        <v>829</v>
      </c>
      <c r="D318" t="s">
        <v>33</v>
      </c>
      <c r="E318" t="s">
        <v>830</v>
      </c>
      <c r="F318" t="s">
        <v>16</v>
      </c>
      <c r="G318">
        <v>18.28</v>
      </c>
      <c r="H318">
        <v>96</v>
      </c>
      <c r="I318" t="s">
        <v>36</v>
      </c>
      <c r="J318" t="s">
        <v>37</v>
      </c>
      <c r="K318" t="s">
        <v>831</v>
      </c>
      <c r="L318">
        <v>244</v>
      </c>
      <c r="M318" t="str">
        <f t="shared" si="8"/>
        <v>Medium</v>
      </c>
      <c r="N318" t="str">
        <f t="shared" si="9"/>
        <v>Excellent</v>
      </c>
    </row>
    <row r="319" spans="1:14">
      <c r="A319" t="s">
        <v>65</v>
      </c>
      <c r="B319">
        <v>2021</v>
      </c>
      <c r="C319" t="s">
        <v>832</v>
      </c>
      <c r="D319" t="s">
        <v>14</v>
      </c>
      <c r="E319" t="s">
        <v>833</v>
      </c>
      <c r="F319" t="s">
        <v>46</v>
      </c>
      <c r="G319">
        <v>45.79</v>
      </c>
      <c r="H319">
        <v>96</v>
      </c>
      <c r="I319" t="s">
        <v>23</v>
      </c>
      <c r="J319" t="s">
        <v>37</v>
      </c>
      <c r="K319" t="s">
        <v>615</v>
      </c>
      <c r="L319">
        <v>346</v>
      </c>
      <c r="M319" t="str">
        <f t="shared" si="8"/>
        <v>High</v>
      </c>
      <c r="N319" t="str">
        <f t="shared" si="9"/>
        <v>Excellent</v>
      </c>
    </row>
    <row r="320" spans="1:14">
      <c r="A320" t="s">
        <v>68</v>
      </c>
      <c r="B320">
        <v>2019</v>
      </c>
      <c r="C320" t="s">
        <v>834</v>
      </c>
      <c r="D320" t="s">
        <v>33</v>
      </c>
      <c r="E320" t="s">
        <v>835</v>
      </c>
      <c r="F320" t="s">
        <v>42</v>
      </c>
      <c r="G320">
        <v>2.27</v>
      </c>
      <c r="H320">
        <v>80</v>
      </c>
      <c r="I320" t="s">
        <v>17</v>
      </c>
      <c r="J320" t="s">
        <v>24</v>
      </c>
      <c r="K320" t="s">
        <v>836</v>
      </c>
      <c r="L320">
        <v>71</v>
      </c>
      <c r="M320" t="str">
        <f t="shared" si="8"/>
        <v>Low</v>
      </c>
      <c r="N320" t="str">
        <f t="shared" si="9"/>
        <v>Good</v>
      </c>
    </row>
    <row r="321" spans="1:14">
      <c r="A321" t="s">
        <v>26</v>
      </c>
      <c r="B321">
        <v>2016</v>
      </c>
      <c r="C321" t="s">
        <v>837</v>
      </c>
      <c r="D321" t="s">
        <v>14</v>
      </c>
      <c r="E321" t="s">
        <v>838</v>
      </c>
      <c r="F321" t="s">
        <v>57</v>
      </c>
      <c r="G321">
        <v>49.58</v>
      </c>
      <c r="H321">
        <v>97</v>
      </c>
      <c r="I321" t="s">
        <v>36</v>
      </c>
      <c r="J321" t="s">
        <v>24</v>
      </c>
      <c r="K321" t="s">
        <v>839</v>
      </c>
      <c r="L321">
        <v>103</v>
      </c>
      <c r="M321" t="str">
        <f t="shared" si="8"/>
        <v>High</v>
      </c>
      <c r="N321" t="str">
        <f t="shared" si="9"/>
        <v>Excellent</v>
      </c>
    </row>
    <row r="322" spans="1:14">
      <c r="A322" t="s">
        <v>39</v>
      </c>
      <c r="B322">
        <v>2023</v>
      </c>
      <c r="C322" t="s">
        <v>840</v>
      </c>
      <c r="D322" t="s">
        <v>33</v>
      </c>
      <c r="E322" t="s">
        <v>841</v>
      </c>
      <c r="F322" t="s">
        <v>42</v>
      </c>
      <c r="G322">
        <v>25.6</v>
      </c>
      <c r="H322">
        <v>78</v>
      </c>
      <c r="I322" t="s">
        <v>23</v>
      </c>
      <c r="J322" t="s">
        <v>37</v>
      </c>
      <c r="K322" t="s">
        <v>48</v>
      </c>
      <c r="L322">
        <v>7</v>
      </c>
      <c r="M322" t="str">
        <f t="shared" si="8"/>
        <v>Medium</v>
      </c>
      <c r="N322" t="str">
        <f t="shared" si="9"/>
        <v>Good</v>
      </c>
    </row>
    <row r="323" spans="1:14">
      <c r="A323" t="s">
        <v>12</v>
      </c>
      <c r="B323">
        <v>2025</v>
      </c>
      <c r="C323" t="s">
        <v>842</v>
      </c>
      <c r="D323" t="s">
        <v>33</v>
      </c>
      <c r="E323" t="s">
        <v>843</v>
      </c>
      <c r="F323" t="s">
        <v>57</v>
      </c>
      <c r="G323">
        <v>10.63</v>
      </c>
      <c r="H323">
        <v>90</v>
      </c>
      <c r="I323" t="s">
        <v>36</v>
      </c>
      <c r="J323" t="s">
        <v>24</v>
      </c>
      <c r="K323" t="s">
        <v>31</v>
      </c>
      <c r="L323">
        <v>119</v>
      </c>
      <c r="M323" t="str">
        <f t="shared" ref="M323:M386" si="10">IF(G323&lt;15,"Low",IF(G323&lt;35,"Medium","High"))</f>
        <v>Low</v>
      </c>
      <c r="N323" t="str">
        <f t="shared" ref="N323:N386" si="11">IF(H323&gt;=90,"Excellent",IF(H323&gt;=75,"Good","Average"))</f>
        <v>Excellent</v>
      </c>
    </row>
    <row r="324" spans="1:14">
      <c r="A324" t="s">
        <v>20</v>
      </c>
      <c r="B324">
        <v>2024</v>
      </c>
      <c r="C324" t="s">
        <v>844</v>
      </c>
      <c r="D324" t="s">
        <v>33</v>
      </c>
      <c r="E324" t="s">
        <v>845</v>
      </c>
      <c r="F324" t="s">
        <v>16</v>
      </c>
      <c r="G324">
        <v>15.42</v>
      </c>
      <c r="H324">
        <v>50</v>
      </c>
      <c r="I324" t="s">
        <v>23</v>
      </c>
      <c r="J324" t="s">
        <v>24</v>
      </c>
      <c r="K324" t="s">
        <v>846</v>
      </c>
      <c r="L324">
        <v>339</v>
      </c>
      <c r="M324" t="str">
        <f t="shared" si="10"/>
        <v>Medium</v>
      </c>
      <c r="N324" t="str">
        <f t="shared" si="11"/>
        <v>Average</v>
      </c>
    </row>
    <row r="325" spans="1:14">
      <c r="A325" t="s">
        <v>12</v>
      </c>
      <c r="B325">
        <v>2002</v>
      </c>
      <c r="C325" t="s">
        <v>847</v>
      </c>
      <c r="D325" t="s">
        <v>14</v>
      </c>
      <c r="E325" t="s">
        <v>848</v>
      </c>
      <c r="F325" t="s">
        <v>42</v>
      </c>
      <c r="G325">
        <v>49.33</v>
      </c>
      <c r="H325">
        <v>72</v>
      </c>
      <c r="I325" t="s">
        <v>36</v>
      </c>
      <c r="J325" t="s">
        <v>24</v>
      </c>
      <c r="K325" t="s">
        <v>401</v>
      </c>
      <c r="L325">
        <v>244</v>
      </c>
      <c r="M325" t="str">
        <f t="shared" si="10"/>
        <v>High</v>
      </c>
      <c r="N325" t="str">
        <f t="shared" si="11"/>
        <v>Average</v>
      </c>
    </row>
    <row r="326" spans="1:14">
      <c r="A326" t="s">
        <v>26</v>
      </c>
      <c r="B326">
        <v>2008</v>
      </c>
      <c r="C326" t="s">
        <v>849</v>
      </c>
      <c r="D326" t="s">
        <v>14</v>
      </c>
      <c r="E326" t="s">
        <v>850</v>
      </c>
      <c r="F326" t="s">
        <v>35</v>
      </c>
      <c r="G326">
        <v>18.54</v>
      </c>
      <c r="H326">
        <v>100</v>
      </c>
      <c r="I326" t="s">
        <v>23</v>
      </c>
      <c r="J326" t="s">
        <v>18</v>
      </c>
      <c r="K326" t="s">
        <v>39</v>
      </c>
      <c r="L326">
        <v>123</v>
      </c>
      <c r="M326" t="str">
        <f t="shared" si="10"/>
        <v>Medium</v>
      </c>
      <c r="N326" t="str">
        <f t="shared" si="11"/>
        <v>Excellent</v>
      </c>
    </row>
    <row r="327" spans="1:14">
      <c r="A327" t="s">
        <v>26</v>
      </c>
      <c r="B327">
        <v>2021</v>
      </c>
      <c r="C327" t="s">
        <v>851</v>
      </c>
      <c r="D327" t="s">
        <v>33</v>
      </c>
      <c r="E327" t="s">
        <v>852</v>
      </c>
      <c r="F327" t="s">
        <v>42</v>
      </c>
      <c r="G327">
        <v>38.17</v>
      </c>
      <c r="H327">
        <v>98</v>
      </c>
      <c r="I327" t="s">
        <v>23</v>
      </c>
      <c r="J327" t="s">
        <v>18</v>
      </c>
      <c r="K327" t="s">
        <v>853</v>
      </c>
      <c r="L327">
        <v>206</v>
      </c>
      <c r="M327" t="str">
        <f t="shared" si="10"/>
        <v>High</v>
      </c>
      <c r="N327" t="str">
        <f t="shared" si="11"/>
        <v>Excellent</v>
      </c>
    </row>
    <row r="328" spans="1:14">
      <c r="A328" t="s">
        <v>39</v>
      </c>
      <c r="B328">
        <v>2012</v>
      </c>
      <c r="C328" t="s">
        <v>854</v>
      </c>
      <c r="D328" t="s">
        <v>33</v>
      </c>
      <c r="E328" t="s">
        <v>855</v>
      </c>
      <c r="F328" t="s">
        <v>46</v>
      </c>
      <c r="G328">
        <v>19.579999999999998</v>
      </c>
      <c r="H328">
        <v>96</v>
      </c>
      <c r="I328" t="s">
        <v>36</v>
      </c>
      <c r="J328" t="s">
        <v>18</v>
      </c>
      <c r="K328" t="s">
        <v>856</v>
      </c>
      <c r="L328">
        <v>74</v>
      </c>
      <c r="M328" t="str">
        <f t="shared" si="10"/>
        <v>Medium</v>
      </c>
      <c r="N328" t="str">
        <f t="shared" si="11"/>
        <v>Excellent</v>
      </c>
    </row>
    <row r="329" spans="1:14">
      <c r="A329" t="s">
        <v>26</v>
      </c>
      <c r="B329">
        <v>2007</v>
      </c>
      <c r="C329" t="s">
        <v>857</v>
      </c>
      <c r="D329" t="s">
        <v>14</v>
      </c>
      <c r="E329" t="s">
        <v>858</v>
      </c>
      <c r="F329" t="s">
        <v>42</v>
      </c>
      <c r="G329">
        <v>17.86</v>
      </c>
      <c r="H329">
        <v>64</v>
      </c>
      <c r="I329" t="s">
        <v>23</v>
      </c>
      <c r="J329" t="s">
        <v>18</v>
      </c>
      <c r="K329" t="s">
        <v>20</v>
      </c>
      <c r="L329">
        <v>332</v>
      </c>
      <c r="M329" t="str">
        <f t="shared" si="10"/>
        <v>Medium</v>
      </c>
      <c r="N329" t="str">
        <f t="shared" si="11"/>
        <v>Average</v>
      </c>
    </row>
    <row r="330" spans="1:14">
      <c r="A330" t="s">
        <v>65</v>
      </c>
      <c r="B330">
        <v>2025</v>
      </c>
      <c r="C330" t="s">
        <v>859</v>
      </c>
      <c r="D330" t="s">
        <v>33</v>
      </c>
      <c r="E330" t="s">
        <v>860</v>
      </c>
      <c r="F330" t="s">
        <v>42</v>
      </c>
      <c r="G330">
        <v>47.87</v>
      </c>
      <c r="H330">
        <v>71</v>
      </c>
      <c r="I330" t="s">
        <v>23</v>
      </c>
      <c r="J330" t="s">
        <v>18</v>
      </c>
      <c r="K330" t="s">
        <v>26</v>
      </c>
      <c r="L330">
        <v>65</v>
      </c>
      <c r="M330" t="str">
        <f t="shared" si="10"/>
        <v>High</v>
      </c>
      <c r="N330" t="str">
        <f t="shared" si="11"/>
        <v>Average</v>
      </c>
    </row>
    <row r="331" spans="1:14">
      <c r="A331" t="s">
        <v>20</v>
      </c>
      <c r="B331">
        <v>2005</v>
      </c>
      <c r="C331" t="s">
        <v>861</v>
      </c>
      <c r="D331" t="s">
        <v>33</v>
      </c>
      <c r="E331" t="s">
        <v>862</v>
      </c>
      <c r="F331" t="s">
        <v>42</v>
      </c>
      <c r="G331">
        <v>35.76</v>
      </c>
      <c r="H331">
        <v>84</v>
      </c>
      <c r="I331" t="s">
        <v>29</v>
      </c>
      <c r="J331" t="s">
        <v>24</v>
      </c>
      <c r="K331" t="s">
        <v>48</v>
      </c>
      <c r="L331">
        <v>316</v>
      </c>
      <c r="M331" t="str">
        <f t="shared" si="10"/>
        <v>High</v>
      </c>
      <c r="N331" t="str">
        <f t="shared" si="11"/>
        <v>Good</v>
      </c>
    </row>
    <row r="332" spans="1:14">
      <c r="A332" t="s">
        <v>38</v>
      </c>
      <c r="B332">
        <v>2020</v>
      </c>
      <c r="C332" t="s">
        <v>863</v>
      </c>
      <c r="D332" t="s">
        <v>14</v>
      </c>
      <c r="E332" t="s">
        <v>864</v>
      </c>
      <c r="F332" t="s">
        <v>42</v>
      </c>
      <c r="G332">
        <v>38.57</v>
      </c>
      <c r="H332">
        <v>58</v>
      </c>
      <c r="I332" t="s">
        <v>29</v>
      </c>
      <c r="J332" t="s">
        <v>18</v>
      </c>
      <c r="K332" t="s">
        <v>20</v>
      </c>
      <c r="L332">
        <v>29</v>
      </c>
      <c r="M332" t="str">
        <f t="shared" si="10"/>
        <v>High</v>
      </c>
      <c r="N332" t="str">
        <f t="shared" si="11"/>
        <v>Average</v>
      </c>
    </row>
    <row r="333" spans="1:14">
      <c r="A333" t="s">
        <v>48</v>
      </c>
      <c r="B333">
        <v>2011</v>
      </c>
      <c r="C333" t="s">
        <v>865</v>
      </c>
      <c r="D333" t="s">
        <v>33</v>
      </c>
      <c r="E333" t="s">
        <v>866</v>
      </c>
      <c r="F333" t="s">
        <v>57</v>
      </c>
      <c r="G333">
        <v>34.909999999999997</v>
      </c>
      <c r="H333">
        <v>65</v>
      </c>
      <c r="I333" t="s">
        <v>29</v>
      </c>
      <c r="J333" t="s">
        <v>24</v>
      </c>
      <c r="K333" t="s">
        <v>867</v>
      </c>
      <c r="L333">
        <v>188</v>
      </c>
      <c r="M333" t="str">
        <f t="shared" si="10"/>
        <v>Medium</v>
      </c>
      <c r="N333" t="str">
        <f t="shared" si="11"/>
        <v>Average</v>
      </c>
    </row>
    <row r="334" spans="1:14">
      <c r="A334" t="s">
        <v>26</v>
      </c>
      <c r="B334">
        <v>2000</v>
      </c>
      <c r="C334" t="s">
        <v>868</v>
      </c>
      <c r="D334" t="s">
        <v>14</v>
      </c>
      <c r="E334" t="s">
        <v>869</v>
      </c>
      <c r="F334" t="s">
        <v>46</v>
      </c>
      <c r="G334">
        <v>9.26</v>
      </c>
      <c r="H334">
        <v>62</v>
      </c>
      <c r="I334" t="s">
        <v>17</v>
      </c>
      <c r="J334" t="s">
        <v>37</v>
      </c>
      <c r="K334" t="s">
        <v>26</v>
      </c>
      <c r="L334">
        <v>95</v>
      </c>
      <c r="M334" t="str">
        <f t="shared" si="10"/>
        <v>Low</v>
      </c>
      <c r="N334" t="str">
        <f t="shared" si="11"/>
        <v>Average</v>
      </c>
    </row>
    <row r="335" spans="1:14">
      <c r="A335" t="s">
        <v>68</v>
      </c>
      <c r="B335">
        <v>2023</v>
      </c>
      <c r="C335" t="s">
        <v>870</v>
      </c>
      <c r="D335" t="s">
        <v>14</v>
      </c>
      <c r="E335" t="s">
        <v>871</v>
      </c>
      <c r="F335" t="s">
        <v>46</v>
      </c>
      <c r="G335">
        <v>28.65</v>
      </c>
      <c r="H335">
        <v>60</v>
      </c>
      <c r="I335" t="s">
        <v>23</v>
      </c>
      <c r="J335" t="s">
        <v>18</v>
      </c>
      <c r="K335" t="s">
        <v>465</v>
      </c>
      <c r="L335">
        <v>37</v>
      </c>
      <c r="M335" t="str">
        <f t="shared" si="10"/>
        <v>Medium</v>
      </c>
      <c r="N335" t="str">
        <f t="shared" si="11"/>
        <v>Average</v>
      </c>
    </row>
    <row r="336" spans="1:14">
      <c r="A336" t="s">
        <v>31</v>
      </c>
      <c r="B336">
        <v>2022</v>
      </c>
      <c r="C336" t="s">
        <v>872</v>
      </c>
      <c r="D336" t="s">
        <v>33</v>
      </c>
      <c r="E336" t="s">
        <v>873</v>
      </c>
      <c r="F336" t="s">
        <v>35</v>
      </c>
      <c r="G336">
        <v>6.74</v>
      </c>
      <c r="H336">
        <v>67</v>
      </c>
      <c r="I336" t="s">
        <v>61</v>
      </c>
      <c r="J336" t="s">
        <v>24</v>
      </c>
      <c r="K336" t="s">
        <v>38</v>
      </c>
      <c r="L336">
        <v>237</v>
      </c>
      <c r="M336" t="str">
        <f t="shared" si="10"/>
        <v>Low</v>
      </c>
      <c r="N336" t="str">
        <f t="shared" si="11"/>
        <v>Average</v>
      </c>
    </row>
    <row r="337" spans="1:14">
      <c r="A337" t="s">
        <v>31</v>
      </c>
      <c r="B337">
        <v>2021</v>
      </c>
      <c r="C337" t="s">
        <v>874</v>
      </c>
      <c r="D337" t="s">
        <v>14</v>
      </c>
      <c r="E337" t="s">
        <v>875</v>
      </c>
      <c r="F337" t="s">
        <v>16</v>
      </c>
      <c r="G337">
        <v>11.66</v>
      </c>
      <c r="H337">
        <v>82</v>
      </c>
      <c r="I337" t="s">
        <v>36</v>
      </c>
      <c r="J337" t="s">
        <v>18</v>
      </c>
      <c r="K337" t="s">
        <v>876</v>
      </c>
      <c r="L337">
        <v>90</v>
      </c>
      <c r="M337" t="str">
        <f t="shared" si="10"/>
        <v>Low</v>
      </c>
      <c r="N337" t="str">
        <f t="shared" si="11"/>
        <v>Good</v>
      </c>
    </row>
    <row r="338" spans="1:14">
      <c r="A338" t="s">
        <v>26</v>
      </c>
      <c r="B338">
        <v>2003</v>
      </c>
      <c r="C338" t="s">
        <v>877</v>
      </c>
      <c r="D338" t="s">
        <v>14</v>
      </c>
      <c r="E338" t="s">
        <v>878</v>
      </c>
      <c r="F338" t="s">
        <v>16</v>
      </c>
      <c r="G338">
        <v>47.97</v>
      </c>
      <c r="H338">
        <v>95</v>
      </c>
      <c r="I338" t="s">
        <v>36</v>
      </c>
      <c r="J338" t="s">
        <v>24</v>
      </c>
      <c r="K338" t="s">
        <v>65</v>
      </c>
      <c r="L338">
        <v>53</v>
      </c>
      <c r="M338" t="str">
        <f t="shared" si="10"/>
        <v>High</v>
      </c>
      <c r="N338" t="str">
        <f t="shared" si="11"/>
        <v>Excellent</v>
      </c>
    </row>
    <row r="339" spans="1:14">
      <c r="A339" t="s">
        <v>65</v>
      </c>
      <c r="B339">
        <v>2019</v>
      </c>
      <c r="C339" t="s">
        <v>879</v>
      </c>
      <c r="D339" t="s">
        <v>14</v>
      </c>
      <c r="E339" t="s">
        <v>880</v>
      </c>
      <c r="F339" t="s">
        <v>16</v>
      </c>
      <c r="G339">
        <v>11.54</v>
      </c>
      <c r="H339">
        <v>52</v>
      </c>
      <c r="I339" t="s">
        <v>17</v>
      </c>
      <c r="J339" t="s">
        <v>24</v>
      </c>
      <c r="K339" t="s">
        <v>881</v>
      </c>
      <c r="L339">
        <v>307</v>
      </c>
      <c r="M339" t="str">
        <f t="shared" si="10"/>
        <v>Low</v>
      </c>
      <c r="N339" t="str">
        <f t="shared" si="11"/>
        <v>Average</v>
      </c>
    </row>
    <row r="340" spans="1:14">
      <c r="A340" t="s">
        <v>12</v>
      </c>
      <c r="B340">
        <v>2006</v>
      </c>
      <c r="C340" t="s">
        <v>882</v>
      </c>
      <c r="D340" t="s">
        <v>33</v>
      </c>
      <c r="E340" t="s">
        <v>883</v>
      </c>
      <c r="F340" t="s">
        <v>46</v>
      </c>
      <c r="G340">
        <v>14.54</v>
      </c>
      <c r="H340">
        <v>85</v>
      </c>
      <c r="I340" t="s">
        <v>23</v>
      </c>
      <c r="J340" t="s">
        <v>24</v>
      </c>
      <c r="K340" t="s">
        <v>26</v>
      </c>
      <c r="L340">
        <v>122</v>
      </c>
      <c r="M340" t="str">
        <f t="shared" si="10"/>
        <v>Low</v>
      </c>
      <c r="N340" t="str">
        <f t="shared" si="11"/>
        <v>Good</v>
      </c>
    </row>
    <row r="341" spans="1:14">
      <c r="A341" t="s">
        <v>26</v>
      </c>
      <c r="B341">
        <v>2014</v>
      </c>
      <c r="C341" t="s">
        <v>884</v>
      </c>
      <c r="D341" t="s">
        <v>14</v>
      </c>
      <c r="E341" t="s">
        <v>885</v>
      </c>
      <c r="F341" t="s">
        <v>57</v>
      </c>
      <c r="G341">
        <v>42.01</v>
      </c>
      <c r="H341">
        <v>76</v>
      </c>
      <c r="I341" t="s">
        <v>29</v>
      </c>
      <c r="J341" t="s">
        <v>37</v>
      </c>
      <c r="K341" t="s">
        <v>610</v>
      </c>
      <c r="L341">
        <v>252</v>
      </c>
      <c r="M341" t="str">
        <f t="shared" si="10"/>
        <v>High</v>
      </c>
      <c r="N341" t="str">
        <f t="shared" si="11"/>
        <v>Good</v>
      </c>
    </row>
    <row r="342" spans="1:14">
      <c r="A342" t="s">
        <v>39</v>
      </c>
      <c r="B342">
        <v>2017</v>
      </c>
      <c r="C342" t="s">
        <v>886</v>
      </c>
      <c r="D342" t="s">
        <v>33</v>
      </c>
      <c r="E342" t="s">
        <v>887</v>
      </c>
      <c r="F342" t="s">
        <v>46</v>
      </c>
      <c r="G342">
        <v>15.64</v>
      </c>
      <c r="H342">
        <v>54</v>
      </c>
      <c r="I342" t="s">
        <v>36</v>
      </c>
      <c r="J342" t="s">
        <v>37</v>
      </c>
      <c r="K342" t="s">
        <v>888</v>
      </c>
      <c r="L342">
        <v>98</v>
      </c>
      <c r="M342" t="str">
        <f t="shared" si="10"/>
        <v>Medium</v>
      </c>
      <c r="N342" t="str">
        <f t="shared" si="11"/>
        <v>Average</v>
      </c>
    </row>
    <row r="343" spans="1:14">
      <c r="A343" t="s">
        <v>38</v>
      </c>
      <c r="B343">
        <v>2021</v>
      </c>
      <c r="C343" t="s">
        <v>889</v>
      </c>
      <c r="D343" t="s">
        <v>14</v>
      </c>
      <c r="E343" t="s">
        <v>890</v>
      </c>
      <c r="F343" t="s">
        <v>35</v>
      </c>
      <c r="G343">
        <v>34.08</v>
      </c>
      <c r="H343">
        <v>79</v>
      </c>
      <c r="I343" t="s">
        <v>23</v>
      </c>
      <c r="J343" t="s">
        <v>18</v>
      </c>
      <c r="K343" t="s">
        <v>31</v>
      </c>
      <c r="L343">
        <v>331</v>
      </c>
      <c r="M343" t="str">
        <f t="shared" si="10"/>
        <v>Medium</v>
      </c>
      <c r="N343" t="str">
        <f t="shared" si="11"/>
        <v>Good</v>
      </c>
    </row>
    <row r="344" spans="1:14">
      <c r="A344" t="s">
        <v>38</v>
      </c>
      <c r="B344">
        <v>2004</v>
      </c>
      <c r="C344" t="s">
        <v>891</v>
      </c>
      <c r="D344" t="s">
        <v>14</v>
      </c>
      <c r="E344" t="s">
        <v>892</v>
      </c>
      <c r="F344" t="s">
        <v>57</v>
      </c>
      <c r="G344">
        <v>8.92</v>
      </c>
      <c r="H344">
        <v>51</v>
      </c>
      <c r="I344" t="s">
        <v>61</v>
      </c>
      <c r="J344" t="s">
        <v>24</v>
      </c>
      <c r="K344" t="s">
        <v>68</v>
      </c>
      <c r="L344">
        <v>243</v>
      </c>
      <c r="M344" t="str">
        <f t="shared" si="10"/>
        <v>Low</v>
      </c>
      <c r="N344" t="str">
        <f t="shared" si="11"/>
        <v>Average</v>
      </c>
    </row>
    <row r="345" spans="1:14">
      <c r="A345" t="s">
        <v>12</v>
      </c>
      <c r="B345">
        <v>2020</v>
      </c>
      <c r="C345" t="s">
        <v>893</v>
      </c>
      <c r="D345" t="s">
        <v>14</v>
      </c>
      <c r="E345" t="s">
        <v>894</v>
      </c>
      <c r="F345" t="s">
        <v>35</v>
      </c>
      <c r="G345">
        <v>6.64</v>
      </c>
      <c r="H345">
        <v>88</v>
      </c>
      <c r="I345" t="s">
        <v>23</v>
      </c>
      <c r="J345" t="s">
        <v>24</v>
      </c>
      <c r="K345" t="s">
        <v>895</v>
      </c>
      <c r="L345">
        <v>337</v>
      </c>
      <c r="M345" t="str">
        <f t="shared" si="10"/>
        <v>Low</v>
      </c>
      <c r="N345" t="str">
        <f t="shared" si="11"/>
        <v>Good</v>
      </c>
    </row>
    <row r="346" spans="1:14">
      <c r="A346" t="s">
        <v>12</v>
      </c>
      <c r="B346">
        <v>2020</v>
      </c>
      <c r="C346" t="s">
        <v>896</v>
      </c>
      <c r="D346" t="s">
        <v>14</v>
      </c>
      <c r="E346" t="s">
        <v>897</v>
      </c>
      <c r="F346" t="s">
        <v>46</v>
      </c>
      <c r="G346">
        <v>12.21</v>
      </c>
      <c r="H346">
        <v>58</v>
      </c>
      <c r="I346" t="s">
        <v>36</v>
      </c>
      <c r="J346" t="s">
        <v>18</v>
      </c>
      <c r="K346" t="s">
        <v>430</v>
      </c>
      <c r="L346">
        <v>129</v>
      </c>
      <c r="M346" t="str">
        <f t="shared" si="10"/>
        <v>Low</v>
      </c>
      <c r="N346" t="str">
        <f t="shared" si="11"/>
        <v>Average</v>
      </c>
    </row>
    <row r="347" spans="1:14">
      <c r="A347" t="s">
        <v>39</v>
      </c>
      <c r="B347">
        <v>2019</v>
      </c>
      <c r="C347" t="s">
        <v>898</v>
      </c>
      <c r="D347" t="s">
        <v>14</v>
      </c>
      <c r="E347" t="s">
        <v>899</v>
      </c>
      <c r="F347" t="s">
        <v>42</v>
      </c>
      <c r="G347">
        <v>30.52</v>
      </c>
      <c r="H347">
        <v>65</v>
      </c>
      <c r="I347" t="s">
        <v>36</v>
      </c>
      <c r="J347" t="s">
        <v>18</v>
      </c>
      <c r="K347" t="s">
        <v>38</v>
      </c>
      <c r="L347">
        <v>118</v>
      </c>
      <c r="M347" t="str">
        <f t="shared" si="10"/>
        <v>Medium</v>
      </c>
      <c r="N347" t="str">
        <f t="shared" si="11"/>
        <v>Average</v>
      </c>
    </row>
    <row r="348" spans="1:14">
      <c r="A348" t="s">
        <v>12</v>
      </c>
      <c r="B348">
        <v>2016</v>
      </c>
      <c r="C348" t="s">
        <v>900</v>
      </c>
      <c r="D348" t="s">
        <v>33</v>
      </c>
      <c r="E348" t="s">
        <v>901</v>
      </c>
      <c r="F348" t="s">
        <v>35</v>
      </c>
      <c r="G348">
        <v>21.93</v>
      </c>
      <c r="H348">
        <v>71</v>
      </c>
      <c r="I348" t="s">
        <v>61</v>
      </c>
      <c r="J348" t="s">
        <v>37</v>
      </c>
      <c r="K348" t="s">
        <v>902</v>
      </c>
      <c r="L348">
        <v>269</v>
      </c>
      <c r="M348" t="str">
        <f t="shared" si="10"/>
        <v>Medium</v>
      </c>
      <c r="N348" t="str">
        <f t="shared" si="11"/>
        <v>Average</v>
      </c>
    </row>
    <row r="349" spans="1:14">
      <c r="A349" t="s">
        <v>47</v>
      </c>
      <c r="B349">
        <v>2024</v>
      </c>
      <c r="C349" t="s">
        <v>903</v>
      </c>
      <c r="D349" t="s">
        <v>14</v>
      </c>
      <c r="E349" t="s">
        <v>904</v>
      </c>
      <c r="F349" t="s">
        <v>46</v>
      </c>
      <c r="G349">
        <v>26.8</v>
      </c>
      <c r="H349">
        <v>87</v>
      </c>
      <c r="I349" t="s">
        <v>29</v>
      </c>
      <c r="J349" t="s">
        <v>37</v>
      </c>
      <c r="K349" t="s">
        <v>286</v>
      </c>
      <c r="L349">
        <v>198</v>
      </c>
      <c r="M349" t="str">
        <f t="shared" si="10"/>
        <v>Medium</v>
      </c>
      <c r="N349" t="str">
        <f t="shared" si="11"/>
        <v>Good</v>
      </c>
    </row>
    <row r="350" spans="1:14">
      <c r="A350" t="s">
        <v>31</v>
      </c>
      <c r="B350">
        <v>2022</v>
      </c>
      <c r="C350" t="s">
        <v>905</v>
      </c>
      <c r="D350" t="s">
        <v>33</v>
      </c>
      <c r="E350" t="s">
        <v>906</v>
      </c>
      <c r="F350" t="s">
        <v>57</v>
      </c>
      <c r="G350">
        <v>34.29</v>
      </c>
      <c r="H350">
        <v>75</v>
      </c>
      <c r="I350" t="s">
        <v>36</v>
      </c>
      <c r="J350" t="s">
        <v>37</v>
      </c>
      <c r="K350" t="s">
        <v>31</v>
      </c>
      <c r="L350">
        <v>199</v>
      </c>
      <c r="M350" t="str">
        <f t="shared" si="10"/>
        <v>Medium</v>
      </c>
      <c r="N350" t="str">
        <f t="shared" si="11"/>
        <v>Good</v>
      </c>
    </row>
    <row r="351" spans="1:14">
      <c r="A351" t="s">
        <v>47</v>
      </c>
      <c r="B351">
        <v>2012</v>
      </c>
      <c r="C351" t="s">
        <v>907</v>
      </c>
      <c r="D351" t="s">
        <v>14</v>
      </c>
      <c r="E351" t="s">
        <v>908</v>
      </c>
      <c r="F351" t="s">
        <v>57</v>
      </c>
      <c r="G351">
        <v>31.11</v>
      </c>
      <c r="H351">
        <v>95</v>
      </c>
      <c r="I351" t="s">
        <v>17</v>
      </c>
      <c r="J351" t="s">
        <v>18</v>
      </c>
      <c r="K351" t="s">
        <v>909</v>
      </c>
      <c r="L351">
        <v>138</v>
      </c>
      <c r="M351" t="str">
        <f t="shared" si="10"/>
        <v>Medium</v>
      </c>
      <c r="N351" t="str">
        <f t="shared" si="11"/>
        <v>Excellent</v>
      </c>
    </row>
    <row r="352" spans="1:14">
      <c r="A352" t="s">
        <v>65</v>
      </c>
      <c r="B352">
        <v>2006</v>
      </c>
      <c r="C352" t="s">
        <v>910</v>
      </c>
      <c r="D352" t="s">
        <v>33</v>
      </c>
      <c r="E352" t="s">
        <v>911</v>
      </c>
      <c r="F352" t="s">
        <v>57</v>
      </c>
      <c r="G352">
        <v>25.88</v>
      </c>
      <c r="H352">
        <v>89</v>
      </c>
      <c r="I352" t="s">
        <v>17</v>
      </c>
      <c r="J352" t="s">
        <v>18</v>
      </c>
      <c r="K352" t="s">
        <v>912</v>
      </c>
      <c r="L352">
        <v>326</v>
      </c>
      <c r="M352" t="str">
        <f t="shared" si="10"/>
        <v>Medium</v>
      </c>
      <c r="N352" t="str">
        <f t="shared" si="11"/>
        <v>Good</v>
      </c>
    </row>
    <row r="353" spans="1:14">
      <c r="A353" t="s">
        <v>38</v>
      </c>
      <c r="B353">
        <v>2024</v>
      </c>
      <c r="C353" t="s">
        <v>913</v>
      </c>
      <c r="D353" t="s">
        <v>33</v>
      </c>
      <c r="E353" t="s">
        <v>914</v>
      </c>
      <c r="F353" t="s">
        <v>46</v>
      </c>
      <c r="G353">
        <v>36.97</v>
      </c>
      <c r="H353">
        <v>96</v>
      </c>
      <c r="I353" t="s">
        <v>61</v>
      </c>
      <c r="J353" t="s">
        <v>24</v>
      </c>
      <c r="K353" t="s">
        <v>915</v>
      </c>
      <c r="L353">
        <v>15</v>
      </c>
      <c r="M353" t="str">
        <f t="shared" si="10"/>
        <v>High</v>
      </c>
      <c r="N353" t="str">
        <f t="shared" si="11"/>
        <v>Excellent</v>
      </c>
    </row>
    <row r="354" spans="1:14">
      <c r="A354" t="s">
        <v>26</v>
      </c>
      <c r="B354">
        <v>2014</v>
      </c>
      <c r="C354" t="s">
        <v>916</v>
      </c>
      <c r="D354" t="s">
        <v>14</v>
      </c>
      <c r="E354" t="s">
        <v>917</v>
      </c>
      <c r="F354" t="s">
        <v>35</v>
      </c>
      <c r="G354">
        <v>40.67</v>
      </c>
      <c r="H354">
        <v>55</v>
      </c>
      <c r="I354" t="s">
        <v>17</v>
      </c>
      <c r="J354" t="s">
        <v>37</v>
      </c>
      <c r="K354" t="s">
        <v>184</v>
      </c>
      <c r="L354">
        <v>247</v>
      </c>
      <c r="M354" t="str">
        <f t="shared" si="10"/>
        <v>High</v>
      </c>
      <c r="N354" t="str">
        <f t="shared" si="11"/>
        <v>Average</v>
      </c>
    </row>
    <row r="355" spans="1:14">
      <c r="A355" t="s">
        <v>38</v>
      </c>
      <c r="B355">
        <v>2002</v>
      </c>
      <c r="C355" t="s">
        <v>918</v>
      </c>
      <c r="D355" t="s">
        <v>14</v>
      </c>
      <c r="E355" t="s">
        <v>919</v>
      </c>
      <c r="F355" t="s">
        <v>57</v>
      </c>
      <c r="G355">
        <v>5.3</v>
      </c>
      <c r="H355">
        <v>52</v>
      </c>
      <c r="I355" t="s">
        <v>61</v>
      </c>
      <c r="J355" t="s">
        <v>18</v>
      </c>
      <c r="K355" t="s">
        <v>20</v>
      </c>
      <c r="L355">
        <v>165</v>
      </c>
      <c r="M355" t="str">
        <f t="shared" si="10"/>
        <v>Low</v>
      </c>
      <c r="N355" t="str">
        <f t="shared" si="11"/>
        <v>Average</v>
      </c>
    </row>
    <row r="356" spans="1:14">
      <c r="A356" t="s">
        <v>26</v>
      </c>
      <c r="B356">
        <v>2023</v>
      </c>
      <c r="C356" t="s">
        <v>920</v>
      </c>
      <c r="D356" t="s">
        <v>14</v>
      </c>
      <c r="E356" t="s">
        <v>921</v>
      </c>
      <c r="F356" t="s">
        <v>46</v>
      </c>
      <c r="G356">
        <v>18.25</v>
      </c>
      <c r="H356">
        <v>54</v>
      </c>
      <c r="I356" t="s">
        <v>17</v>
      </c>
      <c r="J356" t="s">
        <v>24</v>
      </c>
      <c r="K356" t="s">
        <v>457</v>
      </c>
      <c r="L356">
        <v>272</v>
      </c>
      <c r="M356" t="str">
        <f t="shared" si="10"/>
        <v>Medium</v>
      </c>
      <c r="N356" t="str">
        <f t="shared" si="11"/>
        <v>Average</v>
      </c>
    </row>
    <row r="357" spans="1:14">
      <c r="A357" t="s">
        <v>20</v>
      </c>
      <c r="B357">
        <v>2020</v>
      </c>
      <c r="C357" t="s">
        <v>922</v>
      </c>
      <c r="D357" t="s">
        <v>14</v>
      </c>
      <c r="E357" t="s">
        <v>923</v>
      </c>
      <c r="F357" t="s">
        <v>42</v>
      </c>
      <c r="G357">
        <v>19.23</v>
      </c>
      <c r="H357">
        <v>81</v>
      </c>
      <c r="I357" t="s">
        <v>23</v>
      </c>
      <c r="J357" t="s">
        <v>37</v>
      </c>
      <c r="K357" t="s">
        <v>129</v>
      </c>
      <c r="L357">
        <v>285</v>
      </c>
      <c r="M357" t="str">
        <f t="shared" si="10"/>
        <v>Medium</v>
      </c>
      <c r="N357" t="str">
        <f t="shared" si="11"/>
        <v>Good</v>
      </c>
    </row>
    <row r="358" spans="1:14">
      <c r="A358" t="s">
        <v>20</v>
      </c>
      <c r="B358">
        <v>2016</v>
      </c>
      <c r="C358" t="s">
        <v>924</v>
      </c>
      <c r="D358" t="s">
        <v>14</v>
      </c>
      <c r="E358" t="s">
        <v>925</v>
      </c>
      <c r="F358" t="s">
        <v>57</v>
      </c>
      <c r="G358">
        <v>9.32</v>
      </c>
      <c r="H358">
        <v>92</v>
      </c>
      <c r="I358" t="s">
        <v>36</v>
      </c>
      <c r="J358" t="s">
        <v>18</v>
      </c>
      <c r="K358" t="s">
        <v>926</v>
      </c>
      <c r="L358">
        <v>345</v>
      </c>
      <c r="M358" t="str">
        <f t="shared" si="10"/>
        <v>Low</v>
      </c>
      <c r="N358" t="str">
        <f t="shared" si="11"/>
        <v>Excellent</v>
      </c>
    </row>
    <row r="359" spans="1:14">
      <c r="A359" t="s">
        <v>65</v>
      </c>
      <c r="B359">
        <v>2006</v>
      </c>
      <c r="C359" t="s">
        <v>927</v>
      </c>
      <c r="D359" t="s">
        <v>14</v>
      </c>
      <c r="E359" t="s">
        <v>928</v>
      </c>
      <c r="F359" t="s">
        <v>35</v>
      </c>
      <c r="G359">
        <v>34.700000000000003</v>
      </c>
      <c r="H359">
        <v>67</v>
      </c>
      <c r="I359" t="s">
        <v>61</v>
      </c>
      <c r="J359" t="s">
        <v>18</v>
      </c>
      <c r="K359" t="s">
        <v>25</v>
      </c>
      <c r="L359">
        <v>208</v>
      </c>
      <c r="M359" t="str">
        <f t="shared" si="10"/>
        <v>Medium</v>
      </c>
      <c r="N359" t="str">
        <f t="shared" si="11"/>
        <v>Average</v>
      </c>
    </row>
    <row r="360" spans="1:14">
      <c r="A360" t="s">
        <v>39</v>
      </c>
      <c r="B360">
        <v>2014</v>
      </c>
      <c r="C360" t="s">
        <v>929</v>
      </c>
      <c r="D360" t="s">
        <v>33</v>
      </c>
      <c r="E360" t="s">
        <v>930</v>
      </c>
      <c r="F360" t="s">
        <v>46</v>
      </c>
      <c r="G360">
        <v>19.84</v>
      </c>
      <c r="H360">
        <v>50</v>
      </c>
      <c r="I360" t="s">
        <v>36</v>
      </c>
      <c r="J360" t="s">
        <v>24</v>
      </c>
      <c r="K360" t="s">
        <v>931</v>
      </c>
      <c r="L360">
        <v>20</v>
      </c>
      <c r="M360" t="str">
        <f t="shared" si="10"/>
        <v>Medium</v>
      </c>
      <c r="N360" t="str">
        <f t="shared" si="11"/>
        <v>Average</v>
      </c>
    </row>
    <row r="361" spans="1:14">
      <c r="A361" t="s">
        <v>38</v>
      </c>
      <c r="B361">
        <v>2020</v>
      </c>
      <c r="C361" t="s">
        <v>932</v>
      </c>
      <c r="D361" t="s">
        <v>14</v>
      </c>
      <c r="E361" t="s">
        <v>933</v>
      </c>
      <c r="F361" t="s">
        <v>46</v>
      </c>
      <c r="G361">
        <v>28.13</v>
      </c>
      <c r="H361">
        <v>73</v>
      </c>
      <c r="I361" t="s">
        <v>36</v>
      </c>
      <c r="J361" t="s">
        <v>18</v>
      </c>
      <c r="K361" t="s">
        <v>465</v>
      </c>
      <c r="L361">
        <v>342</v>
      </c>
      <c r="M361" t="str">
        <f t="shared" si="10"/>
        <v>Medium</v>
      </c>
      <c r="N361" t="str">
        <f t="shared" si="11"/>
        <v>Average</v>
      </c>
    </row>
    <row r="362" spans="1:14">
      <c r="A362" t="s">
        <v>39</v>
      </c>
      <c r="B362">
        <v>2009</v>
      </c>
      <c r="C362" t="s">
        <v>934</v>
      </c>
      <c r="D362" t="s">
        <v>14</v>
      </c>
      <c r="E362" t="s">
        <v>935</v>
      </c>
      <c r="F362" t="s">
        <v>57</v>
      </c>
      <c r="G362">
        <v>31.55</v>
      </c>
      <c r="H362">
        <v>74</v>
      </c>
      <c r="I362" t="s">
        <v>61</v>
      </c>
      <c r="J362" t="s">
        <v>37</v>
      </c>
      <c r="K362" t="s">
        <v>220</v>
      </c>
      <c r="L362">
        <v>63</v>
      </c>
      <c r="M362" t="str">
        <f t="shared" si="10"/>
        <v>Medium</v>
      </c>
      <c r="N362" t="str">
        <f t="shared" si="11"/>
        <v>Average</v>
      </c>
    </row>
    <row r="363" spans="1:14">
      <c r="A363" t="s">
        <v>26</v>
      </c>
      <c r="B363">
        <v>2016</v>
      </c>
      <c r="C363" t="s">
        <v>936</v>
      </c>
      <c r="D363" t="s">
        <v>14</v>
      </c>
      <c r="E363" t="s">
        <v>937</v>
      </c>
      <c r="F363" t="s">
        <v>57</v>
      </c>
      <c r="G363">
        <v>25</v>
      </c>
      <c r="H363">
        <v>56</v>
      </c>
      <c r="I363" t="s">
        <v>36</v>
      </c>
      <c r="J363" t="s">
        <v>24</v>
      </c>
      <c r="K363" t="s">
        <v>235</v>
      </c>
      <c r="L363">
        <v>147</v>
      </c>
      <c r="M363" t="str">
        <f t="shared" si="10"/>
        <v>Medium</v>
      </c>
      <c r="N363" t="str">
        <f t="shared" si="11"/>
        <v>Average</v>
      </c>
    </row>
    <row r="364" spans="1:14">
      <c r="A364" t="s">
        <v>26</v>
      </c>
      <c r="B364">
        <v>2009</v>
      </c>
      <c r="C364" t="s">
        <v>938</v>
      </c>
      <c r="D364" t="s">
        <v>33</v>
      </c>
      <c r="E364" t="s">
        <v>939</v>
      </c>
      <c r="F364" t="s">
        <v>42</v>
      </c>
      <c r="G364">
        <v>34.49</v>
      </c>
      <c r="H364">
        <v>63</v>
      </c>
      <c r="I364" t="s">
        <v>29</v>
      </c>
      <c r="J364" t="s">
        <v>37</v>
      </c>
      <c r="K364" t="s">
        <v>320</v>
      </c>
      <c r="L364">
        <v>239</v>
      </c>
      <c r="M364" t="str">
        <f t="shared" si="10"/>
        <v>Medium</v>
      </c>
      <c r="N364" t="str">
        <f t="shared" si="11"/>
        <v>Average</v>
      </c>
    </row>
    <row r="365" spans="1:14">
      <c r="A365" t="s">
        <v>38</v>
      </c>
      <c r="B365">
        <v>2018</v>
      </c>
      <c r="C365" t="s">
        <v>940</v>
      </c>
      <c r="D365" t="s">
        <v>14</v>
      </c>
      <c r="E365" t="s">
        <v>941</v>
      </c>
      <c r="F365" t="s">
        <v>42</v>
      </c>
      <c r="G365">
        <v>16.23</v>
      </c>
      <c r="H365">
        <v>82</v>
      </c>
      <c r="I365" t="s">
        <v>61</v>
      </c>
      <c r="J365" t="s">
        <v>24</v>
      </c>
      <c r="K365" t="s">
        <v>942</v>
      </c>
      <c r="L365">
        <v>41</v>
      </c>
      <c r="M365" t="str">
        <f t="shared" si="10"/>
        <v>Medium</v>
      </c>
      <c r="N365" t="str">
        <f t="shared" si="11"/>
        <v>Good</v>
      </c>
    </row>
    <row r="366" spans="1:14">
      <c r="A366" t="s">
        <v>48</v>
      </c>
      <c r="B366">
        <v>2023</v>
      </c>
      <c r="C366" t="s">
        <v>943</v>
      </c>
      <c r="D366" t="s">
        <v>14</v>
      </c>
      <c r="E366" t="s">
        <v>944</v>
      </c>
      <c r="F366" t="s">
        <v>57</v>
      </c>
      <c r="G366">
        <v>23.24</v>
      </c>
      <c r="H366">
        <v>100</v>
      </c>
      <c r="I366" t="s">
        <v>29</v>
      </c>
      <c r="J366" t="s">
        <v>37</v>
      </c>
      <c r="K366" t="s">
        <v>97</v>
      </c>
      <c r="L366">
        <v>62</v>
      </c>
      <c r="M366" t="str">
        <f t="shared" si="10"/>
        <v>Medium</v>
      </c>
      <c r="N366" t="str">
        <f t="shared" si="11"/>
        <v>Excellent</v>
      </c>
    </row>
    <row r="367" spans="1:14">
      <c r="A367" t="s">
        <v>68</v>
      </c>
      <c r="B367">
        <v>2012</v>
      </c>
      <c r="C367" t="s">
        <v>945</v>
      </c>
      <c r="D367" t="s">
        <v>33</v>
      </c>
      <c r="E367" t="s">
        <v>946</v>
      </c>
      <c r="F367" t="s">
        <v>42</v>
      </c>
      <c r="G367">
        <v>2.37</v>
      </c>
      <c r="H367">
        <v>94</v>
      </c>
      <c r="I367" t="s">
        <v>61</v>
      </c>
      <c r="J367" t="s">
        <v>37</v>
      </c>
      <c r="K367" t="s">
        <v>173</v>
      </c>
      <c r="L367">
        <v>356</v>
      </c>
      <c r="M367" t="str">
        <f t="shared" si="10"/>
        <v>Low</v>
      </c>
      <c r="N367" t="str">
        <f t="shared" si="11"/>
        <v>Excellent</v>
      </c>
    </row>
    <row r="368" spans="1:14">
      <c r="A368" t="s">
        <v>20</v>
      </c>
      <c r="B368">
        <v>2007</v>
      </c>
      <c r="C368" t="s">
        <v>947</v>
      </c>
      <c r="D368" t="s">
        <v>33</v>
      </c>
      <c r="E368" t="s">
        <v>948</v>
      </c>
      <c r="F368" t="s">
        <v>16</v>
      </c>
      <c r="G368">
        <v>7.52</v>
      </c>
      <c r="H368">
        <v>95</v>
      </c>
      <c r="I368" t="s">
        <v>17</v>
      </c>
      <c r="J368" t="s">
        <v>24</v>
      </c>
      <c r="K368" t="s">
        <v>949</v>
      </c>
      <c r="L368">
        <v>328</v>
      </c>
      <c r="M368" t="str">
        <f t="shared" si="10"/>
        <v>Low</v>
      </c>
      <c r="N368" t="str">
        <f t="shared" si="11"/>
        <v>Excellent</v>
      </c>
    </row>
    <row r="369" spans="1:14">
      <c r="A369" t="s">
        <v>31</v>
      </c>
      <c r="B369">
        <v>2025</v>
      </c>
      <c r="C369" t="s">
        <v>950</v>
      </c>
      <c r="D369" t="s">
        <v>33</v>
      </c>
      <c r="E369" t="s">
        <v>951</v>
      </c>
      <c r="F369" t="s">
        <v>57</v>
      </c>
      <c r="G369">
        <v>12.43</v>
      </c>
      <c r="H369">
        <v>62</v>
      </c>
      <c r="I369" t="s">
        <v>23</v>
      </c>
      <c r="J369" t="s">
        <v>18</v>
      </c>
      <c r="K369" t="s">
        <v>123</v>
      </c>
      <c r="L369">
        <v>312</v>
      </c>
      <c r="M369" t="str">
        <f t="shared" si="10"/>
        <v>Low</v>
      </c>
      <c r="N369" t="str">
        <f t="shared" si="11"/>
        <v>Average</v>
      </c>
    </row>
    <row r="370" spans="1:14">
      <c r="A370" t="s">
        <v>12</v>
      </c>
      <c r="B370">
        <v>2004</v>
      </c>
      <c r="C370" t="s">
        <v>952</v>
      </c>
      <c r="D370" t="s">
        <v>33</v>
      </c>
      <c r="E370" t="s">
        <v>953</v>
      </c>
      <c r="F370" t="s">
        <v>16</v>
      </c>
      <c r="G370">
        <v>43.02</v>
      </c>
      <c r="H370">
        <v>66</v>
      </c>
      <c r="I370" t="s">
        <v>17</v>
      </c>
      <c r="J370" t="s">
        <v>37</v>
      </c>
      <c r="K370" t="s">
        <v>853</v>
      </c>
      <c r="L370">
        <v>132</v>
      </c>
      <c r="M370" t="str">
        <f t="shared" si="10"/>
        <v>High</v>
      </c>
      <c r="N370" t="str">
        <f t="shared" si="11"/>
        <v>Average</v>
      </c>
    </row>
    <row r="371" spans="1:14">
      <c r="A371" t="s">
        <v>39</v>
      </c>
      <c r="B371">
        <v>2018</v>
      </c>
      <c r="C371" t="s">
        <v>954</v>
      </c>
      <c r="D371" t="s">
        <v>33</v>
      </c>
      <c r="E371" t="s">
        <v>955</v>
      </c>
      <c r="F371" t="s">
        <v>46</v>
      </c>
      <c r="G371">
        <v>30.72</v>
      </c>
      <c r="H371">
        <v>90</v>
      </c>
      <c r="I371" t="s">
        <v>29</v>
      </c>
      <c r="J371" t="s">
        <v>18</v>
      </c>
      <c r="K371" t="s">
        <v>956</v>
      </c>
      <c r="L371">
        <v>255</v>
      </c>
      <c r="M371" t="str">
        <f t="shared" si="10"/>
        <v>Medium</v>
      </c>
      <c r="N371" t="str">
        <f t="shared" si="11"/>
        <v>Excellent</v>
      </c>
    </row>
    <row r="372" spans="1:14">
      <c r="A372" t="s">
        <v>48</v>
      </c>
      <c r="B372">
        <v>2000</v>
      </c>
      <c r="C372" t="s">
        <v>957</v>
      </c>
      <c r="D372" t="s">
        <v>33</v>
      </c>
      <c r="E372" t="s">
        <v>958</v>
      </c>
      <c r="F372" t="s">
        <v>57</v>
      </c>
      <c r="G372">
        <v>19.670000000000002</v>
      </c>
      <c r="H372">
        <v>76</v>
      </c>
      <c r="I372" t="s">
        <v>29</v>
      </c>
      <c r="J372" t="s">
        <v>18</v>
      </c>
      <c r="K372" t="s">
        <v>959</v>
      </c>
      <c r="L372">
        <v>37</v>
      </c>
      <c r="M372" t="str">
        <f t="shared" si="10"/>
        <v>Medium</v>
      </c>
      <c r="N372" t="str">
        <f t="shared" si="11"/>
        <v>Good</v>
      </c>
    </row>
    <row r="373" spans="1:14">
      <c r="A373" t="s">
        <v>39</v>
      </c>
      <c r="B373">
        <v>2003</v>
      </c>
      <c r="C373" t="s">
        <v>960</v>
      </c>
      <c r="D373" t="s">
        <v>33</v>
      </c>
      <c r="E373" t="s">
        <v>961</v>
      </c>
      <c r="F373" t="s">
        <v>57</v>
      </c>
      <c r="G373">
        <v>47.59</v>
      </c>
      <c r="H373">
        <v>99</v>
      </c>
      <c r="I373" t="s">
        <v>17</v>
      </c>
      <c r="J373" t="s">
        <v>24</v>
      </c>
      <c r="K373" t="s">
        <v>48</v>
      </c>
      <c r="L373">
        <v>31</v>
      </c>
      <c r="M373" t="str">
        <f t="shared" si="10"/>
        <v>High</v>
      </c>
      <c r="N373" t="str">
        <f t="shared" si="11"/>
        <v>Excellent</v>
      </c>
    </row>
    <row r="374" spans="1:14">
      <c r="A374" t="s">
        <v>68</v>
      </c>
      <c r="B374">
        <v>2008</v>
      </c>
      <c r="C374" t="s">
        <v>962</v>
      </c>
      <c r="D374" t="s">
        <v>33</v>
      </c>
      <c r="E374" t="s">
        <v>963</v>
      </c>
      <c r="F374" t="s">
        <v>16</v>
      </c>
      <c r="G374">
        <v>40.450000000000003</v>
      </c>
      <c r="H374">
        <v>66</v>
      </c>
      <c r="I374" t="s">
        <v>61</v>
      </c>
      <c r="J374" t="s">
        <v>37</v>
      </c>
      <c r="K374" t="s">
        <v>964</v>
      </c>
      <c r="L374">
        <v>34</v>
      </c>
      <c r="M374" t="str">
        <f t="shared" si="10"/>
        <v>High</v>
      </c>
      <c r="N374" t="str">
        <f t="shared" si="11"/>
        <v>Average</v>
      </c>
    </row>
    <row r="375" spans="1:14">
      <c r="A375" t="s">
        <v>12</v>
      </c>
      <c r="B375">
        <v>2017</v>
      </c>
      <c r="C375" t="s">
        <v>965</v>
      </c>
      <c r="D375" t="s">
        <v>33</v>
      </c>
      <c r="E375" t="s">
        <v>966</v>
      </c>
      <c r="F375" t="s">
        <v>42</v>
      </c>
      <c r="G375">
        <v>33.25</v>
      </c>
      <c r="H375">
        <v>62</v>
      </c>
      <c r="I375" t="s">
        <v>29</v>
      </c>
      <c r="J375" t="s">
        <v>37</v>
      </c>
      <c r="K375" t="s">
        <v>31</v>
      </c>
      <c r="L375">
        <v>296</v>
      </c>
      <c r="M375" t="str">
        <f t="shared" si="10"/>
        <v>Medium</v>
      </c>
      <c r="N375" t="str">
        <f t="shared" si="11"/>
        <v>Average</v>
      </c>
    </row>
    <row r="376" spans="1:14">
      <c r="A376" t="s">
        <v>31</v>
      </c>
      <c r="B376">
        <v>2016</v>
      </c>
      <c r="C376" t="s">
        <v>967</v>
      </c>
      <c r="D376" t="s">
        <v>14</v>
      </c>
      <c r="E376" t="s">
        <v>968</v>
      </c>
      <c r="F376" t="s">
        <v>42</v>
      </c>
      <c r="G376">
        <v>9.7100000000000009</v>
      </c>
      <c r="H376">
        <v>78</v>
      </c>
      <c r="I376" t="s">
        <v>36</v>
      </c>
      <c r="J376" t="s">
        <v>24</v>
      </c>
      <c r="K376" t="s">
        <v>47</v>
      </c>
      <c r="L376">
        <v>166</v>
      </c>
      <c r="M376" t="str">
        <f t="shared" si="10"/>
        <v>Low</v>
      </c>
      <c r="N376" t="str">
        <f t="shared" si="11"/>
        <v>Good</v>
      </c>
    </row>
    <row r="377" spans="1:14">
      <c r="A377" t="s">
        <v>26</v>
      </c>
      <c r="B377">
        <v>2015</v>
      </c>
      <c r="C377" t="s">
        <v>969</v>
      </c>
      <c r="D377" t="s">
        <v>33</v>
      </c>
      <c r="E377" t="s">
        <v>970</v>
      </c>
      <c r="F377" t="s">
        <v>57</v>
      </c>
      <c r="G377">
        <v>4.3600000000000003</v>
      </c>
      <c r="H377">
        <v>68</v>
      </c>
      <c r="I377" t="s">
        <v>29</v>
      </c>
      <c r="J377" t="s">
        <v>18</v>
      </c>
      <c r="K377" t="s">
        <v>457</v>
      </c>
      <c r="L377">
        <v>147</v>
      </c>
      <c r="M377" t="str">
        <f t="shared" si="10"/>
        <v>Low</v>
      </c>
      <c r="N377" t="str">
        <f t="shared" si="11"/>
        <v>Average</v>
      </c>
    </row>
    <row r="378" spans="1:14">
      <c r="A378" t="s">
        <v>68</v>
      </c>
      <c r="B378">
        <v>2020</v>
      </c>
      <c r="C378" t="s">
        <v>971</v>
      </c>
      <c r="D378" t="s">
        <v>14</v>
      </c>
      <c r="E378" t="s">
        <v>972</v>
      </c>
      <c r="F378" t="s">
        <v>35</v>
      </c>
      <c r="G378">
        <v>45.52</v>
      </c>
      <c r="H378">
        <v>60</v>
      </c>
      <c r="I378" t="s">
        <v>36</v>
      </c>
      <c r="J378" t="s">
        <v>24</v>
      </c>
      <c r="K378" t="s">
        <v>973</v>
      </c>
      <c r="L378">
        <v>294</v>
      </c>
      <c r="M378" t="str">
        <f t="shared" si="10"/>
        <v>High</v>
      </c>
      <c r="N378" t="str">
        <f t="shared" si="11"/>
        <v>Average</v>
      </c>
    </row>
    <row r="379" spans="1:14">
      <c r="A379" t="s">
        <v>38</v>
      </c>
      <c r="B379">
        <v>2007</v>
      </c>
      <c r="C379" t="s">
        <v>974</v>
      </c>
      <c r="D379" t="s">
        <v>33</v>
      </c>
      <c r="E379" t="s">
        <v>975</v>
      </c>
      <c r="F379" t="s">
        <v>57</v>
      </c>
      <c r="G379">
        <v>28.89</v>
      </c>
      <c r="H379">
        <v>73</v>
      </c>
      <c r="I379" t="s">
        <v>17</v>
      </c>
      <c r="J379" t="s">
        <v>37</v>
      </c>
      <c r="K379" t="s">
        <v>39</v>
      </c>
      <c r="L379">
        <v>271</v>
      </c>
      <c r="M379" t="str">
        <f t="shared" si="10"/>
        <v>Medium</v>
      </c>
      <c r="N379" t="str">
        <f t="shared" si="11"/>
        <v>Average</v>
      </c>
    </row>
    <row r="380" spans="1:14">
      <c r="A380" t="s">
        <v>12</v>
      </c>
      <c r="B380">
        <v>2017</v>
      </c>
      <c r="C380" t="s">
        <v>976</v>
      </c>
      <c r="D380" t="s">
        <v>14</v>
      </c>
      <c r="E380" t="s">
        <v>977</v>
      </c>
      <c r="F380" t="s">
        <v>35</v>
      </c>
      <c r="G380">
        <v>14.64</v>
      </c>
      <c r="H380">
        <v>63</v>
      </c>
      <c r="I380" t="s">
        <v>23</v>
      </c>
      <c r="J380" t="s">
        <v>18</v>
      </c>
      <c r="K380" t="s">
        <v>25</v>
      </c>
      <c r="L380">
        <v>363</v>
      </c>
      <c r="M380" t="str">
        <f t="shared" si="10"/>
        <v>Low</v>
      </c>
      <c r="N380" t="str">
        <f t="shared" si="11"/>
        <v>Average</v>
      </c>
    </row>
    <row r="381" spans="1:14">
      <c r="A381" t="s">
        <v>68</v>
      </c>
      <c r="B381">
        <v>2012</v>
      </c>
      <c r="C381" t="s">
        <v>978</v>
      </c>
      <c r="D381" t="s">
        <v>14</v>
      </c>
      <c r="E381" t="s">
        <v>979</v>
      </c>
      <c r="F381" t="s">
        <v>57</v>
      </c>
      <c r="G381">
        <v>22.75</v>
      </c>
      <c r="H381">
        <v>75</v>
      </c>
      <c r="I381" t="s">
        <v>17</v>
      </c>
      <c r="J381" t="s">
        <v>37</v>
      </c>
      <c r="K381" t="s">
        <v>20</v>
      </c>
      <c r="L381">
        <v>63</v>
      </c>
      <c r="M381" t="str">
        <f t="shared" si="10"/>
        <v>Medium</v>
      </c>
      <c r="N381" t="str">
        <f t="shared" si="11"/>
        <v>Good</v>
      </c>
    </row>
    <row r="382" spans="1:14">
      <c r="A382" t="s">
        <v>47</v>
      </c>
      <c r="B382">
        <v>2024</v>
      </c>
      <c r="C382" t="s">
        <v>980</v>
      </c>
      <c r="D382" t="s">
        <v>33</v>
      </c>
      <c r="E382" t="s">
        <v>981</v>
      </c>
      <c r="F382" t="s">
        <v>35</v>
      </c>
      <c r="G382">
        <v>29.09</v>
      </c>
      <c r="H382">
        <v>97</v>
      </c>
      <c r="I382" t="s">
        <v>36</v>
      </c>
      <c r="J382" t="s">
        <v>37</v>
      </c>
      <c r="K382" t="s">
        <v>982</v>
      </c>
      <c r="L382">
        <v>125</v>
      </c>
      <c r="M382" t="str">
        <f t="shared" si="10"/>
        <v>Medium</v>
      </c>
      <c r="N382" t="str">
        <f t="shared" si="11"/>
        <v>Excellent</v>
      </c>
    </row>
    <row r="383" spans="1:14">
      <c r="A383" t="s">
        <v>38</v>
      </c>
      <c r="B383">
        <v>2003</v>
      </c>
      <c r="C383" t="s">
        <v>983</v>
      </c>
      <c r="D383" t="s">
        <v>14</v>
      </c>
      <c r="E383" t="s">
        <v>813</v>
      </c>
      <c r="F383" t="s">
        <v>46</v>
      </c>
      <c r="G383">
        <v>16.2</v>
      </c>
      <c r="H383">
        <v>73</v>
      </c>
      <c r="I383" t="s">
        <v>36</v>
      </c>
      <c r="J383" t="s">
        <v>18</v>
      </c>
      <c r="K383" t="s">
        <v>65</v>
      </c>
      <c r="L383">
        <v>299</v>
      </c>
      <c r="M383" t="str">
        <f t="shared" si="10"/>
        <v>Medium</v>
      </c>
      <c r="N383" t="str">
        <f t="shared" si="11"/>
        <v>Average</v>
      </c>
    </row>
    <row r="384" spans="1:14">
      <c r="A384" t="s">
        <v>38</v>
      </c>
      <c r="B384">
        <v>2016</v>
      </c>
      <c r="C384" t="s">
        <v>984</v>
      </c>
      <c r="D384" t="s">
        <v>14</v>
      </c>
      <c r="E384" t="s">
        <v>985</v>
      </c>
      <c r="F384" t="s">
        <v>46</v>
      </c>
      <c r="G384">
        <v>22.66</v>
      </c>
      <c r="H384">
        <v>52</v>
      </c>
      <c r="I384" t="s">
        <v>36</v>
      </c>
      <c r="J384" t="s">
        <v>24</v>
      </c>
      <c r="K384" t="s">
        <v>986</v>
      </c>
      <c r="L384">
        <v>141</v>
      </c>
      <c r="M384" t="str">
        <f t="shared" si="10"/>
        <v>Medium</v>
      </c>
      <c r="N384" t="str">
        <f t="shared" si="11"/>
        <v>Average</v>
      </c>
    </row>
    <row r="385" spans="1:14">
      <c r="A385" t="s">
        <v>47</v>
      </c>
      <c r="B385">
        <v>2001</v>
      </c>
      <c r="C385" t="s">
        <v>987</v>
      </c>
      <c r="D385" t="s">
        <v>14</v>
      </c>
      <c r="E385" t="s">
        <v>988</v>
      </c>
      <c r="F385" t="s">
        <v>42</v>
      </c>
      <c r="G385">
        <v>27.89</v>
      </c>
      <c r="H385">
        <v>95</v>
      </c>
      <c r="I385" t="s">
        <v>17</v>
      </c>
      <c r="J385" t="s">
        <v>37</v>
      </c>
      <c r="K385" t="s">
        <v>65</v>
      </c>
      <c r="L385">
        <v>153</v>
      </c>
      <c r="M385" t="str">
        <f t="shared" si="10"/>
        <v>Medium</v>
      </c>
      <c r="N385" t="str">
        <f t="shared" si="11"/>
        <v>Excellent</v>
      </c>
    </row>
    <row r="386" spans="1:14">
      <c r="A386" t="s">
        <v>48</v>
      </c>
      <c r="B386">
        <v>2004</v>
      </c>
      <c r="C386" t="s">
        <v>989</v>
      </c>
      <c r="D386" t="s">
        <v>33</v>
      </c>
      <c r="E386" t="s">
        <v>990</v>
      </c>
      <c r="F386" t="s">
        <v>42</v>
      </c>
      <c r="G386">
        <v>31.69</v>
      </c>
      <c r="H386">
        <v>91</v>
      </c>
      <c r="I386" t="s">
        <v>23</v>
      </c>
      <c r="J386" t="s">
        <v>18</v>
      </c>
      <c r="K386" t="s">
        <v>259</v>
      </c>
      <c r="L386">
        <v>278</v>
      </c>
      <c r="M386" t="str">
        <f t="shared" si="10"/>
        <v>Medium</v>
      </c>
      <c r="N386" t="str">
        <f t="shared" si="11"/>
        <v>Excellent</v>
      </c>
    </row>
    <row r="387" spans="1:14">
      <c r="A387" t="s">
        <v>68</v>
      </c>
      <c r="B387">
        <v>2021</v>
      </c>
      <c r="C387" t="s">
        <v>991</v>
      </c>
      <c r="D387" t="s">
        <v>33</v>
      </c>
      <c r="E387" t="s">
        <v>992</v>
      </c>
      <c r="F387" t="s">
        <v>57</v>
      </c>
      <c r="G387">
        <v>9.5</v>
      </c>
      <c r="H387">
        <v>59</v>
      </c>
      <c r="I387" t="s">
        <v>23</v>
      </c>
      <c r="J387" t="s">
        <v>37</v>
      </c>
      <c r="K387" t="s">
        <v>993</v>
      </c>
      <c r="L387">
        <v>313</v>
      </c>
      <c r="M387" t="str">
        <f t="shared" ref="M387:M450" si="12">IF(G387&lt;15,"Low",IF(G387&lt;35,"Medium","High"))</f>
        <v>Low</v>
      </c>
      <c r="N387" t="str">
        <f t="shared" ref="N387:N450" si="13">IF(H387&gt;=90,"Excellent",IF(H387&gt;=75,"Good","Average"))</f>
        <v>Average</v>
      </c>
    </row>
    <row r="388" spans="1:14">
      <c r="A388" t="s">
        <v>65</v>
      </c>
      <c r="B388">
        <v>2000</v>
      </c>
      <c r="C388" t="s">
        <v>994</v>
      </c>
      <c r="D388" t="s">
        <v>14</v>
      </c>
      <c r="E388" t="s">
        <v>995</v>
      </c>
      <c r="F388" t="s">
        <v>46</v>
      </c>
      <c r="G388">
        <v>12.71</v>
      </c>
      <c r="H388">
        <v>89</v>
      </c>
      <c r="I388" t="s">
        <v>17</v>
      </c>
      <c r="J388" t="s">
        <v>37</v>
      </c>
      <c r="K388" t="s">
        <v>996</v>
      </c>
      <c r="L388">
        <v>24</v>
      </c>
      <c r="M388" t="str">
        <f t="shared" si="12"/>
        <v>Low</v>
      </c>
      <c r="N388" t="str">
        <f t="shared" si="13"/>
        <v>Good</v>
      </c>
    </row>
    <row r="389" spans="1:14">
      <c r="A389" t="s">
        <v>12</v>
      </c>
      <c r="B389">
        <v>2009</v>
      </c>
      <c r="C389" t="s">
        <v>997</v>
      </c>
      <c r="D389" t="s">
        <v>14</v>
      </c>
      <c r="E389" t="s">
        <v>998</v>
      </c>
      <c r="F389" t="s">
        <v>57</v>
      </c>
      <c r="G389">
        <v>6.36</v>
      </c>
      <c r="H389">
        <v>87</v>
      </c>
      <c r="I389" t="s">
        <v>29</v>
      </c>
      <c r="J389" t="s">
        <v>24</v>
      </c>
      <c r="K389" t="s">
        <v>26</v>
      </c>
      <c r="L389">
        <v>356</v>
      </c>
      <c r="M389" t="str">
        <f t="shared" si="12"/>
        <v>Low</v>
      </c>
      <c r="N389" t="str">
        <f t="shared" si="13"/>
        <v>Good</v>
      </c>
    </row>
    <row r="390" spans="1:14">
      <c r="A390" t="s">
        <v>12</v>
      </c>
      <c r="B390">
        <v>2008</v>
      </c>
      <c r="C390" t="s">
        <v>999</v>
      </c>
      <c r="D390" t="s">
        <v>14</v>
      </c>
      <c r="E390" t="s">
        <v>1000</v>
      </c>
      <c r="F390" t="s">
        <v>46</v>
      </c>
      <c r="G390">
        <v>3.21</v>
      </c>
      <c r="H390">
        <v>74</v>
      </c>
      <c r="I390" t="s">
        <v>23</v>
      </c>
      <c r="J390" t="s">
        <v>24</v>
      </c>
      <c r="K390" t="s">
        <v>286</v>
      </c>
      <c r="L390">
        <v>32</v>
      </c>
      <c r="M390" t="str">
        <f t="shared" si="12"/>
        <v>Low</v>
      </c>
      <c r="N390" t="str">
        <f t="shared" si="13"/>
        <v>Average</v>
      </c>
    </row>
    <row r="391" spans="1:14">
      <c r="A391" t="s">
        <v>47</v>
      </c>
      <c r="B391">
        <v>2022</v>
      </c>
      <c r="C391" t="s">
        <v>1001</v>
      </c>
      <c r="D391" t="s">
        <v>33</v>
      </c>
      <c r="E391" t="s">
        <v>1002</v>
      </c>
      <c r="F391" t="s">
        <v>35</v>
      </c>
      <c r="G391">
        <v>15.36</v>
      </c>
      <c r="H391">
        <v>98</v>
      </c>
      <c r="I391" t="s">
        <v>17</v>
      </c>
      <c r="J391" t="s">
        <v>24</v>
      </c>
      <c r="K391" t="s">
        <v>139</v>
      </c>
      <c r="L391">
        <v>351</v>
      </c>
      <c r="M391" t="str">
        <f t="shared" si="12"/>
        <v>Medium</v>
      </c>
      <c r="N391" t="str">
        <f t="shared" si="13"/>
        <v>Excellent</v>
      </c>
    </row>
    <row r="392" spans="1:14">
      <c r="A392" t="s">
        <v>38</v>
      </c>
      <c r="B392">
        <v>2001</v>
      </c>
      <c r="C392" t="s">
        <v>1003</v>
      </c>
      <c r="D392" t="s">
        <v>33</v>
      </c>
      <c r="E392" t="s">
        <v>1004</v>
      </c>
      <c r="F392" t="s">
        <v>46</v>
      </c>
      <c r="G392">
        <v>8.6199999999999992</v>
      </c>
      <c r="H392">
        <v>87</v>
      </c>
      <c r="I392" t="s">
        <v>61</v>
      </c>
      <c r="J392" t="s">
        <v>18</v>
      </c>
      <c r="K392" t="s">
        <v>1005</v>
      </c>
      <c r="L392">
        <v>88</v>
      </c>
      <c r="M392" t="str">
        <f t="shared" si="12"/>
        <v>Low</v>
      </c>
      <c r="N392" t="str">
        <f t="shared" si="13"/>
        <v>Good</v>
      </c>
    </row>
    <row r="393" spans="1:14">
      <c r="A393" t="s">
        <v>12</v>
      </c>
      <c r="B393">
        <v>2014</v>
      </c>
      <c r="C393" t="s">
        <v>1006</v>
      </c>
      <c r="D393" t="s">
        <v>33</v>
      </c>
      <c r="E393" t="s">
        <v>1007</v>
      </c>
      <c r="F393" t="s">
        <v>35</v>
      </c>
      <c r="G393">
        <v>28.98</v>
      </c>
      <c r="H393">
        <v>91</v>
      </c>
      <c r="I393" t="s">
        <v>23</v>
      </c>
      <c r="J393" t="s">
        <v>24</v>
      </c>
      <c r="K393" t="s">
        <v>926</v>
      </c>
      <c r="L393">
        <v>257</v>
      </c>
      <c r="M393" t="str">
        <f t="shared" si="12"/>
        <v>Medium</v>
      </c>
      <c r="N393" t="str">
        <f t="shared" si="13"/>
        <v>Excellent</v>
      </c>
    </row>
    <row r="394" spans="1:14">
      <c r="A394" t="s">
        <v>39</v>
      </c>
      <c r="B394">
        <v>2017</v>
      </c>
      <c r="C394" t="s">
        <v>1008</v>
      </c>
      <c r="D394" t="s">
        <v>33</v>
      </c>
      <c r="E394" t="s">
        <v>1009</v>
      </c>
      <c r="F394" t="s">
        <v>46</v>
      </c>
      <c r="G394">
        <v>43.44</v>
      </c>
      <c r="H394">
        <v>96</v>
      </c>
      <c r="I394" t="s">
        <v>36</v>
      </c>
      <c r="J394" t="s">
        <v>37</v>
      </c>
      <c r="K394" t="s">
        <v>65</v>
      </c>
      <c r="L394">
        <v>326</v>
      </c>
      <c r="M394" t="str">
        <f t="shared" si="12"/>
        <v>High</v>
      </c>
      <c r="N394" t="str">
        <f t="shared" si="13"/>
        <v>Excellent</v>
      </c>
    </row>
    <row r="395" spans="1:14">
      <c r="A395" t="s">
        <v>39</v>
      </c>
      <c r="B395">
        <v>2017</v>
      </c>
      <c r="C395" t="s">
        <v>1010</v>
      </c>
      <c r="D395" t="s">
        <v>14</v>
      </c>
      <c r="E395" t="s">
        <v>1011</v>
      </c>
      <c r="F395" t="s">
        <v>42</v>
      </c>
      <c r="G395">
        <v>6.81</v>
      </c>
      <c r="H395">
        <v>86</v>
      </c>
      <c r="I395" t="s">
        <v>61</v>
      </c>
      <c r="J395" t="s">
        <v>24</v>
      </c>
      <c r="K395" t="s">
        <v>1012</v>
      </c>
      <c r="L395">
        <v>262</v>
      </c>
      <c r="M395" t="str">
        <f t="shared" si="12"/>
        <v>Low</v>
      </c>
      <c r="N395" t="str">
        <f t="shared" si="13"/>
        <v>Good</v>
      </c>
    </row>
    <row r="396" spans="1:14">
      <c r="A396" t="s">
        <v>47</v>
      </c>
      <c r="B396">
        <v>2006</v>
      </c>
      <c r="C396" t="s">
        <v>1013</v>
      </c>
      <c r="D396" t="s">
        <v>33</v>
      </c>
      <c r="E396" t="s">
        <v>1014</v>
      </c>
      <c r="F396" t="s">
        <v>46</v>
      </c>
      <c r="G396">
        <v>10.220000000000001</v>
      </c>
      <c r="H396">
        <v>61</v>
      </c>
      <c r="I396" t="s">
        <v>36</v>
      </c>
      <c r="J396" t="s">
        <v>24</v>
      </c>
      <c r="K396" t="s">
        <v>65</v>
      </c>
      <c r="L396">
        <v>2</v>
      </c>
      <c r="M396" t="str">
        <f t="shared" si="12"/>
        <v>Low</v>
      </c>
      <c r="N396" t="str">
        <f t="shared" si="13"/>
        <v>Average</v>
      </c>
    </row>
    <row r="397" spans="1:14">
      <c r="A397" t="s">
        <v>31</v>
      </c>
      <c r="B397">
        <v>2000</v>
      </c>
      <c r="C397" t="s">
        <v>1015</v>
      </c>
      <c r="D397" t="s">
        <v>14</v>
      </c>
      <c r="E397" t="s">
        <v>1016</v>
      </c>
      <c r="F397" t="s">
        <v>46</v>
      </c>
      <c r="G397">
        <v>10.51</v>
      </c>
      <c r="H397">
        <v>68</v>
      </c>
      <c r="I397" t="s">
        <v>23</v>
      </c>
      <c r="J397" t="s">
        <v>24</v>
      </c>
      <c r="K397" t="s">
        <v>580</v>
      </c>
      <c r="L397">
        <v>171</v>
      </c>
      <c r="M397" t="str">
        <f t="shared" si="12"/>
        <v>Low</v>
      </c>
      <c r="N397" t="str">
        <f t="shared" si="13"/>
        <v>Average</v>
      </c>
    </row>
    <row r="398" spans="1:14">
      <c r="A398" t="s">
        <v>68</v>
      </c>
      <c r="B398">
        <v>2008</v>
      </c>
      <c r="C398" t="s">
        <v>1017</v>
      </c>
      <c r="D398" t="s">
        <v>33</v>
      </c>
      <c r="E398" t="s">
        <v>1018</v>
      </c>
      <c r="F398" t="s">
        <v>42</v>
      </c>
      <c r="G398">
        <v>44.78</v>
      </c>
      <c r="H398">
        <v>86</v>
      </c>
      <c r="I398" t="s">
        <v>23</v>
      </c>
      <c r="J398" t="s">
        <v>18</v>
      </c>
      <c r="K398" t="s">
        <v>1019</v>
      </c>
      <c r="L398">
        <v>61</v>
      </c>
      <c r="M398" t="str">
        <f t="shared" si="12"/>
        <v>High</v>
      </c>
      <c r="N398" t="str">
        <f t="shared" si="13"/>
        <v>Good</v>
      </c>
    </row>
    <row r="399" spans="1:14">
      <c r="A399" t="s">
        <v>31</v>
      </c>
      <c r="B399">
        <v>2007</v>
      </c>
      <c r="C399" t="s">
        <v>1020</v>
      </c>
      <c r="D399" t="s">
        <v>33</v>
      </c>
      <c r="E399" t="s">
        <v>143</v>
      </c>
      <c r="F399" t="s">
        <v>16</v>
      </c>
      <c r="G399">
        <v>25.04</v>
      </c>
      <c r="H399">
        <v>89</v>
      </c>
      <c r="I399" t="s">
        <v>61</v>
      </c>
      <c r="J399" t="s">
        <v>18</v>
      </c>
      <c r="K399" t="s">
        <v>1021</v>
      </c>
      <c r="L399">
        <v>102</v>
      </c>
      <c r="M399" t="str">
        <f t="shared" si="12"/>
        <v>Medium</v>
      </c>
      <c r="N399" t="str">
        <f t="shared" si="13"/>
        <v>Good</v>
      </c>
    </row>
    <row r="400" spans="1:14">
      <c r="A400" t="s">
        <v>47</v>
      </c>
      <c r="B400">
        <v>2010</v>
      </c>
      <c r="C400" t="s">
        <v>1022</v>
      </c>
      <c r="D400" t="s">
        <v>33</v>
      </c>
      <c r="E400" t="s">
        <v>1023</v>
      </c>
      <c r="F400" t="s">
        <v>46</v>
      </c>
      <c r="G400">
        <v>26.31</v>
      </c>
      <c r="H400">
        <v>81</v>
      </c>
      <c r="I400" t="s">
        <v>17</v>
      </c>
      <c r="J400" t="s">
        <v>24</v>
      </c>
      <c r="K400" t="s">
        <v>39</v>
      </c>
      <c r="L400">
        <v>200</v>
      </c>
      <c r="M400" t="str">
        <f t="shared" si="12"/>
        <v>Medium</v>
      </c>
      <c r="N400" t="str">
        <f t="shared" si="13"/>
        <v>Good</v>
      </c>
    </row>
    <row r="401" spans="1:14">
      <c r="A401" t="s">
        <v>26</v>
      </c>
      <c r="B401">
        <v>2017</v>
      </c>
      <c r="C401" t="s">
        <v>1024</v>
      </c>
      <c r="D401" t="s">
        <v>14</v>
      </c>
      <c r="E401" t="s">
        <v>1025</v>
      </c>
      <c r="F401" t="s">
        <v>42</v>
      </c>
      <c r="G401">
        <v>36.39</v>
      </c>
      <c r="H401">
        <v>99</v>
      </c>
      <c r="I401" t="s">
        <v>17</v>
      </c>
      <c r="J401" t="s">
        <v>18</v>
      </c>
      <c r="K401" t="s">
        <v>38</v>
      </c>
      <c r="L401">
        <v>226</v>
      </c>
      <c r="M401" t="str">
        <f t="shared" si="12"/>
        <v>High</v>
      </c>
      <c r="N401" t="str">
        <f t="shared" si="13"/>
        <v>Excellent</v>
      </c>
    </row>
    <row r="402" spans="1:14">
      <c r="A402" t="s">
        <v>47</v>
      </c>
      <c r="B402">
        <v>2014</v>
      </c>
      <c r="C402" t="s">
        <v>1026</v>
      </c>
      <c r="D402" t="s">
        <v>14</v>
      </c>
      <c r="E402" t="s">
        <v>1027</v>
      </c>
      <c r="F402" t="s">
        <v>35</v>
      </c>
      <c r="G402">
        <v>1.49</v>
      </c>
      <c r="H402">
        <v>58</v>
      </c>
      <c r="I402" t="s">
        <v>23</v>
      </c>
      <c r="J402" t="s">
        <v>37</v>
      </c>
      <c r="K402" t="s">
        <v>305</v>
      </c>
      <c r="L402">
        <v>297</v>
      </c>
      <c r="M402" t="str">
        <f t="shared" si="12"/>
        <v>Low</v>
      </c>
      <c r="N402" t="str">
        <f t="shared" si="13"/>
        <v>Average</v>
      </c>
    </row>
    <row r="403" spans="1:14">
      <c r="A403" t="s">
        <v>68</v>
      </c>
      <c r="B403">
        <v>2011</v>
      </c>
      <c r="C403" t="s">
        <v>1028</v>
      </c>
      <c r="D403" t="s">
        <v>14</v>
      </c>
      <c r="E403" t="s">
        <v>1029</v>
      </c>
      <c r="F403" t="s">
        <v>16</v>
      </c>
      <c r="G403">
        <v>46.13</v>
      </c>
      <c r="H403">
        <v>85</v>
      </c>
      <c r="I403" t="s">
        <v>29</v>
      </c>
      <c r="J403" t="s">
        <v>37</v>
      </c>
      <c r="K403" t="s">
        <v>39</v>
      </c>
      <c r="L403">
        <v>20</v>
      </c>
      <c r="M403" t="str">
        <f t="shared" si="12"/>
        <v>High</v>
      </c>
      <c r="N403" t="str">
        <f t="shared" si="13"/>
        <v>Good</v>
      </c>
    </row>
    <row r="404" spans="1:14">
      <c r="A404" t="s">
        <v>48</v>
      </c>
      <c r="B404">
        <v>2019</v>
      </c>
      <c r="C404" t="s">
        <v>1030</v>
      </c>
      <c r="D404" t="s">
        <v>14</v>
      </c>
      <c r="E404" t="s">
        <v>1031</v>
      </c>
      <c r="F404" t="s">
        <v>46</v>
      </c>
      <c r="G404">
        <v>47.99</v>
      </c>
      <c r="H404">
        <v>96</v>
      </c>
      <c r="I404" t="s">
        <v>23</v>
      </c>
      <c r="J404" t="s">
        <v>37</v>
      </c>
      <c r="K404" t="s">
        <v>1032</v>
      </c>
      <c r="L404">
        <v>137</v>
      </c>
      <c r="M404" t="str">
        <f t="shared" si="12"/>
        <v>High</v>
      </c>
      <c r="N404" t="str">
        <f t="shared" si="13"/>
        <v>Excellent</v>
      </c>
    </row>
    <row r="405" spans="1:14">
      <c r="A405" t="s">
        <v>12</v>
      </c>
      <c r="B405">
        <v>2021</v>
      </c>
      <c r="C405" t="s">
        <v>1033</v>
      </c>
      <c r="D405" t="s">
        <v>14</v>
      </c>
      <c r="E405" t="s">
        <v>1034</v>
      </c>
      <c r="F405" t="s">
        <v>16</v>
      </c>
      <c r="G405">
        <v>10.64</v>
      </c>
      <c r="H405">
        <v>80</v>
      </c>
      <c r="I405" t="s">
        <v>17</v>
      </c>
      <c r="J405" t="s">
        <v>24</v>
      </c>
      <c r="K405" t="s">
        <v>68</v>
      </c>
      <c r="L405">
        <v>251</v>
      </c>
      <c r="M405" t="str">
        <f t="shared" si="12"/>
        <v>Low</v>
      </c>
      <c r="N405" t="str">
        <f t="shared" si="13"/>
        <v>Good</v>
      </c>
    </row>
    <row r="406" spans="1:14">
      <c r="A406" t="s">
        <v>38</v>
      </c>
      <c r="B406">
        <v>2007</v>
      </c>
      <c r="C406" t="s">
        <v>1035</v>
      </c>
      <c r="D406" t="s">
        <v>14</v>
      </c>
      <c r="E406" t="s">
        <v>1036</v>
      </c>
      <c r="F406" t="s">
        <v>57</v>
      </c>
      <c r="G406">
        <v>27.35</v>
      </c>
      <c r="H406">
        <v>63</v>
      </c>
      <c r="I406" t="s">
        <v>36</v>
      </c>
      <c r="J406" t="s">
        <v>18</v>
      </c>
      <c r="K406" t="s">
        <v>1037</v>
      </c>
      <c r="L406">
        <v>45</v>
      </c>
      <c r="M406" t="str">
        <f t="shared" si="12"/>
        <v>Medium</v>
      </c>
      <c r="N406" t="str">
        <f t="shared" si="13"/>
        <v>Average</v>
      </c>
    </row>
    <row r="407" spans="1:14">
      <c r="A407" t="s">
        <v>47</v>
      </c>
      <c r="B407">
        <v>2002</v>
      </c>
      <c r="C407" t="s">
        <v>1038</v>
      </c>
      <c r="D407" t="s">
        <v>14</v>
      </c>
      <c r="E407" t="s">
        <v>1039</v>
      </c>
      <c r="F407" t="s">
        <v>35</v>
      </c>
      <c r="G407">
        <v>30.36</v>
      </c>
      <c r="H407">
        <v>63</v>
      </c>
      <c r="I407" t="s">
        <v>29</v>
      </c>
      <c r="J407" t="s">
        <v>37</v>
      </c>
      <c r="K407" t="s">
        <v>25</v>
      </c>
      <c r="L407">
        <v>27</v>
      </c>
      <c r="M407" t="str">
        <f t="shared" si="12"/>
        <v>Medium</v>
      </c>
      <c r="N407" t="str">
        <f t="shared" si="13"/>
        <v>Average</v>
      </c>
    </row>
    <row r="408" spans="1:14">
      <c r="A408" t="s">
        <v>20</v>
      </c>
      <c r="B408">
        <v>2016</v>
      </c>
      <c r="C408" t="s">
        <v>1040</v>
      </c>
      <c r="D408" t="s">
        <v>14</v>
      </c>
      <c r="E408" t="s">
        <v>1041</v>
      </c>
      <c r="F408" t="s">
        <v>42</v>
      </c>
      <c r="G408">
        <v>32.03</v>
      </c>
      <c r="H408">
        <v>54</v>
      </c>
      <c r="I408" t="s">
        <v>36</v>
      </c>
      <c r="J408" t="s">
        <v>18</v>
      </c>
      <c r="K408" t="s">
        <v>1042</v>
      </c>
      <c r="L408">
        <v>334</v>
      </c>
      <c r="M408" t="str">
        <f t="shared" si="12"/>
        <v>Medium</v>
      </c>
      <c r="N408" t="str">
        <f t="shared" si="13"/>
        <v>Average</v>
      </c>
    </row>
    <row r="409" spans="1:14">
      <c r="A409" t="s">
        <v>65</v>
      </c>
      <c r="B409">
        <v>2002</v>
      </c>
      <c r="C409" t="s">
        <v>1043</v>
      </c>
      <c r="D409" t="s">
        <v>14</v>
      </c>
      <c r="E409" t="s">
        <v>1044</v>
      </c>
      <c r="F409" t="s">
        <v>46</v>
      </c>
      <c r="G409">
        <v>30.26</v>
      </c>
      <c r="H409">
        <v>59</v>
      </c>
      <c r="I409" t="s">
        <v>29</v>
      </c>
      <c r="J409" t="s">
        <v>37</v>
      </c>
      <c r="K409" t="s">
        <v>47</v>
      </c>
      <c r="L409">
        <v>167</v>
      </c>
      <c r="M409" t="str">
        <f t="shared" si="12"/>
        <v>Medium</v>
      </c>
      <c r="N409" t="str">
        <f t="shared" si="13"/>
        <v>Average</v>
      </c>
    </row>
    <row r="410" spans="1:14">
      <c r="A410" t="s">
        <v>47</v>
      </c>
      <c r="B410">
        <v>2021</v>
      </c>
      <c r="C410" t="s">
        <v>1045</v>
      </c>
      <c r="D410" t="s">
        <v>14</v>
      </c>
      <c r="E410" t="s">
        <v>1046</v>
      </c>
      <c r="F410" t="s">
        <v>46</v>
      </c>
      <c r="G410">
        <v>2.2999999999999998</v>
      </c>
      <c r="H410">
        <v>86</v>
      </c>
      <c r="I410" t="s">
        <v>36</v>
      </c>
      <c r="J410" t="s">
        <v>37</v>
      </c>
      <c r="K410" t="s">
        <v>667</v>
      </c>
      <c r="L410">
        <v>161</v>
      </c>
      <c r="M410" t="str">
        <f t="shared" si="12"/>
        <v>Low</v>
      </c>
      <c r="N410" t="str">
        <f t="shared" si="13"/>
        <v>Good</v>
      </c>
    </row>
    <row r="411" spans="1:14">
      <c r="A411" t="s">
        <v>65</v>
      </c>
      <c r="B411">
        <v>2025</v>
      </c>
      <c r="C411" t="s">
        <v>1047</v>
      </c>
      <c r="D411" t="s">
        <v>33</v>
      </c>
      <c r="E411" t="s">
        <v>1048</v>
      </c>
      <c r="F411" t="s">
        <v>46</v>
      </c>
      <c r="G411">
        <v>16.04</v>
      </c>
      <c r="H411">
        <v>58</v>
      </c>
      <c r="I411" t="s">
        <v>29</v>
      </c>
      <c r="J411" t="s">
        <v>37</v>
      </c>
      <c r="K411" t="s">
        <v>1049</v>
      </c>
      <c r="L411">
        <v>43</v>
      </c>
      <c r="M411" t="str">
        <f t="shared" si="12"/>
        <v>Medium</v>
      </c>
      <c r="N411" t="str">
        <f t="shared" si="13"/>
        <v>Average</v>
      </c>
    </row>
    <row r="412" spans="1:14">
      <c r="A412" t="s">
        <v>39</v>
      </c>
      <c r="B412">
        <v>2017</v>
      </c>
      <c r="C412" t="s">
        <v>1050</v>
      </c>
      <c r="D412" t="s">
        <v>14</v>
      </c>
      <c r="E412" t="s">
        <v>1051</v>
      </c>
      <c r="F412" t="s">
        <v>42</v>
      </c>
      <c r="G412">
        <v>11.83</v>
      </c>
      <c r="H412">
        <v>73</v>
      </c>
      <c r="I412" t="s">
        <v>17</v>
      </c>
      <c r="J412" t="s">
        <v>24</v>
      </c>
      <c r="K412" t="s">
        <v>26</v>
      </c>
      <c r="L412">
        <v>326</v>
      </c>
      <c r="M412" t="str">
        <f t="shared" si="12"/>
        <v>Low</v>
      </c>
      <c r="N412" t="str">
        <f t="shared" si="13"/>
        <v>Average</v>
      </c>
    </row>
    <row r="413" spans="1:14">
      <c r="A413" t="s">
        <v>20</v>
      </c>
      <c r="B413">
        <v>2016</v>
      </c>
      <c r="C413" t="s">
        <v>1052</v>
      </c>
      <c r="D413" t="s">
        <v>33</v>
      </c>
      <c r="E413" t="s">
        <v>1053</v>
      </c>
      <c r="F413" t="s">
        <v>42</v>
      </c>
      <c r="G413">
        <v>6.69</v>
      </c>
      <c r="H413">
        <v>55</v>
      </c>
      <c r="I413" t="s">
        <v>29</v>
      </c>
      <c r="J413" t="s">
        <v>18</v>
      </c>
      <c r="K413" t="s">
        <v>26</v>
      </c>
      <c r="L413">
        <v>137</v>
      </c>
      <c r="M413" t="str">
        <f t="shared" si="12"/>
        <v>Low</v>
      </c>
      <c r="N413" t="str">
        <f t="shared" si="13"/>
        <v>Average</v>
      </c>
    </row>
    <row r="414" spans="1:14">
      <c r="A414" t="s">
        <v>26</v>
      </c>
      <c r="B414">
        <v>2016</v>
      </c>
      <c r="C414" t="s">
        <v>1054</v>
      </c>
      <c r="D414" t="s">
        <v>14</v>
      </c>
      <c r="E414" t="s">
        <v>1055</v>
      </c>
      <c r="F414" t="s">
        <v>35</v>
      </c>
      <c r="G414">
        <v>14.8</v>
      </c>
      <c r="H414">
        <v>52</v>
      </c>
      <c r="I414" t="s">
        <v>29</v>
      </c>
      <c r="J414" t="s">
        <v>24</v>
      </c>
      <c r="K414" t="s">
        <v>173</v>
      </c>
      <c r="L414">
        <v>310</v>
      </c>
      <c r="M414" t="str">
        <f t="shared" si="12"/>
        <v>Low</v>
      </c>
      <c r="N414" t="str">
        <f t="shared" si="13"/>
        <v>Average</v>
      </c>
    </row>
    <row r="415" spans="1:14">
      <c r="A415" t="s">
        <v>20</v>
      </c>
      <c r="B415">
        <v>2018</v>
      </c>
      <c r="C415" t="s">
        <v>1056</v>
      </c>
      <c r="D415" t="s">
        <v>14</v>
      </c>
      <c r="E415" t="s">
        <v>1057</v>
      </c>
      <c r="F415" t="s">
        <v>35</v>
      </c>
      <c r="G415">
        <v>47.95</v>
      </c>
      <c r="H415">
        <v>95</v>
      </c>
      <c r="I415" t="s">
        <v>36</v>
      </c>
      <c r="J415" t="s">
        <v>37</v>
      </c>
      <c r="K415" t="s">
        <v>1058</v>
      </c>
      <c r="L415">
        <v>291</v>
      </c>
      <c r="M415" t="str">
        <f t="shared" si="12"/>
        <v>High</v>
      </c>
      <c r="N415" t="str">
        <f t="shared" si="13"/>
        <v>Excellent</v>
      </c>
    </row>
    <row r="416" spans="1:14">
      <c r="A416" t="s">
        <v>47</v>
      </c>
      <c r="B416">
        <v>2021</v>
      </c>
      <c r="C416" t="s">
        <v>1059</v>
      </c>
      <c r="D416" t="s">
        <v>33</v>
      </c>
      <c r="E416" t="s">
        <v>1060</v>
      </c>
      <c r="F416" t="s">
        <v>35</v>
      </c>
      <c r="G416">
        <v>10.97</v>
      </c>
      <c r="H416">
        <v>94</v>
      </c>
      <c r="I416" t="s">
        <v>23</v>
      </c>
      <c r="J416" t="s">
        <v>18</v>
      </c>
      <c r="K416" t="s">
        <v>1061</v>
      </c>
      <c r="L416">
        <v>4</v>
      </c>
      <c r="M416" t="str">
        <f t="shared" si="12"/>
        <v>Low</v>
      </c>
      <c r="N416" t="str">
        <f t="shared" si="13"/>
        <v>Excellent</v>
      </c>
    </row>
    <row r="417" spans="1:14">
      <c r="A417" t="s">
        <v>31</v>
      </c>
      <c r="B417">
        <v>2001</v>
      </c>
      <c r="C417" t="s">
        <v>1062</v>
      </c>
      <c r="D417" t="s">
        <v>14</v>
      </c>
      <c r="E417" t="s">
        <v>1063</v>
      </c>
      <c r="F417" t="s">
        <v>35</v>
      </c>
      <c r="G417">
        <v>21.69</v>
      </c>
      <c r="H417">
        <v>97</v>
      </c>
      <c r="I417" t="s">
        <v>23</v>
      </c>
      <c r="J417" t="s">
        <v>37</v>
      </c>
      <c r="K417" t="s">
        <v>1064</v>
      </c>
      <c r="L417">
        <v>295</v>
      </c>
      <c r="M417" t="str">
        <f t="shared" si="12"/>
        <v>Medium</v>
      </c>
      <c r="N417" t="str">
        <f t="shared" si="13"/>
        <v>Excellent</v>
      </c>
    </row>
    <row r="418" spans="1:14">
      <c r="A418" t="s">
        <v>39</v>
      </c>
      <c r="B418">
        <v>2010</v>
      </c>
      <c r="C418" t="s">
        <v>1065</v>
      </c>
      <c r="D418" t="s">
        <v>33</v>
      </c>
      <c r="E418" t="s">
        <v>1066</v>
      </c>
      <c r="F418" t="s">
        <v>46</v>
      </c>
      <c r="G418">
        <v>49.69</v>
      </c>
      <c r="H418">
        <v>100</v>
      </c>
      <c r="I418" t="s">
        <v>61</v>
      </c>
      <c r="J418" t="s">
        <v>18</v>
      </c>
      <c r="K418" t="s">
        <v>26</v>
      </c>
      <c r="L418">
        <v>261</v>
      </c>
      <c r="M418" t="str">
        <f t="shared" si="12"/>
        <v>High</v>
      </c>
      <c r="N418" t="str">
        <f t="shared" si="13"/>
        <v>Excellent</v>
      </c>
    </row>
    <row r="419" spans="1:14">
      <c r="A419" t="s">
        <v>65</v>
      </c>
      <c r="B419">
        <v>2002</v>
      </c>
      <c r="C419" t="s">
        <v>1067</v>
      </c>
      <c r="D419" t="s">
        <v>14</v>
      </c>
      <c r="E419" t="s">
        <v>1068</v>
      </c>
      <c r="F419" t="s">
        <v>46</v>
      </c>
      <c r="G419">
        <v>40.99</v>
      </c>
      <c r="H419">
        <v>92</v>
      </c>
      <c r="I419" t="s">
        <v>17</v>
      </c>
      <c r="J419" t="s">
        <v>18</v>
      </c>
      <c r="K419" t="s">
        <v>184</v>
      </c>
      <c r="L419">
        <v>323</v>
      </c>
      <c r="M419" t="str">
        <f t="shared" si="12"/>
        <v>High</v>
      </c>
      <c r="N419" t="str">
        <f t="shared" si="13"/>
        <v>Excellent</v>
      </c>
    </row>
    <row r="420" spans="1:14">
      <c r="A420" t="s">
        <v>31</v>
      </c>
      <c r="B420">
        <v>2009</v>
      </c>
      <c r="C420" t="s">
        <v>1069</v>
      </c>
      <c r="D420" t="s">
        <v>33</v>
      </c>
      <c r="E420" t="s">
        <v>1070</v>
      </c>
      <c r="F420" t="s">
        <v>42</v>
      </c>
      <c r="G420">
        <v>14.14</v>
      </c>
      <c r="H420">
        <v>66</v>
      </c>
      <c r="I420" t="s">
        <v>61</v>
      </c>
      <c r="J420" t="s">
        <v>24</v>
      </c>
      <c r="K420" t="s">
        <v>323</v>
      </c>
      <c r="L420">
        <v>126</v>
      </c>
      <c r="M420" t="str">
        <f t="shared" si="12"/>
        <v>Low</v>
      </c>
      <c r="N420" t="str">
        <f t="shared" si="13"/>
        <v>Average</v>
      </c>
    </row>
    <row r="421" spans="1:14">
      <c r="A421" t="s">
        <v>65</v>
      </c>
      <c r="B421">
        <v>2000</v>
      </c>
      <c r="C421" t="s">
        <v>1071</v>
      </c>
      <c r="D421" t="s">
        <v>14</v>
      </c>
      <c r="E421" t="s">
        <v>1072</v>
      </c>
      <c r="F421" t="s">
        <v>57</v>
      </c>
      <c r="G421">
        <v>48.03</v>
      </c>
      <c r="H421">
        <v>58</v>
      </c>
      <c r="I421" t="s">
        <v>36</v>
      </c>
      <c r="J421" t="s">
        <v>24</v>
      </c>
      <c r="K421" t="s">
        <v>38</v>
      </c>
      <c r="L421">
        <v>247</v>
      </c>
      <c r="M421" t="str">
        <f t="shared" si="12"/>
        <v>High</v>
      </c>
      <c r="N421" t="str">
        <f t="shared" si="13"/>
        <v>Average</v>
      </c>
    </row>
    <row r="422" spans="1:14">
      <c r="A422" t="s">
        <v>38</v>
      </c>
      <c r="B422">
        <v>2001</v>
      </c>
      <c r="C422" t="s">
        <v>1073</v>
      </c>
      <c r="D422" t="s">
        <v>33</v>
      </c>
      <c r="E422" t="s">
        <v>1074</v>
      </c>
      <c r="F422" t="s">
        <v>46</v>
      </c>
      <c r="G422">
        <v>19.47</v>
      </c>
      <c r="H422">
        <v>81</v>
      </c>
      <c r="I422" t="s">
        <v>17</v>
      </c>
      <c r="J422" t="s">
        <v>24</v>
      </c>
      <c r="K422" t="s">
        <v>31</v>
      </c>
      <c r="L422">
        <v>171</v>
      </c>
      <c r="M422" t="str">
        <f t="shared" si="12"/>
        <v>Medium</v>
      </c>
      <c r="N422" t="str">
        <f t="shared" si="13"/>
        <v>Good</v>
      </c>
    </row>
    <row r="423" spans="1:14">
      <c r="A423" t="s">
        <v>65</v>
      </c>
      <c r="B423">
        <v>2023</v>
      </c>
      <c r="C423" t="s">
        <v>1075</v>
      </c>
      <c r="D423" t="s">
        <v>33</v>
      </c>
      <c r="E423" t="s">
        <v>1076</v>
      </c>
      <c r="F423" t="s">
        <v>35</v>
      </c>
      <c r="G423">
        <v>34.28</v>
      </c>
      <c r="H423">
        <v>98</v>
      </c>
      <c r="I423" t="s">
        <v>23</v>
      </c>
      <c r="J423" t="s">
        <v>24</v>
      </c>
      <c r="K423" t="s">
        <v>314</v>
      </c>
      <c r="L423">
        <v>352</v>
      </c>
      <c r="M423" t="str">
        <f t="shared" si="12"/>
        <v>Medium</v>
      </c>
      <c r="N423" t="str">
        <f t="shared" si="13"/>
        <v>Excellent</v>
      </c>
    </row>
    <row r="424" spans="1:14">
      <c r="A424" t="s">
        <v>38</v>
      </c>
      <c r="B424">
        <v>2002</v>
      </c>
      <c r="C424" t="s">
        <v>1077</v>
      </c>
      <c r="D424" t="s">
        <v>14</v>
      </c>
      <c r="E424" t="s">
        <v>1078</v>
      </c>
      <c r="F424" t="s">
        <v>46</v>
      </c>
      <c r="G424">
        <v>12.69</v>
      </c>
      <c r="H424">
        <v>57</v>
      </c>
      <c r="I424" t="s">
        <v>29</v>
      </c>
      <c r="J424" t="s">
        <v>18</v>
      </c>
      <c r="K424" t="s">
        <v>157</v>
      </c>
      <c r="L424">
        <v>196</v>
      </c>
      <c r="M424" t="str">
        <f t="shared" si="12"/>
        <v>Low</v>
      </c>
      <c r="N424" t="str">
        <f t="shared" si="13"/>
        <v>Average</v>
      </c>
    </row>
    <row r="425" spans="1:14">
      <c r="A425" t="s">
        <v>65</v>
      </c>
      <c r="B425">
        <v>2000</v>
      </c>
      <c r="C425" t="s">
        <v>1079</v>
      </c>
      <c r="D425" t="s">
        <v>33</v>
      </c>
      <c r="E425" t="s">
        <v>1080</v>
      </c>
      <c r="F425" t="s">
        <v>16</v>
      </c>
      <c r="G425">
        <v>2.4300000000000002</v>
      </c>
      <c r="H425">
        <v>77</v>
      </c>
      <c r="I425" t="s">
        <v>36</v>
      </c>
      <c r="J425" t="s">
        <v>37</v>
      </c>
      <c r="K425" t="s">
        <v>335</v>
      </c>
      <c r="L425">
        <v>258</v>
      </c>
      <c r="M425" t="str">
        <f t="shared" si="12"/>
        <v>Low</v>
      </c>
      <c r="N425" t="str">
        <f t="shared" si="13"/>
        <v>Good</v>
      </c>
    </row>
    <row r="426" spans="1:14">
      <c r="A426" t="s">
        <v>47</v>
      </c>
      <c r="B426">
        <v>2021</v>
      </c>
      <c r="C426" t="s">
        <v>1081</v>
      </c>
      <c r="D426" t="s">
        <v>33</v>
      </c>
      <c r="E426" t="s">
        <v>1082</v>
      </c>
      <c r="F426" t="s">
        <v>46</v>
      </c>
      <c r="G426">
        <v>31.46</v>
      </c>
      <c r="H426">
        <v>62</v>
      </c>
      <c r="I426" t="s">
        <v>29</v>
      </c>
      <c r="J426" t="s">
        <v>24</v>
      </c>
      <c r="K426" t="s">
        <v>65</v>
      </c>
      <c r="L426">
        <v>123</v>
      </c>
      <c r="M426" t="str">
        <f t="shared" si="12"/>
        <v>Medium</v>
      </c>
      <c r="N426" t="str">
        <f t="shared" si="13"/>
        <v>Average</v>
      </c>
    </row>
    <row r="427" spans="1:14">
      <c r="A427" t="s">
        <v>12</v>
      </c>
      <c r="B427">
        <v>2017</v>
      </c>
      <c r="C427" t="s">
        <v>1083</v>
      </c>
      <c r="D427" t="s">
        <v>14</v>
      </c>
      <c r="E427" t="s">
        <v>1084</v>
      </c>
      <c r="F427" t="s">
        <v>57</v>
      </c>
      <c r="G427">
        <v>35.28</v>
      </c>
      <c r="H427">
        <v>73</v>
      </c>
      <c r="I427" t="s">
        <v>17</v>
      </c>
      <c r="J427" t="s">
        <v>18</v>
      </c>
      <c r="K427" t="s">
        <v>305</v>
      </c>
      <c r="L427">
        <v>348</v>
      </c>
      <c r="M427" t="str">
        <f t="shared" si="12"/>
        <v>High</v>
      </c>
      <c r="N427" t="str">
        <f t="shared" si="13"/>
        <v>Average</v>
      </c>
    </row>
    <row r="428" spans="1:14">
      <c r="A428" t="s">
        <v>47</v>
      </c>
      <c r="B428">
        <v>2016</v>
      </c>
      <c r="C428" t="s">
        <v>1085</v>
      </c>
      <c r="D428" t="s">
        <v>14</v>
      </c>
      <c r="E428" t="s">
        <v>1086</v>
      </c>
      <c r="F428" t="s">
        <v>42</v>
      </c>
      <c r="G428">
        <v>42.81</v>
      </c>
      <c r="H428">
        <v>54</v>
      </c>
      <c r="I428" t="s">
        <v>17</v>
      </c>
      <c r="J428" t="s">
        <v>24</v>
      </c>
      <c r="K428" t="s">
        <v>43</v>
      </c>
      <c r="L428">
        <v>344</v>
      </c>
      <c r="M428" t="str">
        <f t="shared" si="12"/>
        <v>High</v>
      </c>
      <c r="N428" t="str">
        <f t="shared" si="13"/>
        <v>Average</v>
      </c>
    </row>
    <row r="429" spans="1:14">
      <c r="A429" t="s">
        <v>47</v>
      </c>
      <c r="B429">
        <v>2014</v>
      </c>
      <c r="C429" t="s">
        <v>1087</v>
      </c>
      <c r="D429" t="s">
        <v>14</v>
      </c>
      <c r="E429" t="s">
        <v>1088</v>
      </c>
      <c r="F429" t="s">
        <v>57</v>
      </c>
      <c r="G429">
        <v>39.799999999999997</v>
      </c>
      <c r="H429">
        <v>71</v>
      </c>
      <c r="I429" t="s">
        <v>36</v>
      </c>
      <c r="J429" t="s">
        <v>18</v>
      </c>
      <c r="K429" t="s">
        <v>47</v>
      </c>
      <c r="L429">
        <v>213</v>
      </c>
      <c r="M429" t="str">
        <f t="shared" si="12"/>
        <v>High</v>
      </c>
      <c r="N429" t="str">
        <f t="shared" si="13"/>
        <v>Average</v>
      </c>
    </row>
    <row r="430" spans="1:14">
      <c r="A430" t="s">
        <v>47</v>
      </c>
      <c r="B430">
        <v>2018</v>
      </c>
      <c r="C430" t="s">
        <v>1089</v>
      </c>
      <c r="D430" t="s">
        <v>14</v>
      </c>
      <c r="E430" t="s">
        <v>1090</v>
      </c>
      <c r="F430" t="s">
        <v>46</v>
      </c>
      <c r="G430">
        <v>31.94</v>
      </c>
      <c r="H430">
        <v>90</v>
      </c>
      <c r="I430" t="s">
        <v>36</v>
      </c>
      <c r="J430" t="s">
        <v>24</v>
      </c>
      <c r="K430" t="s">
        <v>12</v>
      </c>
      <c r="L430">
        <v>332</v>
      </c>
      <c r="M430" t="str">
        <f t="shared" si="12"/>
        <v>Medium</v>
      </c>
      <c r="N430" t="str">
        <f t="shared" si="13"/>
        <v>Excellent</v>
      </c>
    </row>
    <row r="431" spans="1:14">
      <c r="A431" t="s">
        <v>38</v>
      </c>
      <c r="B431">
        <v>2017</v>
      </c>
      <c r="C431" t="s">
        <v>1091</v>
      </c>
      <c r="D431" t="s">
        <v>14</v>
      </c>
      <c r="E431" t="s">
        <v>1092</v>
      </c>
      <c r="F431" t="s">
        <v>57</v>
      </c>
      <c r="G431">
        <v>37.19</v>
      </c>
      <c r="H431">
        <v>80</v>
      </c>
      <c r="I431" t="s">
        <v>17</v>
      </c>
      <c r="J431" t="s">
        <v>18</v>
      </c>
      <c r="K431" t="s">
        <v>26</v>
      </c>
      <c r="L431">
        <v>333</v>
      </c>
      <c r="M431" t="str">
        <f t="shared" si="12"/>
        <v>High</v>
      </c>
      <c r="N431" t="str">
        <f t="shared" si="13"/>
        <v>Good</v>
      </c>
    </row>
    <row r="432" spans="1:14">
      <c r="A432" t="s">
        <v>48</v>
      </c>
      <c r="B432">
        <v>2006</v>
      </c>
      <c r="C432" t="s">
        <v>1093</v>
      </c>
      <c r="D432" t="s">
        <v>14</v>
      </c>
      <c r="E432" t="s">
        <v>1094</v>
      </c>
      <c r="F432" t="s">
        <v>35</v>
      </c>
      <c r="G432">
        <v>37.47</v>
      </c>
      <c r="H432">
        <v>86</v>
      </c>
      <c r="I432" t="s">
        <v>36</v>
      </c>
      <c r="J432" t="s">
        <v>37</v>
      </c>
      <c r="K432" t="s">
        <v>465</v>
      </c>
      <c r="L432">
        <v>118</v>
      </c>
      <c r="M432" t="str">
        <f t="shared" si="12"/>
        <v>High</v>
      </c>
      <c r="N432" t="str">
        <f t="shared" si="13"/>
        <v>Good</v>
      </c>
    </row>
    <row r="433" spans="1:14">
      <c r="A433" t="s">
        <v>65</v>
      </c>
      <c r="B433">
        <v>2007</v>
      </c>
      <c r="C433" t="s">
        <v>1095</v>
      </c>
      <c r="D433" t="s">
        <v>14</v>
      </c>
      <c r="E433" t="s">
        <v>1096</v>
      </c>
      <c r="F433" t="s">
        <v>46</v>
      </c>
      <c r="G433">
        <v>35.56</v>
      </c>
      <c r="H433">
        <v>54</v>
      </c>
      <c r="I433" t="s">
        <v>29</v>
      </c>
      <c r="J433" t="s">
        <v>24</v>
      </c>
      <c r="K433" t="s">
        <v>38</v>
      </c>
      <c r="L433">
        <v>284</v>
      </c>
      <c r="M433" t="str">
        <f t="shared" si="12"/>
        <v>High</v>
      </c>
      <c r="N433" t="str">
        <f t="shared" si="13"/>
        <v>Average</v>
      </c>
    </row>
    <row r="434" spans="1:14">
      <c r="A434" t="s">
        <v>20</v>
      </c>
      <c r="B434">
        <v>2005</v>
      </c>
      <c r="C434" t="s">
        <v>1097</v>
      </c>
      <c r="D434" t="s">
        <v>14</v>
      </c>
      <c r="E434" t="s">
        <v>1098</v>
      </c>
      <c r="F434" t="s">
        <v>35</v>
      </c>
      <c r="G434">
        <v>24.96</v>
      </c>
      <c r="H434">
        <v>87</v>
      </c>
      <c r="I434" t="s">
        <v>36</v>
      </c>
      <c r="J434" t="s">
        <v>24</v>
      </c>
      <c r="K434" t="s">
        <v>485</v>
      </c>
      <c r="L434">
        <v>320</v>
      </c>
      <c r="M434" t="str">
        <f t="shared" si="12"/>
        <v>Medium</v>
      </c>
      <c r="N434" t="str">
        <f t="shared" si="13"/>
        <v>Good</v>
      </c>
    </row>
    <row r="435" spans="1:14">
      <c r="A435" t="s">
        <v>26</v>
      </c>
      <c r="B435">
        <v>2014</v>
      </c>
      <c r="C435" t="s">
        <v>1099</v>
      </c>
      <c r="D435" t="s">
        <v>14</v>
      </c>
      <c r="E435" t="s">
        <v>1100</v>
      </c>
      <c r="F435" t="s">
        <v>16</v>
      </c>
      <c r="G435">
        <v>36.31</v>
      </c>
      <c r="H435">
        <v>64</v>
      </c>
      <c r="I435" t="s">
        <v>17</v>
      </c>
      <c r="J435" t="s">
        <v>37</v>
      </c>
      <c r="K435" t="s">
        <v>687</v>
      </c>
      <c r="L435">
        <v>208</v>
      </c>
      <c r="M435" t="str">
        <f t="shared" si="12"/>
        <v>High</v>
      </c>
      <c r="N435" t="str">
        <f t="shared" si="13"/>
        <v>Average</v>
      </c>
    </row>
    <row r="436" spans="1:14">
      <c r="A436" t="s">
        <v>26</v>
      </c>
      <c r="B436">
        <v>2022</v>
      </c>
      <c r="C436" t="s">
        <v>1101</v>
      </c>
      <c r="D436" t="s">
        <v>33</v>
      </c>
      <c r="E436" t="s">
        <v>1102</v>
      </c>
      <c r="F436" t="s">
        <v>35</v>
      </c>
      <c r="G436">
        <v>36.29</v>
      </c>
      <c r="H436">
        <v>66</v>
      </c>
      <c r="I436" t="s">
        <v>61</v>
      </c>
      <c r="J436" t="s">
        <v>18</v>
      </c>
      <c r="K436" t="s">
        <v>311</v>
      </c>
      <c r="L436">
        <v>48</v>
      </c>
      <c r="M436" t="str">
        <f t="shared" si="12"/>
        <v>High</v>
      </c>
      <c r="N436" t="str">
        <f t="shared" si="13"/>
        <v>Average</v>
      </c>
    </row>
    <row r="437" spans="1:14">
      <c r="A437" t="s">
        <v>26</v>
      </c>
      <c r="B437">
        <v>2017</v>
      </c>
      <c r="C437" t="s">
        <v>1103</v>
      </c>
      <c r="D437" t="s">
        <v>14</v>
      </c>
      <c r="E437" t="s">
        <v>1104</v>
      </c>
      <c r="F437" t="s">
        <v>57</v>
      </c>
      <c r="G437">
        <v>28.27</v>
      </c>
      <c r="H437">
        <v>81</v>
      </c>
      <c r="I437" t="s">
        <v>23</v>
      </c>
      <c r="J437" t="s">
        <v>18</v>
      </c>
      <c r="K437" t="s">
        <v>31</v>
      </c>
      <c r="L437">
        <v>357</v>
      </c>
      <c r="M437" t="str">
        <f t="shared" si="12"/>
        <v>Medium</v>
      </c>
      <c r="N437" t="str">
        <f t="shared" si="13"/>
        <v>Good</v>
      </c>
    </row>
    <row r="438" spans="1:14">
      <c r="A438" t="s">
        <v>65</v>
      </c>
      <c r="B438">
        <v>2013</v>
      </c>
      <c r="C438" t="s">
        <v>1105</v>
      </c>
      <c r="D438" t="s">
        <v>33</v>
      </c>
      <c r="E438" t="s">
        <v>1106</v>
      </c>
      <c r="F438" t="s">
        <v>42</v>
      </c>
      <c r="G438">
        <v>7.33</v>
      </c>
      <c r="H438">
        <v>75</v>
      </c>
      <c r="I438" t="s">
        <v>61</v>
      </c>
      <c r="J438" t="s">
        <v>37</v>
      </c>
      <c r="K438" t="s">
        <v>65</v>
      </c>
      <c r="L438">
        <v>117</v>
      </c>
      <c r="M438" t="str">
        <f t="shared" si="12"/>
        <v>Low</v>
      </c>
      <c r="N438" t="str">
        <f t="shared" si="13"/>
        <v>Good</v>
      </c>
    </row>
    <row r="439" spans="1:14">
      <c r="A439" t="s">
        <v>26</v>
      </c>
      <c r="B439">
        <v>2001</v>
      </c>
      <c r="C439" t="s">
        <v>1107</v>
      </c>
      <c r="D439" t="s">
        <v>14</v>
      </c>
      <c r="E439" t="s">
        <v>1108</v>
      </c>
      <c r="F439" t="s">
        <v>35</v>
      </c>
      <c r="G439">
        <v>20.98</v>
      </c>
      <c r="H439">
        <v>70</v>
      </c>
      <c r="I439" t="s">
        <v>17</v>
      </c>
      <c r="J439" t="s">
        <v>18</v>
      </c>
      <c r="K439" t="s">
        <v>38</v>
      </c>
      <c r="L439">
        <v>321</v>
      </c>
      <c r="M439" t="str">
        <f t="shared" si="12"/>
        <v>Medium</v>
      </c>
      <c r="N439" t="str">
        <f t="shared" si="13"/>
        <v>Average</v>
      </c>
    </row>
    <row r="440" spans="1:14">
      <c r="A440" t="s">
        <v>38</v>
      </c>
      <c r="B440">
        <v>2021</v>
      </c>
      <c r="C440" t="s">
        <v>1109</v>
      </c>
      <c r="D440" t="s">
        <v>14</v>
      </c>
      <c r="E440" t="s">
        <v>1110</v>
      </c>
      <c r="F440" t="s">
        <v>35</v>
      </c>
      <c r="G440">
        <v>20.6</v>
      </c>
      <c r="H440">
        <v>60</v>
      </c>
      <c r="I440" t="s">
        <v>29</v>
      </c>
      <c r="J440" t="s">
        <v>37</v>
      </c>
      <c r="K440" t="s">
        <v>26</v>
      </c>
      <c r="L440">
        <v>91</v>
      </c>
      <c r="M440" t="str">
        <f t="shared" si="12"/>
        <v>Medium</v>
      </c>
      <c r="N440" t="str">
        <f t="shared" si="13"/>
        <v>Average</v>
      </c>
    </row>
    <row r="441" spans="1:14">
      <c r="A441" t="s">
        <v>12</v>
      </c>
      <c r="B441">
        <v>2013</v>
      </c>
      <c r="C441" t="s">
        <v>1111</v>
      </c>
      <c r="D441" t="s">
        <v>33</v>
      </c>
      <c r="E441" t="s">
        <v>1112</v>
      </c>
      <c r="F441" t="s">
        <v>16</v>
      </c>
      <c r="G441">
        <v>36.94</v>
      </c>
      <c r="H441">
        <v>80</v>
      </c>
      <c r="I441" t="s">
        <v>17</v>
      </c>
      <c r="J441" t="s">
        <v>24</v>
      </c>
      <c r="K441" t="s">
        <v>387</v>
      </c>
      <c r="L441">
        <v>108</v>
      </c>
      <c r="M441" t="str">
        <f t="shared" si="12"/>
        <v>High</v>
      </c>
      <c r="N441" t="str">
        <f t="shared" si="13"/>
        <v>Good</v>
      </c>
    </row>
    <row r="442" spans="1:14">
      <c r="A442" t="s">
        <v>39</v>
      </c>
      <c r="B442">
        <v>2024</v>
      </c>
      <c r="C442" t="s">
        <v>1113</v>
      </c>
      <c r="D442" t="s">
        <v>33</v>
      </c>
      <c r="E442" t="s">
        <v>1114</v>
      </c>
      <c r="F442" t="s">
        <v>42</v>
      </c>
      <c r="G442">
        <v>47.99</v>
      </c>
      <c r="H442">
        <v>63</v>
      </c>
      <c r="I442" t="s">
        <v>17</v>
      </c>
      <c r="J442" t="s">
        <v>18</v>
      </c>
      <c r="K442" t="s">
        <v>39</v>
      </c>
      <c r="L442">
        <v>332</v>
      </c>
      <c r="M442" t="str">
        <f t="shared" si="12"/>
        <v>High</v>
      </c>
      <c r="N442" t="str">
        <f t="shared" si="13"/>
        <v>Average</v>
      </c>
    </row>
    <row r="443" spans="1:14">
      <c r="A443" t="s">
        <v>20</v>
      </c>
      <c r="B443">
        <v>2015</v>
      </c>
      <c r="C443" t="s">
        <v>1115</v>
      </c>
      <c r="D443" t="s">
        <v>14</v>
      </c>
      <c r="E443" t="s">
        <v>1116</v>
      </c>
      <c r="F443" t="s">
        <v>42</v>
      </c>
      <c r="G443">
        <v>10.32</v>
      </c>
      <c r="H443">
        <v>80</v>
      </c>
      <c r="I443" t="s">
        <v>23</v>
      </c>
      <c r="J443" t="s">
        <v>37</v>
      </c>
      <c r="K443" t="s">
        <v>465</v>
      </c>
      <c r="L443">
        <v>348</v>
      </c>
      <c r="M443" t="str">
        <f t="shared" si="12"/>
        <v>Low</v>
      </c>
      <c r="N443" t="str">
        <f t="shared" si="13"/>
        <v>Good</v>
      </c>
    </row>
    <row r="444" spans="1:14">
      <c r="A444" t="s">
        <v>26</v>
      </c>
      <c r="B444">
        <v>2009</v>
      </c>
      <c r="C444" t="s">
        <v>1117</v>
      </c>
      <c r="D444" t="s">
        <v>33</v>
      </c>
      <c r="E444" t="s">
        <v>1118</v>
      </c>
      <c r="F444" t="s">
        <v>46</v>
      </c>
      <c r="G444">
        <v>32.14</v>
      </c>
      <c r="H444">
        <v>77</v>
      </c>
      <c r="I444" t="s">
        <v>23</v>
      </c>
      <c r="J444" t="s">
        <v>37</v>
      </c>
      <c r="K444" t="s">
        <v>39</v>
      </c>
      <c r="L444">
        <v>275</v>
      </c>
      <c r="M444" t="str">
        <f t="shared" si="12"/>
        <v>Medium</v>
      </c>
      <c r="N444" t="str">
        <f t="shared" si="13"/>
        <v>Good</v>
      </c>
    </row>
    <row r="445" spans="1:14">
      <c r="A445" t="s">
        <v>39</v>
      </c>
      <c r="B445">
        <v>2002</v>
      </c>
      <c r="C445" t="s">
        <v>1119</v>
      </c>
      <c r="D445" t="s">
        <v>14</v>
      </c>
      <c r="E445" t="s">
        <v>1120</v>
      </c>
      <c r="F445" t="s">
        <v>16</v>
      </c>
      <c r="G445">
        <v>44.75</v>
      </c>
      <c r="H445">
        <v>80</v>
      </c>
      <c r="I445" t="s">
        <v>36</v>
      </c>
      <c r="J445" t="s">
        <v>18</v>
      </c>
      <c r="K445" t="s">
        <v>1121</v>
      </c>
      <c r="L445">
        <v>110</v>
      </c>
      <c r="M445" t="str">
        <f t="shared" si="12"/>
        <v>High</v>
      </c>
      <c r="N445" t="str">
        <f t="shared" si="13"/>
        <v>Good</v>
      </c>
    </row>
    <row r="446" spans="1:14">
      <c r="A446" t="s">
        <v>38</v>
      </c>
      <c r="B446">
        <v>2021</v>
      </c>
      <c r="C446" t="s">
        <v>1122</v>
      </c>
      <c r="D446" t="s">
        <v>33</v>
      </c>
      <c r="E446" t="s">
        <v>1123</v>
      </c>
      <c r="F446" t="s">
        <v>42</v>
      </c>
      <c r="G446">
        <v>8.57</v>
      </c>
      <c r="H446">
        <v>50</v>
      </c>
      <c r="I446" t="s">
        <v>17</v>
      </c>
      <c r="J446" t="s">
        <v>18</v>
      </c>
      <c r="K446" t="s">
        <v>220</v>
      </c>
      <c r="L446">
        <v>357</v>
      </c>
      <c r="M446" t="str">
        <f t="shared" si="12"/>
        <v>Low</v>
      </c>
      <c r="N446" t="str">
        <f t="shared" si="13"/>
        <v>Average</v>
      </c>
    </row>
    <row r="447" spans="1:14">
      <c r="A447" t="s">
        <v>20</v>
      </c>
      <c r="B447">
        <v>2013</v>
      </c>
      <c r="C447" t="s">
        <v>1124</v>
      </c>
      <c r="D447" t="s">
        <v>33</v>
      </c>
      <c r="E447" t="s">
        <v>1125</v>
      </c>
      <c r="F447" t="s">
        <v>42</v>
      </c>
      <c r="G447">
        <v>22.28</v>
      </c>
      <c r="H447">
        <v>64</v>
      </c>
      <c r="I447" t="s">
        <v>17</v>
      </c>
      <c r="J447" t="s">
        <v>37</v>
      </c>
      <c r="K447" t="s">
        <v>1126</v>
      </c>
      <c r="L447">
        <v>275</v>
      </c>
      <c r="M447" t="str">
        <f t="shared" si="12"/>
        <v>Medium</v>
      </c>
      <c r="N447" t="str">
        <f t="shared" si="13"/>
        <v>Average</v>
      </c>
    </row>
    <row r="448" spans="1:14">
      <c r="A448" t="s">
        <v>47</v>
      </c>
      <c r="B448">
        <v>2002</v>
      </c>
      <c r="C448" t="s">
        <v>1127</v>
      </c>
      <c r="D448" t="s">
        <v>33</v>
      </c>
      <c r="E448" t="s">
        <v>1128</v>
      </c>
      <c r="F448" t="s">
        <v>57</v>
      </c>
      <c r="G448">
        <v>19.77</v>
      </c>
      <c r="H448">
        <v>69</v>
      </c>
      <c r="I448" t="s">
        <v>29</v>
      </c>
      <c r="J448" t="s">
        <v>24</v>
      </c>
      <c r="K448" t="s">
        <v>31</v>
      </c>
      <c r="L448">
        <v>346</v>
      </c>
      <c r="M448" t="str">
        <f t="shared" si="12"/>
        <v>Medium</v>
      </c>
      <c r="N448" t="str">
        <f t="shared" si="13"/>
        <v>Average</v>
      </c>
    </row>
    <row r="449" spans="1:14">
      <c r="A449" t="s">
        <v>47</v>
      </c>
      <c r="B449">
        <v>2009</v>
      </c>
      <c r="C449" t="s">
        <v>1129</v>
      </c>
      <c r="D449" t="s">
        <v>33</v>
      </c>
      <c r="E449" t="s">
        <v>1130</v>
      </c>
      <c r="F449" t="s">
        <v>16</v>
      </c>
      <c r="G449">
        <v>17.53</v>
      </c>
      <c r="H449">
        <v>94</v>
      </c>
      <c r="I449" t="s">
        <v>36</v>
      </c>
      <c r="J449" t="s">
        <v>24</v>
      </c>
      <c r="K449" t="s">
        <v>1131</v>
      </c>
      <c r="L449">
        <v>122</v>
      </c>
      <c r="M449" t="str">
        <f t="shared" si="12"/>
        <v>Medium</v>
      </c>
      <c r="N449" t="str">
        <f t="shared" si="13"/>
        <v>Excellent</v>
      </c>
    </row>
    <row r="450" spans="1:14">
      <c r="A450" t="s">
        <v>26</v>
      </c>
      <c r="B450">
        <v>2022</v>
      </c>
      <c r="C450" t="s">
        <v>1132</v>
      </c>
      <c r="D450" t="s">
        <v>33</v>
      </c>
      <c r="E450" t="s">
        <v>1133</v>
      </c>
      <c r="F450" t="s">
        <v>46</v>
      </c>
      <c r="G450">
        <v>19.809999999999999</v>
      </c>
      <c r="H450">
        <v>81</v>
      </c>
      <c r="I450" t="s">
        <v>29</v>
      </c>
      <c r="J450" t="s">
        <v>18</v>
      </c>
      <c r="K450" t="s">
        <v>162</v>
      </c>
      <c r="L450">
        <v>253</v>
      </c>
      <c r="M450" t="str">
        <f t="shared" si="12"/>
        <v>Medium</v>
      </c>
      <c r="N450" t="str">
        <f t="shared" si="13"/>
        <v>Good</v>
      </c>
    </row>
    <row r="451" spans="1:14">
      <c r="A451" t="s">
        <v>20</v>
      </c>
      <c r="B451">
        <v>2006</v>
      </c>
      <c r="C451" t="s">
        <v>1134</v>
      </c>
      <c r="D451" t="s">
        <v>14</v>
      </c>
      <c r="E451" t="s">
        <v>1135</v>
      </c>
      <c r="F451" t="s">
        <v>42</v>
      </c>
      <c r="G451">
        <v>36.35</v>
      </c>
      <c r="H451">
        <v>61</v>
      </c>
      <c r="I451" t="s">
        <v>36</v>
      </c>
      <c r="J451" t="s">
        <v>24</v>
      </c>
      <c r="K451" t="s">
        <v>1136</v>
      </c>
      <c r="L451">
        <v>53</v>
      </c>
      <c r="M451" t="str">
        <f t="shared" ref="M451:M514" si="14">IF(G451&lt;15,"Low",IF(G451&lt;35,"Medium","High"))</f>
        <v>High</v>
      </c>
      <c r="N451" t="str">
        <f t="shared" ref="N451:N514" si="15">IF(H451&gt;=90,"Excellent",IF(H451&gt;=75,"Good","Average"))</f>
        <v>Average</v>
      </c>
    </row>
    <row r="452" spans="1:14">
      <c r="A452" t="s">
        <v>20</v>
      </c>
      <c r="B452">
        <v>2009</v>
      </c>
      <c r="C452" t="s">
        <v>1137</v>
      </c>
      <c r="D452" t="s">
        <v>14</v>
      </c>
      <c r="E452" t="s">
        <v>1138</v>
      </c>
      <c r="F452" t="s">
        <v>57</v>
      </c>
      <c r="G452">
        <v>26.68</v>
      </c>
      <c r="H452">
        <v>53</v>
      </c>
      <c r="I452" t="s">
        <v>29</v>
      </c>
      <c r="J452" t="s">
        <v>18</v>
      </c>
      <c r="K452" t="s">
        <v>12</v>
      </c>
      <c r="L452">
        <v>23</v>
      </c>
      <c r="M452" t="str">
        <f t="shared" si="14"/>
        <v>Medium</v>
      </c>
      <c r="N452" t="str">
        <f t="shared" si="15"/>
        <v>Average</v>
      </c>
    </row>
    <row r="453" spans="1:14">
      <c r="A453" t="s">
        <v>39</v>
      </c>
      <c r="B453">
        <v>2022</v>
      </c>
      <c r="C453" t="s">
        <v>1139</v>
      </c>
      <c r="D453" t="s">
        <v>33</v>
      </c>
      <c r="E453" t="s">
        <v>1140</v>
      </c>
      <c r="F453" t="s">
        <v>46</v>
      </c>
      <c r="G453">
        <v>40.65</v>
      </c>
      <c r="H453">
        <v>68</v>
      </c>
      <c r="I453" t="s">
        <v>61</v>
      </c>
      <c r="J453" t="s">
        <v>18</v>
      </c>
      <c r="K453" t="s">
        <v>1141</v>
      </c>
      <c r="L453">
        <v>51</v>
      </c>
      <c r="M453" t="str">
        <f t="shared" si="14"/>
        <v>High</v>
      </c>
      <c r="N453" t="str">
        <f t="shared" si="15"/>
        <v>Average</v>
      </c>
    </row>
    <row r="454" spans="1:14">
      <c r="A454" t="s">
        <v>31</v>
      </c>
      <c r="B454">
        <v>2018</v>
      </c>
      <c r="C454" t="s">
        <v>1142</v>
      </c>
      <c r="D454" t="s">
        <v>33</v>
      </c>
      <c r="E454" t="s">
        <v>1143</v>
      </c>
      <c r="F454" t="s">
        <v>57</v>
      </c>
      <c r="G454">
        <v>24.57</v>
      </c>
      <c r="H454">
        <v>95</v>
      </c>
      <c r="I454" t="s">
        <v>23</v>
      </c>
      <c r="J454" t="s">
        <v>37</v>
      </c>
      <c r="K454" t="s">
        <v>335</v>
      </c>
      <c r="L454">
        <v>56</v>
      </c>
      <c r="M454" t="str">
        <f t="shared" si="14"/>
        <v>Medium</v>
      </c>
      <c r="N454" t="str">
        <f t="shared" si="15"/>
        <v>Excellent</v>
      </c>
    </row>
    <row r="455" spans="1:14">
      <c r="A455" t="s">
        <v>39</v>
      </c>
      <c r="B455">
        <v>2019</v>
      </c>
      <c r="C455" t="s">
        <v>1144</v>
      </c>
      <c r="D455" t="s">
        <v>33</v>
      </c>
      <c r="E455" t="s">
        <v>1145</v>
      </c>
      <c r="F455" t="s">
        <v>16</v>
      </c>
      <c r="G455">
        <v>46.17</v>
      </c>
      <c r="H455">
        <v>51</v>
      </c>
      <c r="I455" t="s">
        <v>29</v>
      </c>
      <c r="J455" t="s">
        <v>18</v>
      </c>
      <c r="K455" t="s">
        <v>298</v>
      </c>
      <c r="L455">
        <v>22</v>
      </c>
      <c r="M455" t="str">
        <f t="shared" si="14"/>
        <v>High</v>
      </c>
      <c r="N455" t="str">
        <f t="shared" si="15"/>
        <v>Average</v>
      </c>
    </row>
    <row r="456" spans="1:14">
      <c r="A456" t="s">
        <v>20</v>
      </c>
      <c r="B456">
        <v>2025</v>
      </c>
      <c r="C456" t="s">
        <v>1146</v>
      </c>
      <c r="D456" t="s">
        <v>14</v>
      </c>
      <c r="E456" t="s">
        <v>1147</v>
      </c>
      <c r="F456" t="s">
        <v>46</v>
      </c>
      <c r="G456">
        <v>16.5</v>
      </c>
      <c r="H456">
        <v>79</v>
      </c>
      <c r="I456" t="s">
        <v>61</v>
      </c>
      <c r="J456" t="s">
        <v>24</v>
      </c>
      <c r="K456" t="s">
        <v>986</v>
      </c>
      <c r="L456">
        <v>304</v>
      </c>
      <c r="M456" t="str">
        <f t="shared" si="14"/>
        <v>Medium</v>
      </c>
      <c r="N456" t="str">
        <f t="shared" si="15"/>
        <v>Good</v>
      </c>
    </row>
    <row r="457" spans="1:14">
      <c r="A457" t="s">
        <v>26</v>
      </c>
      <c r="B457">
        <v>2011</v>
      </c>
      <c r="C457" t="s">
        <v>1148</v>
      </c>
      <c r="D457" t="s">
        <v>33</v>
      </c>
      <c r="E457" t="s">
        <v>1149</v>
      </c>
      <c r="F457" t="s">
        <v>57</v>
      </c>
      <c r="G457">
        <v>15.7</v>
      </c>
      <c r="H457">
        <v>68</v>
      </c>
      <c r="I457" t="s">
        <v>17</v>
      </c>
      <c r="J457" t="s">
        <v>24</v>
      </c>
      <c r="K457" t="s">
        <v>26</v>
      </c>
      <c r="L457">
        <v>143</v>
      </c>
      <c r="M457" t="str">
        <f t="shared" si="14"/>
        <v>Medium</v>
      </c>
      <c r="N457" t="str">
        <f t="shared" si="15"/>
        <v>Average</v>
      </c>
    </row>
    <row r="458" spans="1:14">
      <c r="A458" t="s">
        <v>31</v>
      </c>
      <c r="B458">
        <v>2016</v>
      </c>
      <c r="C458" t="s">
        <v>1150</v>
      </c>
      <c r="D458" t="s">
        <v>14</v>
      </c>
      <c r="E458" t="s">
        <v>1151</v>
      </c>
      <c r="F458" t="s">
        <v>42</v>
      </c>
      <c r="G458">
        <v>44.95</v>
      </c>
      <c r="H458">
        <v>70</v>
      </c>
      <c r="I458" t="s">
        <v>17</v>
      </c>
      <c r="J458" t="s">
        <v>37</v>
      </c>
      <c r="K458" t="s">
        <v>65</v>
      </c>
      <c r="L458">
        <v>330</v>
      </c>
      <c r="M458" t="str">
        <f t="shared" si="14"/>
        <v>High</v>
      </c>
      <c r="N458" t="str">
        <f t="shared" si="15"/>
        <v>Average</v>
      </c>
    </row>
    <row r="459" spans="1:14">
      <c r="A459" t="s">
        <v>65</v>
      </c>
      <c r="B459">
        <v>2020</v>
      </c>
      <c r="C459" t="s">
        <v>1152</v>
      </c>
      <c r="D459" t="s">
        <v>33</v>
      </c>
      <c r="E459" t="s">
        <v>1153</v>
      </c>
      <c r="F459" t="s">
        <v>46</v>
      </c>
      <c r="G459">
        <v>11.6</v>
      </c>
      <c r="H459">
        <v>70</v>
      </c>
      <c r="I459" t="s">
        <v>61</v>
      </c>
      <c r="J459" t="s">
        <v>24</v>
      </c>
      <c r="K459" t="s">
        <v>298</v>
      </c>
      <c r="L459">
        <v>126</v>
      </c>
      <c r="M459" t="str">
        <f t="shared" si="14"/>
        <v>Low</v>
      </c>
      <c r="N459" t="str">
        <f t="shared" si="15"/>
        <v>Average</v>
      </c>
    </row>
    <row r="460" spans="1:14">
      <c r="A460" t="s">
        <v>26</v>
      </c>
      <c r="B460">
        <v>2009</v>
      </c>
      <c r="C460" t="s">
        <v>1154</v>
      </c>
      <c r="D460" t="s">
        <v>33</v>
      </c>
      <c r="E460" t="s">
        <v>1155</v>
      </c>
      <c r="F460" t="s">
        <v>46</v>
      </c>
      <c r="G460">
        <v>2.48</v>
      </c>
      <c r="H460">
        <v>67</v>
      </c>
      <c r="I460" t="s">
        <v>61</v>
      </c>
      <c r="J460" t="s">
        <v>37</v>
      </c>
      <c r="K460" t="s">
        <v>1156</v>
      </c>
      <c r="L460">
        <v>106</v>
      </c>
      <c r="M460" t="str">
        <f t="shared" si="14"/>
        <v>Low</v>
      </c>
      <c r="N460" t="str">
        <f t="shared" si="15"/>
        <v>Average</v>
      </c>
    </row>
    <row r="461" spans="1:14">
      <c r="A461" t="s">
        <v>68</v>
      </c>
      <c r="B461">
        <v>2002</v>
      </c>
      <c r="C461" t="s">
        <v>1157</v>
      </c>
      <c r="D461" t="s">
        <v>14</v>
      </c>
      <c r="E461" t="s">
        <v>1158</v>
      </c>
      <c r="F461" t="s">
        <v>46</v>
      </c>
      <c r="G461">
        <v>22</v>
      </c>
      <c r="H461">
        <v>91</v>
      </c>
      <c r="I461" t="s">
        <v>17</v>
      </c>
      <c r="J461" t="s">
        <v>18</v>
      </c>
      <c r="K461" t="s">
        <v>1159</v>
      </c>
      <c r="L461">
        <v>85</v>
      </c>
      <c r="M461" t="str">
        <f t="shared" si="14"/>
        <v>Medium</v>
      </c>
      <c r="N461" t="str">
        <f t="shared" si="15"/>
        <v>Excellent</v>
      </c>
    </row>
    <row r="462" spans="1:14">
      <c r="A462" t="s">
        <v>47</v>
      </c>
      <c r="B462">
        <v>2001</v>
      </c>
      <c r="C462" t="s">
        <v>1160</v>
      </c>
      <c r="D462" t="s">
        <v>14</v>
      </c>
      <c r="E462" t="s">
        <v>1161</v>
      </c>
      <c r="F462" t="s">
        <v>46</v>
      </c>
      <c r="G462">
        <v>22.1</v>
      </c>
      <c r="H462">
        <v>73</v>
      </c>
      <c r="I462" t="s">
        <v>17</v>
      </c>
      <c r="J462" t="s">
        <v>37</v>
      </c>
      <c r="K462" t="s">
        <v>47</v>
      </c>
      <c r="L462">
        <v>74</v>
      </c>
      <c r="M462" t="str">
        <f t="shared" si="14"/>
        <v>Medium</v>
      </c>
      <c r="N462" t="str">
        <f t="shared" si="15"/>
        <v>Average</v>
      </c>
    </row>
    <row r="463" spans="1:14">
      <c r="A463" t="s">
        <v>65</v>
      </c>
      <c r="B463">
        <v>2023</v>
      </c>
      <c r="C463" t="s">
        <v>1162</v>
      </c>
      <c r="D463" t="s">
        <v>33</v>
      </c>
      <c r="E463" t="s">
        <v>1163</v>
      </c>
      <c r="F463" t="s">
        <v>46</v>
      </c>
      <c r="G463">
        <v>47.66</v>
      </c>
      <c r="H463">
        <v>92</v>
      </c>
      <c r="I463" t="s">
        <v>61</v>
      </c>
      <c r="J463" t="s">
        <v>24</v>
      </c>
      <c r="K463" t="s">
        <v>31</v>
      </c>
      <c r="L463">
        <v>345</v>
      </c>
      <c r="M463" t="str">
        <f t="shared" si="14"/>
        <v>High</v>
      </c>
      <c r="N463" t="str">
        <f t="shared" si="15"/>
        <v>Excellent</v>
      </c>
    </row>
    <row r="464" spans="1:14">
      <c r="A464" t="s">
        <v>38</v>
      </c>
      <c r="B464">
        <v>2013</v>
      </c>
      <c r="C464" t="s">
        <v>1164</v>
      </c>
      <c r="D464" t="s">
        <v>33</v>
      </c>
      <c r="E464" t="s">
        <v>1165</v>
      </c>
      <c r="F464" t="s">
        <v>46</v>
      </c>
      <c r="G464">
        <v>39.74</v>
      </c>
      <c r="H464">
        <v>58</v>
      </c>
      <c r="I464" t="s">
        <v>17</v>
      </c>
      <c r="J464" t="s">
        <v>37</v>
      </c>
      <c r="K464" t="s">
        <v>636</v>
      </c>
      <c r="L464">
        <v>237</v>
      </c>
      <c r="M464" t="str">
        <f t="shared" si="14"/>
        <v>High</v>
      </c>
      <c r="N464" t="str">
        <f t="shared" si="15"/>
        <v>Average</v>
      </c>
    </row>
    <row r="465" spans="1:14">
      <c r="A465" t="s">
        <v>12</v>
      </c>
      <c r="B465">
        <v>2009</v>
      </c>
      <c r="C465" t="s">
        <v>1166</v>
      </c>
      <c r="D465" t="s">
        <v>33</v>
      </c>
      <c r="E465" t="s">
        <v>1167</v>
      </c>
      <c r="F465" t="s">
        <v>16</v>
      </c>
      <c r="G465">
        <v>1.54</v>
      </c>
      <c r="H465">
        <v>56</v>
      </c>
      <c r="I465" t="s">
        <v>29</v>
      </c>
      <c r="J465" t="s">
        <v>24</v>
      </c>
      <c r="K465" t="s">
        <v>157</v>
      </c>
      <c r="L465">
        <v>262</v>
      </c>
      <c r="M465" t="str">
        <f t="shared" si="14"/>
        <v>Low</v>
      </c>
      <c r="N465" t="str">
        <f t="shared" si="15"/>
        <v>Average</v>
      </c>
    </row>
    <row r="466" spans="1:14">
      <c r="A466" t="s">
        <v>65</v>
      </c>
      <c r="B466">
        <v>2000</v>
      </c>
      <c r="C466" t="s">
        <v>1168</v>
      </c>
      <c r="D466" t="s">
        <v>33</v>
      </c>
      <c r="E466" t="s">
        <v>1169</v>
      </c>
      <c r="F466" t="s">
        <v>16</v>
      </c>
      <c r="G466">
        <v>27</v>
      </c>
      <c r="H466">
        <v>52</v>
      </c>
      <c r="I466" t="s">
        <v>61</v>
      </c>
      <c r="J466" t="s">
        <v>37</v>
      </c>
      <c r="K466" t="s">
        <v>537</v>
      </c>
      <c r="L466">
        <v>224</v>
      </c>
      <c r="M466" t="str">
        <f t="shared" si="14"/>
        <v>Medium</v>
      </c>
      <c r="N466" t="str">
        <f t="shared" si="15"/>
        <v>Average</v>
      </c>
    </row>
    <row r="467" spans="1:14">
      <c r="A467" t="s">
        <v>26</v>
      </c>
      <c r="B467">
        <v>2020</v>
      </c>
      <c r="C467" t="s">
        <v>1170</v>
      </c>
      <c r="D467" t="s">
        <v>14</v>
      </c>
      <c r="E467" t="s">
        <v>1171</v>
      </c>
      <c r="F467" t="s">
        <v>16</v>
      </c>
      <c r="G467">
        <v>3.55</v>
      </c>
      <c r="H467">
        <v>88</v>
      </c>
      <c r="I467" t="s">
        <v>61</v>
      </c>
      <c r="J467" t="s">
        <v>37</v>
      </c>
      <c r="K467" t="s">
        <v>1172</v>
      </c>
      <c r="L467">
        <v>242</v>
      </c>
      <c r="M467" t="str">
        <f t="shared" si="14"/>
        <v>Low</v>
      </c>
      <c r="N467" t="str">
        <f t="shared" si="15"/>
        <v>Good</v>
      </c>
    </row>
    <row r="468" spans="1:14">
      <c r="A468" t="s">
        <v>38</v>
      </c>
      <c r="B468">
        <v>2012</v>
      </c>
      <c r="C468" t="s">
        <v>1173</v>
      </c>
      <c r="D468" t="s">
        <v>33</v>
      </c>
      <c r="E468" t="s">
        <v>1174</v>
      </c>
      <c r="F468" t="s">
        <v>42</v>
      </c>
      <c r="G468">
        <v>0.96</v>
      </c>
      <c r="H468">
        <v>91</v>
      </c>
      <c r="I468" t="s">
        <v>61</v>
      </c>
      <c r="J468" t="s">
        <v>18</v>
      </c>
      <c r="K468" t="s">
        <v>68</v>
      </c>
      <c r="L468">
        <v>166</v>
      </c>
      <c r="M468" t="str">
        <f t="shared" si="14"/>
        <v>Low</v>
      </c>
      <c r="N468" t="str">
        <f t="shared" si="15"/>
        <v>Excellent</v>
      </c>
    </row>
    <row r="469" spans="1:14">
      <c r="A469" t="s">
        <v>26</v>
      </c>
      <c r="B469">
        <v>2012</v>
      </c>
      <c r="C469" t="s">
        <v>1175</v>
      </c>
      <c r="D469" t="s">
        <v>14</v>
      </c>
      <c r="E469" t="s">
        <v>1176</v>
      </c>
      <c r="F469" t="s">
        <v>16</v>
      </c>
      <c r="G469">
        <v>27.05</v>
      </c>
      <c r="H469">
        <v>81</v>
      </c>
      <c r="I469" t="s">
        <v>36</v>
      </c>
      <c r="J469" t="s">
        <v>18</v>
      </c>
      <c r="K469" t="s">
        <v>1177</v>
      </c>
      <c r="L469">
        <v>247</v>
      </c>
      <c r="M469" t="str">
        <f t="shared" si="14"/>
        <v>Medium</v>
      </c>
      <c r="N469" t="str">
        <f t="shared" si="15"/>
        <v>Good</v>
      </c>
    </row>
    <row r="470" spans="1:14">
      <c r="A470" t="s">
        <v>20</v>
      </c>
      <c r="B470">
        <v>2003</v>
      </c>
      <c r="C470" t="s">
        <v>1178</v>
      </c>
      <c r="D470" t="s">
        <v>33</v>
      </c>
      <c r="E470" t="s">
        <v>1179</v>
      </c>
      <c r="F470" t="s">
        <v>42</v>
      </c>
      <c r="G470">
        <v>30.29</v>
      </c>
      <c r="H470">
        <v>52</v>
      </c>
      <c r="I470" t="s">
        <v>61</v>
      </c>
      <c r="J470" t="s">
        <v>37</v>
      </c>
      <c r="K470" t="s">
        <v>1180</v>
      </c>
      <c r="L470">
        <v>177</v>
      </c>
      <c r="M470" t="str">
        <f t="shared" si="14"/>
        <v>Medium</v>
      </c>
      <c r="N470" t="str">
        <f t="shared" si="15"/>
        <v>Average</v>
      </c>
    </row>
    <row r="471" spans="1:14">
      <c r="A471" t="s">
        <v>38</v>
      </c>
      <c r="B471">
        <v>2023</v>
      </c>
      <c r="C471" t="s">
        <v>1181</v>
      </c>
      <c r="D471" t="s">
        <v>33</v>
      </c>
      <c r="E471" t="s">
        <v>1182</v>
      </c>
      <c r="F471" t="s">
        <v>42</v>
      </c>
      <c r="G471">
        <v>39.46</v>
      </c>
      <c r="H471">
        <v>50</v>
      </c>
      <c r="I471" t="s">
        <v>17</v>
      </c>
      <c r="J471" t="s">
        <v>37</v>
      </c>
      <c r="K471" t="s">
        <v>26</v>
      </c>
      <c r="L471">
        <v>155</v>
      </c>
      <c r="M471" t="str">
        <f t="shared" si="14"/>
        <v>High</v>
      </c>
      <c r="N471" t="str">
        <f t="shared" si="15"/>
        <v>Average</v>
      </c>
    </row>
    <row r="472" spans="1:14">
      <c r="A472" t="s">
        <v>68</v>
      </c>
      <c r="B472">
        <v>2025</v>
      </c>
      <c r="C472" t="s">
        <v>1183</v>
      </c>
      <c r="D472" t="s">
        <v>33</v>
      </c>
      <c r="E472" t="s">
        <v>1184</v>
      </c>
      <c r="F472" t="s">
        <v>57</v>
      </c>
      <c r="G472">
        <v>46.27</v>
      </c>
      <c r="H472">
        <v>90</v>
      </c>
      <c r="I472" t="s">
        <v>17</v>
      </c>
      <c r="J472" t="s">
        <v>37</v>
      </c>
      <c r="K472" t="s">
        <v>38</v>
      </c>
      <c r="L472">
        <v>293</v>
      </c>
      <c r="M472" t="str">
        <f t="shared" si="14"/>
        <v>High</v>
      </c>
      <c r="N472" t="str">
        <f t="shared" si="15"/>
        <v>Excellent</v>
      </c>
    </row>
    <row r="473" spans="1:14">
      <c r="A473" t="s">
        <v>12</v>
      </c>
      <c r="B473">
        <v>2007</v>
      </c>
      <c r="C473" t="s">
        <v>1185</v>
      </c>
      <c r="D473" t="s">
        <v>14</v>
      </c>
      <c r="E473" t="s">
        <v>1186</v>
      </c>
      <c r="F473" t="s">
        <v>16</v>
      </c>
      <c r="G473">
        <v>16.850000000000001</v>
      </c>
      <c r="H473">
        <v>57</v>
      </c>
      <c r="I473" t="s">
        <v>17</v>
      </c>
      <c r="J473" t="s">
        <v>37</v>
      </c>
      <c r="K473" t="s">
        <v>47</v>
      </c>
      <c r="L473">
        <v>39</v>
      </c>
      <c r="M473" t="str">
        <f t="shared" si="14"/>
        <v>Medium</v>
      </c>
      <c r="N473" t="str">
        <f t="shared" si="15"/>
        <v>Average</v>
      </c>
    </row>
    <row r="474" spans="1:14">
      <c r="A474" t="s">
        <v>39</v>
      </c>
      <c r="B474">
        <v>2020</v>
      </c>
      <c r="C474" t="s">
        <v>1187</v>
      </c>
      <c r="D474" t="s">
        <v>14</v>
      </c>
      <c r="E474" t="s">
        <v>1188</v>
      </c>
      <c r="F474" t="s">
        <v>46</v>
      </c>
      <c r="G474">
        <v>41.01</v>
      </c>
      <c r="H474">
        <v>71</v>
      </c>
      <c r="I474" t="s">
        <v>23</v>
      </c>
      <c r="J474" t="s">
        <v>18</v>
      </c>
      <c r="K474" t="s">
        <v>1189</v>
      </c>
      <c r="L474">
        <v>181</v>
      </c>
      <c r="M474" t="str">
        <f t="shared" si="14"/>
        <v>High</v>
      </c>
      <c r="N474" t="str">
        <f t="shared" si="15"/>
        <v>Average</v>
      </c>
    </row>
    <row r="475" spans="1:14">
      <c r="A475" t="s">
        <v>48</v>
      </c>
      <c r="B475">
        <v>2009</v>
      </c>
      <c r="C475" t="s">
        <v>1190</v>
      </c>
      <c r="D475" t="s">
        <v>33</v>
      </c>
      <c r="E475" t="s">
        <v>1191</v>
      </c>
      <c r="F475" t="s">
        <v>57</v>
      </c>
      <c r="G475">
        <v>35.75</v>
      </c>
      <c r="H475">
        <v>74</v>
      </c>
      <c r="I475" t="s">
        <v>36</v>
      </c>
      <c r="J475" t="s">
        <v>24</v>
      </c>
      <c r="K475" t="s">
        <v>1192</v>
      </c>
      <c r="L475">
        <v>125</v>
      </c>
      <c r="M475" t="str">
        <f t="shared" si="14"/>
        <v>High</v>
      </c>
      <c r="N475" t="str">
        <f t="shared" si="15"/>
        <v>Average</v>
      </c>
    </row>
    <row r="476" spans="1:14">
      <c r="A476" t="s">
        <v>20</v>
      </c>
      <c r="B476">
        <v>2001</v>
      </c>
      <c r="C476" t="s">
        <v>1193</v>
      </c>
      <c r="D476" t="s">
        <v>14</v>
      </c>
      <c r="E476" t="s">
        <v>1194</v>
      </c>
      <c r="F476" t="s">
        <v>46</v>
      </c>
      <c r="G476">
        <v>30.77</v>
      </c>
      <c r="H476">
        <v>100</v>
      </c>
      <c r="I476" t="s">
        <v>23</v>
      </c>
      <c r="J476" t="s">
        <v>37</v>
      </c>
      <c r="K476" t="s">
        <v>488</v>
      </c>
      <c r="L476">
        <v>346</v>
      </c>
      <c r="M476" t="str">
        <f t="shared" si="14"/>
        <v>Medium</v>
      </c>
      <c r="N476" t="str">
        <f t="shared" si="15"/>
        <v>Excellent</v>
      </c>
    </row>
    <row r="477" spans="1:14">
      <c r="A477" t="s">
        <v>26</v>
      </c>
      <c r="B477">
        <v>2003</v>
      </c>
      <c r="C477" t="s">
        <v>1195</v>
      </c>
      <c r="D477" t="s">
        <v>33</v>
      </c>
      <c r="E477" t="s">
        <v>1196</v>
      </c>
      <c r="F477" t="s">
        <v>57</v>
      </c>
      <c r="G477">
        <v>34.409999999999997</v>
      </c>
      <c r="H477">
        <v>59</v>
      </c>
      <c r="I477" t="s">
        <v>23</v>
      </c>
      <c r="J477" t="s">
        <v>24</v>
      </c>
      <c r="K477" t="s">
        <v>1197</v>
      </c>
      <c r="L477">
        <v>42</v>
      </c>
      <c r="M477" t="str">
        <f t="shared" si="14"/>
        <v>Medium</v>
      </c>
      <c r="N477" t="str">
        <f t="shared" si="15"/>
        <v>Average</v>
      </c>
    </row>
    <row r="478" spans="1:14">
      <c r="A478" t="s">
        <v>38</v>
      </c>
      <c r="B478">
        <v>2013</v>
      </c>
      <c r="C478" t="s">
        <v>1198</v>
      </c>
      <c r="D478" t="s">
        <v>33</v>
      </c>
      <c r="E478" t="s">
        <v>1199</v>
      </c>
      <c r="F478" t="s">
        <v>42</v>
      </c>
      <c r="G478">
        <v>15.35</v>
      </c>
      <c r="H478">
        <v>50</v>
      </c>
      <c r="I478" t="s">
        <v>17</v>
      </c>
      <c r="J478" t="s">
        <v>18</v>
      </c>
      <c r="K478" t="s">
        <v>48</v>
      </c>
      <c r="L478">
        <v>101</v>
      </c>
      <c r="M478" t="str">
        <f t="shared" si="14"/>
        <v>Medium</v>
      </c>
      <c r="N478" t="str">
        <f t="shared" si="15"/>
        <v>Average</v>
      </c>
    </row>
    <row r="479" spans="1:14">
      <c r="A479" t="s">
        <v>31</v>
      </c>
      <c r="B479">
        <v>2011</v>
      </c>
      <c r="C479" t="s">
        <v>1200</v>
      </c>
      <c r="D479" t="s">
        <v>33</v>
      </c>
      <c r="E479" t="s">
        <v>1201</v>
      </c>
      <c r="F479" t="s">
        <v>42</v>
      </c>
      <c r="G479">
        <v>35.369999999999997</v>
      </c>
      <c r="H479">
        <v>94</v>
      </c>
      <c r="I479" t="s">
        <v>61</v>
      </c>
      <c r="J479" t="s">
        <v>37</v>
      </c>
      <c r="K479" t="s">
        <v>20</v>
      </c>
      <c r="L479">
        <v>330</v>
      </c>
      <c r="M479" t="str">
        <f t="shared" si="14"/>
        <v>High</v>
      </c>
      <c r="N479" t="str">
        <f t="shared" si="15"/>
        <v>Excellent</v>
      </c>
    </row>
    <row r="480" spans="1:14">
      <c r="A480" t="s">
        <v>47</v>
      </c>
      <c r="B480">
        <v>2017</v>
      </c>
      <c r="C480" t="s">
        <v>1202</v>
      </c>
      <c r="D480" t="s">
        <v>33</v>
      </c>
      <c r="E480" t="s">
        <v>1203</v>
      </c>
      <c r="F480" t="s">
        <v>57</v>
      </c>
      <c r="G480">
        <v>24.99</v>
      </c>
      <c r="H480">
        <v>58</v>
      </c>
      <c r="I480" t="s">
        <v>61</v>
      </c>
      <c r="J480" t="s">
        <v>24</v>
      </c>
      <c r="K480" t="s">
        <v>298</v>
      </c>
      <c r="L480">
        <v>58</v>
      </c>
      <c r="M480" t="str">
        <f t="shared" si="14"/>
        <v>Medium</v>
      </c>
      <c r="N480" t="str">
        <f t="shared" si="15"/>
        <v>Average</v>
      </c>
    </row>
    <row r="481" spans="1:14">
      <c r="A481" t="s">
        <v>20</v>
      </c>
      <c r="B481">
        <v>2014</v>
      </c>
      <c r="C481" t="s">
        <v>1204</v>
      </c>
      <c r="D481" t="s">
        <v>33</v>
      </c>
      <c r="E481" t="s">
        <v>1205</v>
      </c>
      <c r="F481" t="s">
        <v>35</v>
      </c>
      <c r="G481">
        <v>3.07</v>
      </c>
      <c r="H481">
        <v>74</v>
      </c>
      <c r="I481" t="s">
        <v>17</v>
      </c>
      <c r="J481" t="s">
        <v>37</v>
      </c>
      <c r="K481" t="s">
        <v>65</v>
      </c>
      <c r="L481">
        <v>331</v>
      </c>
      <c r="M481" t="str">
        <f t="shared" si="14"/>
        <v>Low</v>
      </c>
      <c r="N481" t="str">
        <f t="shared" si="15"/>
        <v>Average</v>
      </c>
    </row>
    <row r="482" spans="1:14">
      <c r="A482" t="s">
        <v>68</v>
      </c>
      <c r="B482">
        <v>2001</v>
      </c>
      <c r="C482" t="s">
        <v>1206</v>
      </c>
      <c r="D482" t="s">
        <v>14</v>
      </c>
      <c r="E482" t="s">
        <v>1207</v>
      </c>
      <c r="F482" t="s">
        <v>46</v>
      </c>
      <c r="G482">
        <v>21.98</v>
      </c>
      <c r="H482">
        <v>53</v>
      </c>
      <c r="I482" t="s">
        <v>61</v>
      </c>
      <c r="J482" t="s">
        <v>37</v>
      </c>
      <c r="K482" t="s">
        <v>65</v>
      </c>
      <c r="L482">
        <v>206</v>
      </c>
      <c r="M482" t="str">
        <f t="shared" si="14"/>
        <v>Medium</v>
      </c>
      <c r="N482" t="str">
        <f t="shared" si="15"/>
        <v>Average</v>
      </c>
    </row>
    <row r="483" spans="1:14">
      <c r="A483" t="s">
        <v>38</v>
      </c>
      <c r="B483">
        <v>2024</v>
      </c>
      <c r="C483" t="s">
        <v>1208</v>
      </c>
      <c r="D483" t="s">
        <v>14</v>
      </c>
      <c r="E483" t="s">
        <v>1209</v>
      </c>
      <c r="F483" t="s">
        <v>46</v>
      </c>
      <c r="G483">
        <v>31.48</v>
      </c>
      <c r="H483">
        <v>60</v>
      </c>
      <c r="I483" t="s">
        <v>36</v>
      </c>
      <c r="J483" t="s">
        <v>18</v>
      </c>
      <c r="K483" t="s">
        <v>537</v>
      </c>
      <c r="L483">
        <v>141</v>
      </c>
      <c r="M483" t="str">
        <f t="shared" si="14"/>
        <v>Medium</v>
      </c>
      <c r="N483" t="str">
        <f t="shared" si="15"/>
        <v>Average</v>
      </c>
    </row>
    <row r="484" spans="1:14">
      <c r="A484" t="s">
        <v>68</v>
      </c>
      <c r="B484">
        <v>2005</v>
      </c>
      <c r="C484" t="s">
        <v>1210</v>
      </c>
      <c r="D484" t="s">
        <v>33</v>
      </c>
      <c r="E484" t="s">
        <v>1211</v>
      </c>
      <c r="F484" t="s">
        <v>16</v>
      </c>
      <c r="G484">
        <v>22.82</v>
      </c>
      <c r="H484">
        <v>81</v>
      </c>
      <c r="I484" t="s">
        <v>29</v>
      </c>
      <c r="J484" t="s">
        <v>24</v>
      </c>
      <c r="K484" t="s">
        <v>78</v>
      </c>
      <c r="L484">
        <v>304</v>
      </c>
      <c r="M484" t="str">
        <f t="shared" si="14"/>
        <v>Medium</v>
      </c>
      <c r="N484" t="str">
        <f t="shared" si="15"/>
        <v>Good</v>
      </c>
    </row>
    <row r="485" spans="1:14">
      <c r="A485" t="s">
        <v>39</v>
      </c>
      <c r="B485">
        <v>2005</v>
      </c>
      <c r="C485" t="s">
        <v>1212</v>
      </c>
      <c r="D485" t="s">
        <v>14</v>
      </c>
      <c r="E485" t="s">
        <v>1213</v>
      </c>
      <c r="F485" t="s">
        <v>42</v>
      </c>
      <c r="G485">
        <v>8.33</v>
      </c>
      <c r="H485">
        <v>54</v>
      </c>
      <c r="I485" t="s">
        <v>61</v>
      </c>
      <c r="J485" t="s">
        <v>18</v>
      </c>
      <c r="K485" t="s">
        <v>1214</v>
      </c>
      <c r="L485">
        <v>41</v>
      </c>
      <c r="M485" t="str">
        <f t="shared" si="14"/>
        <v>Low</v>
      </c>
      <c r="N485" t="str">
        <f t="shared" si="15"/>
        <v>Average</v>
      </c>
    </row>
    <row r="486" spans="1:14">
      <c r="A486" t="s">
        <v>12</v>
      </c>
      <c r="B486">
        <v>2005</v>
      </c>
      <c r="C486" t="s">
        <v>1215</v>
      </c>
      <c r="D486" t="s">
        <v>33</v>
      </c>
      <c r="E486" t="s">
        <v>1216</v>
      </c>
      <c r="F486" t="s">
        <v>42</v>
      </c>
      <c r="G486">
        <v>43.36</v>
      </c>
      <c r="H486">
        <v>73</v>
      </c>
      <c r="I486" t="s">
        <v>23</v>
      </c>
      <c r="J486" t="s">
        <v>18</v>
      </c>
      <c r="K486" t="s">
        <v>78</v>
      </c>
      <c r="L486">
        <v>25</v>
      </c>
      <c r="M486" t="str">
        <f t="shared" si="14"/>
        <v>High</v>
      </c>
      <c r="N486" t="str">
        <f t="shared" si="15"/>
        <v>Average</v>
      </c>
    </row>
    <row r="487" spans="1:14">
      <c r="A487" t="s">
        <v>47</v>
      </c>
      <c r="B487">
        <v>2000</v>
      </c>
      <c r="C487" t="s">
        <v>1217</v>
      </c>
      <c r="D487" t="s">
        <v>33</v>
      </c>
      <c r="E487" t="s">
        <v>1218</v>
      </c>
      <c r="F487" t="s">
        <v>42</v>
      </c>
      <c r="G487">
        <v>1.45</v>
      </c>
      <c r="H487">
        <v>68</v>
      </c>
      <c r="I487" t="s">
        <v>29</v>
      </c>
      <c r="J487" t="s">
        <v>18</v>
      </c>
      <c r="K487" t="s">
        <v>1219</v>
      </c>
      <c r="L487">
        <v>189</v>
      </c>
      <c r="M487" t="str">
        <f t="shared" si="14"/>
        <v>Low</v>
      </c>
      <c r="N487" t="str">
        <f t="shared" si="15"/>
        <v>Average</v>
      </c>
    </row>
    <row r="488" spans="1:14">
      <c r="A488" t="s">
        <v>38</v>
      </c>
      <c r="B488">
        <v>2020</v>
      </c>
      <c r="C488" t="s">
        <v>1220</v>
      </c>
      <c r="D488" t="s">
        <v>33</v>
      </c>
      <c r="E488" t="s">
        <v>1221</v>
      </c>
      <c r="F488" t="s">
        <v>46</v>
      </c>
      <c r="G488">
        <v>10.92</v>
      </c>
      <c r="H488">
        <v>82</v>
      </c>
      <c r="I488" t="s">
        <v>29</v>
      </c>
      <c r="J488" t="s">
        <v>37</v>
      </c>
      <c r="K488" t="s">
        <v>65</v>
      </c>
      <c r="L488">
        <v>183</v>
      </c>
      <c r="M488" t="str">
        <f t="shared" si="14"/>
        <v>Low</v>
      </c>
      <c r="N488" t="str">
        <f t="shared" si="15"/>
        <v>Good</v>
      </c>
    </row>
    <row r="489" spans="1:14">
      <c r="A489" t="s">
        <v>12</v>
      </c>
      <c r="B489">
        <v>2000</v>
      </c>
      <c r="C489" t="s">
        <v>1222</v>
      </c>
      <c r="D489" t="s">
        <v>33</v>
      </c>
      <c r="E489" t="s">
        <v>1223</v>
      </c>
      <c r="F489" t="s">
        <v>16</v>
      </c>
      <c r="G489">
        <v>30.28</v>
      </c>
      <c r="H489">
        <v>96</v>
      </c>
      <c r="I489" t="s">
        <v>23</v>
      </c>
      <c r="J489" t="s">
        <v>24</v>
      </c>
      <c r="K489" t="s">
        <v>65</v>
      </c>
      <c r="L489">
        <v>130</v>
      </c>
      <c r="M489" t="str">
        <f t="shared" si="14"/>
        <v>Medium</v>
      </c>
      <c r="N489" t="str">
        <f t="shared" si="15"/>
        <v>Excellent</v>
      </c>
    </row>
    <row r="490" spans="1:14">
      <c r="A490" t="s">
        <v>26</v>
      </c>
      <c r="B490">
        <v>2019</v>
      </c>
      <c r="C490" t="s">
        <v>1224</v>
      </c>
      <c r="D490" t="s">
        <v>14</v>
      </c>
      <c r="E490" t="s">
        <v>1225</v>
      </c>
      <c r="F490" t="s">
        <v>42</v>
      </c>
      <c r="G490">
        <v>4.3600000000000003</v>
      </c>
      <c r="H490">
        <v>77</v>
      </c>
      <c r="I490" t="s">
        <v>17</v>
      </c>
      <c r="J490" t="s">
        <v>24</v>
      </c>
      <c r="K490" t="s">
        <v>1226</v>
      </c>
      <c r="L490">
        <v>268</v>
      </c>
      <c r="M490" t="str">
        <f t="shared" si="14"/>
        <v>Low</v>
      </c>
      <c r="N490" t="str">
        <f t="shared" si="15"/>
        <v>Good</v>
      </c>
    </row>
    <row r="491" spans="1:14">
      <c r="A491" t="s">
        <v>47</v>
      </c>
      <c r="B491">
        <v>2006</v>
      </c>
      <c r="C491" t="s">
        <v>1227</v>
      </c>
      <c r="D491" t="s">
        <v>14</v>
      </c>
      <c r="E491" t="s">
        <v>449</v>
      </c>
      <c r="F491" t="s">
        <v>35</v>
      </c>
      <c r="G491">
        <v>46.54</v>
      </c>
      <c r="H491">
        <v>58</v>
      </c>
      <c r="I491" t="s">
        <v>61</v>
      </c>
      <c r="J491" t="s">
        <v>18</v>
      </c>
      <c r="K491" t="s">
        <v>65</v>
      </c>
      <c r="L491">
        <v>316</v>
      </c>
      <c r="M491" t="str">
        <f t="shared" si="14"/>
        <v>High</v>
      </c>
      <c r="N491" t="str">
        <f t="shared" si="15"/>
        <v>Average</v>
      </c>
    </row>
    <row r="492" spans="1:14">
      <c r="A492" t="s">
        <v>39</v>
      </c>
      <c r="B492">
        <v>2003</v>
      </c>
      <c r="C492" t="s">
        <v>1228</v>
      </c>
      <c r="D492" t="s">
        <v>14</v>
      </c>
      <c r="E492" t="s">
        <v>1229</v>
      </c>
      <c r="F492" t="s">
        <v>42</v>
      </c>
      <c r="G492">
        <v>46.74</v>
      </c>
      <c r="H492">
        <v>98</v>
      </c>
      <c r="I492" t="s">
        <v>36</v>
      </c>
      <c r="J492" t="s">
        <v>24</v>
      </c>
      <c r="K492" t="s">
        <v>615</v>
      </c>
      <c r="L492">
        <v>206</v>
      </c>
      <c r="M492" t="str">
        <f t="shared" si="14"/>
        <v>High</v>
      </c>
      <c r="N492" t="str">
        <f t="shared" si="15"/>
        <v>Excellent</v>
      </c>
    </row>
    <row r="493" spans="1:14">
      <c r="A493" t="s">
        <v>31</v>
      </c>
      <c r="B493">
        <v>2017</v>
      </c>
      <c r="C493" t="s">
        <v>1230</v>
      </c>
      <c r="D493" t="s">
        <v>33</v>
      </c>
      <c r="E493" t="s">
        <v>1231</v>
      </c>
      <c r="F493" t="s">
        <v>57</v>
      </c>
      <c r="G493">
        <v>45.69</v>
      </c>
      <c r="H493">
        <v>63</v>
      </c>
      <c r="I493" t="s">
        <v>17</v>
      </c>
      <c r="J493" t="s">
        <v>24</v>
      </c>
      <c r="K493" t="s">
        <v>956</v>
      </c>
      <c r="L493">
        <v>52</v>
      </c>
      <c r="M493" t="str">
        <f t="shared" si="14"/>
        <v>High</v>
      </c>
      <c r="N493" t="str">
        <f t="shared" si="15"/>
        <v>Average</v>
      </c>
    </row>
    <row r="494" spans="1:14">
      <c r="A494" t="s">
        <v>39</v>
      </c>
      <c r="B494">
        <v>2012</v>
      </c>
      <c r="C494" t="s">
        <v>1232</v>
      </c>
      <c r="D494" t="s">
        <v>14</v>
      </c>
      <c r="E494" t="s">
        <v>1233</v>
      </c>
      <c r="F494" t="s">
        <v>35</v>
      </c>
      <c r="G494">
        <v>39.130000000000003</v>
      </c>
      <c r="H494">
        <v>93</v>
      </c>
      <c r="I494" t="s">
        <v>23</v>
      </c>
      <c r="J494" t="s">
        <v>24</v>
      </c>
      <c r="K494" t="s">
        <v>1234</v>
      </c>
      <c r="L494">
        <v>114</v>
      </c>
      <c r="M494" t="str">
        <f t="shared" si="14"/>
        <v>High</v>
      </c>
      <c r="N494" t="str">
        <f t="shared" si="15"/>
        <v>Excellent</v>
      </c>
    </row>
    <row r="495" spans="1:14">
      <c r="A495" t="s">
        <v>26</v>
      </c>
      <c r="B495">
        <v>2000</v>
      </c>
      <c r="C495" t="s">
        <v>1235</v>
      </c>
      <c r="D495" t="s">
        <v>14</v>
      </c>
      <c r="E495" t="s">
        <v>1236</v>
      </c>
      <c r="F495" t="s">
        <v>46</v>
      </c>
      <c r="G495">
        <v>34.03</v>
      </c>
      <c r="H495">
        <v>61</v>
      </c>
      <c r="I495" t="s">
        <v>29</v>
      </c>
      <c r="J495" t="s">
        <v>24</v>
      </c>
      <c r="K495" t="s">
        <v>1237</v>
      </c>
      <c r="L495">
        <v>225</v>
      </c>
      <c r="M495" t="str">
        <f t="shared" si="14"/>
        <v>Medium</v>
      </c>
      <c r="N495" t="str">
        <f t="shared" si="15"/>
        <v>Average</v>
      </c>
    </row>
    <row r="496" spans="1:14">
      <c r="A496" t="s">
        <v>12</v>
      </c>
      <c r="B496">
        <v>2018</v>
      </c>
      <c r="C496" t="s">
        <v>1238</v>
      </c>
      <c r="D496" t="s">
        <v>14</v>
      </c>
      <c r="E496" t="s">
        <v>1239</v>
      </c>
      <c r="F496" t="s">
        <v>57</v>
      </c>
      <c r="G496">
        <v>46.25</v>
      </c>
      <c r="H496">
        <v>82</v>
      </c>
      <c r="I496" t="s">
        <v>23</v>
      </c>
      <c r="J496" t="s">
        <v>24</v>
      </c>
      <c r="K496" t="s">
        <v>184</v>
      </c>
      <c r="L496">
        <v>125</v>
      </c>
      <c r="M496" t="str">
        <f t="shared" si="14"/>
        <v>High</v>
      </c>
      <c r="N496" t="str">
        <f t="shared" si="15"/>
        <v>Good</v>
      </c>
    </row>
    <row r="497" spans="1:14">
      <c r="A497" t="s">
        <v>12</v>
      </c>
      <c r="B497">
        <v>2019</v>
      </c>
      <c r="C497" t="s">
        <v>1240</v>
      </c>
      <c r="D497" t="s">
        <v>33</v>
      </c>
      <c r="E497" t="s">
        <v>1241</v>
      </c>
      <c r="F497" t="s">
        <v>16</v>
      </c>
      <c r="G497">
        <v>48.18</v>
      </c>
      <c r="H497">
        <v>86</v>
      </c>
      <c r="I497" t="s">
        <v>61</v>
      </c>
      <c r="J497" t="s">
        <v>24</v>
      </c>
      <c r="K497" t="s">
        <v>38</v>
      </c>
      <c r="L497">
        <v>217</v>
      </c>
      <c r="M497" t="str">
        <f t="shared" si="14"/>
        <v>High</v>
      </c>
      <c r="N497" t="str">
        <f t="shared" si="15"/>
        <v>Good</v>
      </c>
    </row>
    <row r="498" spans="1:14">
      <c r="A498" t="s">
        <v>26</v>
      </c>
      <c r="B498">
        <v>2025</v>
      </c>
      <c r="C498" t="s">
        <v>1242</v>
      </c>
      <c r="D498" t="s">
        <v>33</v>
      </c>
      <c r="E498" t="s">
        <v>1243</v>
      </c>
      <c r="F498" t="s">
        <v>16</v>
      </c>
      <c r="G498">
        <v>12.09</v>
      </c>
      <c r="H498">
        <v>57</v>
      </c>
      <c r="I498" t="s">
        <v>61</v>
      </c>
      <c r="J498" t="s">
        <v>37</v>
      </c>
      <c r="K498" t="s">
        <v>1244</v>
      </c>
      <c r="L498">
        <v>117</v>
      </c>
      <c r="M498" t="str">
        <f t="shared" si="14"/>
        <v>Low</v>
      </c>
      <c r="N498" t="str">
        <f t="shared" si="15"/>
        <v>Average</v>
      </c>
    </row>
    <row r="499" spans="1:14">
      <c r="A499" t="s">
        <v>47</v>
      </c>
      <c r="B499">
        <v>2004</v>
      </c>
      <c r="C499" t="s">
        <v>1245</v>
      </c>
      <c r="D499" t="s">
        <v>14</v>
      </c>
      <c r="E499" t="s">
        <v>1246</v>
      </c>
      <c r="F499" t="s">
        <v>16</v>
      </c>
      <c r="G499">
        <v>9.67</v>
      </c>
      <c r="H499">
        <v>56</v>
      </c>
      <c r="I499" t="s">
        <v>36</v>
      </c>
      <c r="J499" t="s">
        <v>24</v>
      </c>
      <c r="K499" t="s">
        <v>38</v>
      </c>
      <c r="L499">
        <v>335</v>
      </c>
      <c r="M499" t="str">
        <f t="shared" si="14"/>
        <v>Low</v>
      </c>
      <c r="N499" t="str">
        <f t="shared" si="15"/>
        <v>Average</v>
      </c>
    </row>
    <row r="500" spans="1:14">
      <c r="A500" t="s">
        <v>47</v>
      </c>
      <c r="B500">
        <v>2013</v>
      </c>
      <c r="C500" t="s">
        <v>1247</v>
      </c>
      <c r="D500" t="s">
        <v>14</v>
      </c>
      <c r="E500" t="s">
        <v>1248</v>
      </c>
      <c r="F500" t="s">
        <v>35</v>
      </c>
      <c r="G500">
        <v>46.73</v>
      </c>
      <c r="H500">
        <v>74</v>
      </c>
      <c r="I500" t="s">
        <v>29</v>
      </c>
      <c r="J500" t="s">
        <v>24</v>
      </c>
      <c r="K500" t="s">
        <v>1249</v>
      </c>
      <c r="L500">
        <v>349</v>
      </c>
      <c r="M500" t="str">
        <f t="shared" si="14"/>
        <v>High</v>
      </c>
      <c r="N500" t="str">
        <f t="shared" si="15"/>
        <v>Average</v>
      </c>
    </row>
    <row r="501" spans="1:14">
      <c r="A501" t="s">
        <v>48</v>
      </c>
      <c r="B501">
        <v>2021</v>
      </c>
      <c r="C501" t="s">
        <v>1250</v>
      </c>
      <c r="D501" t="s">
        <v>33</v>
      </c>
      <c r="E501" t="s">
        <v>1251</v>
      </c>
      <c r="F501" t="s">
        <v>16</v>
      </c>
      <c r="G501">
        <v>3.62</v>
      </c>
      <c r="H501">
        <v>62</v>
      </c>
      <c r="I501" t="s">
        <v>17</v>
      </c>
      <c r="J501" t="s">
        <v>24</v>
      </c>
      <c r="K501" t="s">
        <v>513</v>
      </c>
      <c r="L501">
        <v>133</v>
      </c>
      <c r="M501" t="str">
        <f t="shared" si="14"/>
        <v>Low</v>
      </c>
      <c r="N501" t="str">
        <f t="shared" si="15"/>
        <v>Average</v>
      </c>
    </row>
    <row r="502" spans="1:14">
      <c r="A502" t="s">
        <v>31</v>
      </c>
      <c r="B502">
        <v>2009</v>
      </c>
      <c r="C502" t="s">
        <v>1252</v>
      </c>
      <c r="D502" t="s">
        <v>33</v>
      </c>
      <c r="E502" t="s">
        <v>1253</v>
      </c>
      <c r="F502" t="s">
        <v>57</v>
      </c>
      <c r="G502">
        <v>3.15</v>
      </c>
      <c r="H502">
        <v>74</v>
      </c>
      <c r="I502" t="s">
        <v>36</v>
      </c>
      <c r="J502" t="s">
        <v>18</v>
      </c>
      <c r="K502" t="s">
        <v>48</v>
      </c>
      <c r="L502">
        <v>207</v>
      </c>
      <c r="M502" t="str">
        <f t="shared" si="14"/>
        <v>Low</v>
      </c>
      <c r="N502" t="str">
        <f t="shared" si="15"/>
        <v>Average</v>
      </c>
    </row>
    <row r="503" spans="1:14">
      <c r="A503" t="s">
        <v>12</v>
      </c>
      <c r="B503">
        <v>2004</v>
      </c>
      <c r="C503" t="s">
        <v>1254</v>
      </c>
      <c r="D503" t="s">
        <v>14</v>
      </c>
      <c r="E503" t="s">
        <v>1255</v>
      </c>
      <c r="F503" t="s">
        <v>16</v>
      </c>
      <c r="G503">
        <v>31.94</v>
      </c>
      <c r="H503">
        <v>75</v>
      </c>
      <c r="I503" t="s">
        <v>29</v>
      </c>
      <c r="J503" t="s">
        <v>24</v>
      </c>
      <c r="K503" t="s">
        <v>97</v>
      </c>
      <c r="L503">
        <v>143</v>
      </c>
      <c r="M503" t="str">
        <f t="shared" si="14"/>
        <v>Medium</v>
      </c>
      <c r="N503" t="str">
        <f t="shared" si="15"/>
        <v>Good</v>
      </c>
    </row>
    <row r="504" spans="1:14">
      <c r="A504" t="s">
        <v>68</v>
      </c>
      <c r="B504">
        <v>2025</v>
      </c>
      <c r="C504" t="s">
        <v>1256</v>
      </c>
      <c r="D504" t="s">
        <v>33</v>
      </c>
      <c r="E504" t="s">
        <v>1257</v>
      </c>
      <c r="F504" t="s">
        <v>16</v>
      </c>
      <c r="G504">
        <v>34.71</v>
      </c>
      <c r="H504">
        <v>59</v>
      </c>
      <c r="I504" t="s">
        <v>61</v>
      </c>
      <c r="J504" t="s">
        <v>37</v>
      </c>
      <c r="K504" t="s">
        <v>38</v>
      </c>
      <c r="L504">
        <v>33</v>
      </c>
      <c r="M504" t="str">
        <f t="shared" si="14"/>
        <v>Medium</v>
      </c>
      <c r="N504" t="str">
        <f t="shared" si="15"/>
        <v>Average</v>
      </c>
    </row>
    <row r="505" spans="1:14">
      <c r="A505" t="s">
        <v>26</v>
      </c>
      <c r="B505">
        <v>2014</v>
      </c>
      <c r="C505" t="s">
        <v>1258</v>
      </c>
      <c r="D505" t="s">
        <v>14</v>
      </c>
      <c r="E505" t="s">
        <v>1259</v>
      </c>
      <c r="F505" t="s">
        <v>16</v>
      </c>
      <c r="G505">
        <v>25.49</v>
      </c>
      <c r="H505">
        <v>64</v>
      </c>
      <c r="I505" t="s">
        <v>17</v>
      </c>
      <c r="J505" t="s">
        <v>24</v>
      </c>
      <c r="K505" t="s">
        <v>1260</v>
      </c>
      <c r="L505">
        <v>90</v>
      </c>
      <c r="M505" t="str">
        <f t="shared" si="14"/>
        <v>Medium</v>
      </c>
      <c r="N505" t="str">
        <f t="shared" si="15"/>
        <v>Average</v>
      </c>
    </row>
    <row r="506" spans="1:14">
      <c r="A506" t="s">
        <v>68</v>
      </c>
      <c r="B506">
        <v>2015</v>
      </c>
      <c r="C506" t="s">
        <v>1261</v>
      </c>
      <c r="D506" t="s">
        <v>33</v>
      </c>
      <c r="E506" t="s">
        <v>1262</v>
      </c>
      <c r="F506" t="s">
        <v>16</v>
      </c>
      <c r="G506">
        <v>30.87</v>
      </c>
      <c r="H506">
        <v>78</v>
      </c>
      <c r="I506" t="s">
        <v>23</v>
      </c>
      <c r="J506" t="s">
        <v>37</v>
      </c>
      <c r="K506" t="s">
        <v>209</v>
      </c>
      <c r="L506">
        <v>314</v>
      </c>
      <c r="M506" t="str">
        <f t="shared" si="14"/>
        <v>Medium</v>
      </c>
      <c r="N506" t="str">
        <f t="shared" si="15"/>
        <v>Good</v>
      </c>
    </row>
    <row r="507" spans="1:14">
      <c r="A507" t="s">
        <v>48</v>
      </c>
      <c r="B507">
        <v>2003</v>
      </c>
      <c r="C507" t="s">
        <v>1263</v>
      </c>
      <c r="D507" t="s">
        <v>33</v>
      </c>
      <c r="E507" t="s">
        <v>1264</v>
      </c>
      <c r="F507" t="s">
        <v>46</v>
      </c>
      <c r="G507">
        <v>34.81</v>
      </c>
      <c r="H507">
        <v>69</v>
      </c>
      <c r="I507" t="s">
        <v>17</v>
      </c>
      <c r="J507" t="s">
        <v>37</v>
      </c>
      <c r="K507" t="s">
        <v>1265</v>
      </c>
      <c r="L507">
        <v>74</v>
      </c>
      <c r="M507" t="str">
        <f t="shared" si="14"/>
        <v>Medium</v>
      </c>
      <c r="N507" t="str">
        <f t="shared" si="15"/>
        <v>Average</v>
      </c>
    </row>
    <row r="508" spans="1:14">
      <c r="A508" t="s">
        <v>47</v>
      </c>
      <c r="B508">
        <v>2018</v>
      </c>
      <c r="C508" t="s">
        <v>1266</v>
      </c>
      <c r="D508" t="s">
        <v>14</v>
      </c>
      <c r="E508" t="s">
        <v>1267</v>
      </c>
      <c r="F508" t="s">
        <v>16</v>
      </c>
      <c r="G508">
        <v>45.44</v>
      </c>
      <c r="H508">
        <v>76</v>
      </c>
      <c r="I508" t="s">
        <v>36</v>
      </c>
      <c r="J508" t="s">
        <v>37</v>
      </c>
      <c r="K508" t="s">
        <v>20</v>
      </c>
      <c r="L508">
        <v>346</v>
      </c>
      <c r="M508" t="str">
        <f t="shared" si="14"/>
        <v>High</v>
      </c>
      <c r="N508" t="str">
        <f t="shared" si="15"/>
        <v>Good</v>
      </c>
    </row>
    <row r="509" spans="1:14">
      <c r="A509" t="s">
        <v>38</v>
      </c>
      <c r="B509">
        <v>2023</v>
      </c>
      <c r="C509" t="s">
        <v>1268</v>
      </c>
      <c r="D509" t="s">
        <v>33</v>
      </c>
      <c r="E509" t="s">
        <v>1269</v>
      </c>
      <c r="F509" t="s">
        <v>16</v>
      </c>
      <c r="G509">
        <v>6.35</v>
      </c>
      <c r="H509">
        <v>94</v>
      </c>
      <c r="I509" t="s">
        <v>17</v>
      </c>
      <c r="J509" t="s">
        <v>24</v>
      </c>
      <c r="K509" t="s">
        <v>31</v>
      </c>
      <c r="L509">
        <v>66</v>
      </c>
      <c r="M509" t="str">
        <f t="shared" si="14"/>
        <v>Low</v>
      </c>
      <c r="N509" t="str">
        <f t="shared" si="15"/>
        <v>Excellent</v>
      </c>
    </row>
    <row r="510" spans="1:14">
      <c r="A510" t="s">
        <v>48</v>
      </c>
      <c r="B510">
        <v>2006</v>
      </c>
      <c r="C510" t="s">
        <v>1270</v>
      </c>
      <c r="D510" t="s">
        <v>33</v>
      </c>
      <c r="E510" t="s">
        <v>1271</v>
      </c>
      <c r="F510" t="s">
        <v>16</v>
      </c>
      <c r="G510">
        <v>14.38</v>
      </c>
      <c r="H510">
        <v>95</v>
      </c>
      <c r="I510" t="s">
        <v>29</v>
      </c>
      <c r="J510" t="s">
        <v>24</v>
      </c>
      <c r="K510" t="s">
        <v>31</v>
      </c>
      <c r="L510">
        <v>102</v>
      </c>
      <c r="M510" t="str">
        <f t="shared" si="14"/>
        <v>Low</v>
      </c>
      <c r="N510" t="str">
        <f t="shared" si="15"/>
        <v>Excellent</v>
      </c>
    </row>
    <row r="511" spans="1:14">
      <c r="A511" t="s">
        <v>38</v>
      </c>
      <c r="B511">
        <v>2004</v>
      </c>
      <c r="C511" t="s">
        <v>1272</v>
      </c>
      <c r="D511" t="s">
        <v>14</v>
      </c>
      <c r="E511" t="s">
        <v>1273</v>
      </c>
      <c r="F511" t="s">
        <v>57</v>
      </c>
      <c r="G511">
        <v>27.27</v>
      </c>
      <c r="H511">
        <v>73</v>
      </c>
      <c r="I511" t="s">
        <v>23</v>
      </c>
      <c r="J511" t="s">
        <v>24</v>
      </c>
      <c r="K511" t="s">
        <v>31</v>
      </c>
      <c r="L511">
        <v>233</v>
      </c>
      <c r="M511" t="str">
        <f t="shared" si="14"/>
        <v>Medium</v>
      </c>
      <c r="N511" t="str">
        <f t="shared" si="15"/>
        <v>Average</v>
      </c>
    </row>
    <row r="512" spans="1:14">
      <c r="A512" t="s">
        <v>20</v>
      </c>
      <c r="B512">
        <v>2013</v>
      </c>
      <c r="C512" t="s">
        <v>1274</v>
      </c>
      <c r="D512" t="s">
        <v>14</v>
      </c>
      <c r="E512" t="s">
        <v>1275</v>
      </c>
      <c r="F512" t="s">
        <v>16</v>
      </c>
      <c r="G512">
        <v>49.47</v>
      </c>
      <c r="H512">
        <v>85</v>
      </c>
      <c r="I512" t="s">
        <v>17</v>
      </c>
      <c r="J512" t="s">
        <v>37</v>
      </c>
      <c r="K512" t="s">
        <v>1276</v>
      </c>
      <c r="L512">
        <v>56</v>
      </c>
      <c r="M512" t="str">
        <f t="shared" si="14"/>
        <v>High</v>
      </c>
      <c r="N512" t="str">
        <f t="shared" si="15"/>
        <v>Good</v>
      </c>
    </row>
    <row r="513" spans="1:14">
      <c r="A513" t="s">
        <v>12</v>
      </c>
      <c r="B513">
        <v>2012</v>
      </c>
      <c r="C513" t="s">
        <v>1277</v>
      </c>
      <c r="D513" t="s">
        <v>33</v>
      </c>
      <c r="E513" t="s">
        <v>1278</v>
      </c>
      <c r="F513" t="s">
        <v>16</v>
      </c>
      <c r="G513">
        <v>2.57</v>
      </c>
      <c r="H513">
        <v>76</v>
      </c>
      <c r="I513" t="s">
        <v>61</v>
      </c>
      <c r="J513" t="s">
        <v>18</v>
      </c>
      <c r="K513" t="s">
        <v>20</v>
      </c>
      <c r="L513">
        <v>126</v>
      </c>
      <c r="M513" t="str">
        <f t="shared" si="14"/>
        <v>Low</v>
      </c>
      <c r="N513" t="str">
        <f t="shared" si="15"/>
        <v>Good</v>
      </c>
    </row>
    <row r="514" spans="1:14">
      <c r="A514" t="s">
        <v>68</v>
      </c>
      <c r="B514">
        <v>2005</v>
      </c>
      <c r="C514" t="s">
        <v>1279</v>
      </c>
      <c r="D514" t="s">
        <v>14</v>
      </c>
      <c r="E514" t="s">
        <v>1280</v>
      </c>
      <c r="F514" t="s">
        <v>35</v>
      </c>
      <c r="G514">
        <v>29.23</v>
      </c>
      <c r="H514">
        <v>76</v>
      </c>
      <c r="I514" t="s">
        <v>61</v>
      </c>
      <c r="J514" t="s">
        <v>18</v>
      </c>
      <c r="K514" t="s">
        <v>20</v>
      </c>
      <c r="L514">
        <v>116</v>
      </c>
      <c r="M514" t="str">
        <f t="shared" si="14"/>
        <v>Medium</v>
      </c>
      <c r="N514" t="str">
        <f t="shared" si="15"/>
        <v>Good</v>
      </c>
    </row>
    <row r="515" spans="1:14">
      <c r="A515" t="s">
        <v>31</v>
      </c>
      <c r="B515">
        <v>2010</v>
      </c>
      <c r="C515" t="s">
        <v>1281</v>
      </c>
      <c r="D515" t="s">
        <v>33</v>
      </c>
      <c r="E515" t="s">
        <v>1282</v>
      </c>
      <c r="F515" t="s">
        <v>35</v>
      </c>
      <c r="G515">
        <v>0.53</v>
      </c>
      <c r="H515">
        <v>55</v>
      </c>
      <c r="I515" t="s">
        <v>17</v>
      </c>
      <c r="J515" t="s">
        <v>18</v>
      </c>
      <c r="K515" t="s">
        <v>1283</v>
      </c>
      <c r="L515">
        <v>161</v>
      </c>
      <c r="M515" t="str">
        <f t="shared" ref="M515:M578" si="16">IF(G515&lt;15,"Low",IF(G515&lt;35,"Medium","High"))</f>
        <v>Low</v>
      </c>
      <c r="N515" t="str">
        <f t="shared" ref="N515:N578" si="17">IF(H515&gt;=90,"Excellent",IF(H515&gt;=75,"Good","Average"))</f>
        <v>Average</v>
      </c>
    </row>
    <row r="516" spans="1:14">
      <c r="A516" t="s">
        <v>31</v>
      </c>
      <c r="B516">
        <v>2004</v>
      </c>
      <c r="C516" t="s">
        <v>1284</v>
      </c>
      <c r="D516" t="s">
        <v>33</v>
      </c>
      <c r="E516" t="s">
        <v>363</v>
      </c>
      <c r="F516" t="s">
        <v>57</v>
      </c>
      <c r="G516">
        <v>16.170000000000002</v>
      </c>
      <c r="H516">
        <v>60</v>
      </c>
      <c r="I516" t="s">
        <v>61</v>
      </c>
      <c r="J516" t="s">
        <v>18</v>
      </c>
      <c r="K516" t="s">
        <v>1285</v>
      </c>
      <c r="L516">
        <v>205</v>
      </c>
      <c r="M516" t="str">
        <f t="shared" si="16"/>
        <v>Medium</v>
      </c>
      <c r="N516" t="str">
        <f t="shared" si="17"/>
        <v>Average</v>
      </c>
    </row>
    <row r="517" spans="1:14">
      <c r="A517" t="s">
        <v>47</v>
      </c>
      <c r="B517">
        <v>2012</v>
      </c>
      <c r="C517" t="s">
        <v>1286</v>
      </c>
      <c r="D517" t="s">
        <v>33</v>
      </c>
      <c r="E517" t="s">
        <v>1287</v>
      </c>
      <c r="F517" t="s">
        <v>57</v>
      </c>
      <c r="G517">
        <v>47.02</v>
      </c>
      <c r="H517">
        <v>69</v>
      </c>
      <c r="I517" t="s">
        <v>61</v>
      </c>
      <c r="J517" t="s">
        <v>18</v>
      </c>
      <c r="K517" t="s">
        <v>667</v>
      </c>
      <c r="L517">
        <v>17</v>
      </c>
      <c r="M517" t="str">
        <f t="shared" si="16"/>
        <v>High</v>
      </c>
      <c r="N517" t="str">
        <f t="shared" si="17"/>
        <v>Average</v>
      </c>
    </row>
    <row r="518" spans="1:14">
      <c r="A518" t="s">
        <v>39</v>
      </c>
      <c r="B518">
        <v>2025</v>
      </c>
      <c r="C518" t="s">
        <v>1288</v>
      </c>
      <c r="D518" t="s">
        <v>14</v>
      </c>
      <c r="E518" t="s">
        <v>1289</v>
      </c>
      <c r="F518" t="s">
        <v>16</v>
      </c>
      <c r="G518">
        <v>45.2</v>
      </c>
      <c r="H518">
        <v>53</v>
      </c>
      <c r="I518" t="s">
        <v>36</v>
      </c>
      <c r="J518" t="s">
        <v>18</v>
      </c>
      <c r="K518" t="s">
        <v>184</v>
      </c>
      <c r="L518">
        <v>16</v>
      </c>
      <c r="M518" t="str">
        <f t="shared" si="16"/>
        <v>High</v>
      </c>
      <c r="N518" t="str">
        <f t="shared" si="17"/>
        <v>Average</v>
      </c>
    </row>
    <row r="519" spans="1:14">
      <c r="A519" t="s">
        <v>39</v>
      </c>
      <c r="B519">
        <v>2013</v>
      </c>
      <c r="C519" t="s">
        <v>1290</v>
      </c>
      <c r="D519" t="s">
        <v>33</v>
      </c>
      <c r="E519" t="s">
        <v>1291</v>
      </c>
      <c r="F519" t="s">
        <v>42</v>
      </c>
      <c r="G519">
        <v>27.93</v>
      </c>
      <c r="H519">
        <v>97</v>
      </c>
      <c r="I519" t="s">
        <v>61</v>
      </c>
      <c r="J519" t="s">
        <v>18</v>
      </c>
      <c r="K519" t="s">
        <v>1292</v>
      </c>
      <c r="L519">
        <v>196</v>
      </c>
      <c r="M519" t="str">
        <f t="shared" si="16"/>
        <v>Medium</v>
      </c>
      <c r="N519" t="str">
        <f t="shared" si="17"/>
        <v>Excellent</v>
      </c>
    </row>
    <row r="520" spans="1:14">
      <c r="A520" t="s">
        <v>68</v>
      </c>
      <c r="B520">
        <v>2019</v>
      </c>
      <c r="C520" t="s">
        <v>1293</v>
      </c>
      <c r="D520" t="s">
        <v>33</v>
      </c>
      <c r="E520" t="s">
        <v>1294</v>
      </c>
      <c r="F520" t="s">
        <v>46</v>
      </c>
      <c r="G520">
        <v>10.56</v>
      </c>
      <c r="H520">
        <v>60</v>
      </c>
      <c r="I520" t="s">
        <v>17</v>
      </c>
      <c r="J520" t="s">
        <v>18</v>
      </c>
      <c r="K520" t="s">
        <v>38</v>
      </c>
      <c r="L520">
        <v>68</v>
      </c>
      <c r="M520" t="str">
        <f t="shared" si="16"/>
        <v>Low</v>
      </c>
      <c r="N520" t="str">
        <f t="shared" si="17"/>
        <v>Average</v>
      </c>
    </row>
    <row r="521" spans="1:14">
      <c r="A521" t="s">
        <v>39</v>
      </c>
      <c r="B521">
        <v>2018</v>
      </c>
      <c r="C521" t="s">
        <v>1295</v>
      </c>
      <c r="D521" t="s">
        <v>14</v>
      </c>
      <c r="E521" t="s">
        <v>1296</v>
      </c>
      <c r="F521" t="s">
        <v>57</v>
      </c>
      <c r="G521">
        <v>16.510000000000002</v>
      </c>
      <c r="H521">
        <v>63</v>
      </c>
      <c r="I521" t="s">
        <v>23</v>
      </c>
      <c r="J521" t="s">
        <v>18</v>
      </c>
      <c r="K521" t="s">
        <v>1297</v>
      </c>
      <c r="L521">
        <v>350</v>
      </c>
      <c r="M521" t="str">
        <f t="shared" si="16"/>
        <v>Medium</v>
      </c>
      <c r="N521" t="str">
        <f t="shared" si="17"/>
        <v>Average</v>
      </c>
    </row>
    <row r="522" spans="1:14">
      <c r="A522" t="s">
        <v>48</v>
      </c>
      <c r="B522">
        <v>2002</v>
      </c>
      <c r="C522" t="s">
        <v>1298</v>
      </c>
      <c r="D522" t="s">
        <v>14</v>
      </c>
      <c r="E522" t="s">
        <v>1299</v>
      </c>
      <c r="F522" t="s">
        <v>42</v>
      </c>
      <c r="G522">
        <v>35.19</v>
      </c>
      <c r="H522">
        <v>77</v>
      </c>
      <c r="I522" t="s">
        <v>61</v>
      </c>
      <c r="J522" t="s">
        <v>24</v>
      </c>
      <c r="K522" t="s">
        <v>708</v>
      </c>
      <c r="L522">
        <v>173</v>
      </c>
      <c r="M522" t="str">
        <f t="shared" si="16"/>
        <v>High</v>
      </c>
      <c r="N522" t="str">
        <f t="shared" si="17"/>
        <v>Good</v>
      </c>
    </row>
    <row r="523" spans="1:14">
      <c r="A523" t="s">
        <v>12</v>
      </c>
      <c r="B523">
        <v>2013</v>
      </c>
      <c r="C523" t="s">
        <v>1300</v>
      </c>
      <c r="D523" t="s">
        <v>14</v>
      </c>
      <c r="E523" t="s">
        <v>1301</v>
      </c>
      <c r="F523" t="s">
        <v>46</v>
      </c>
      <c r="G523">
        <v>28.48</v>
      </c>
      <c r="H523">
        <v>73</v>
      </c>
      <c r="I523" t="s">
        <v>23</v>
      </c>
      <c r="J523" t="s">
        <v>37</v>
      </c>
      <c r="K523" t="s">
        <v>48</v>
      </c>
      <c r="L523">
        <v>318</v>
      </c>
      <c r="M523" t="str">
        <f t="shared" si="16"/>
        <v>Medium</v>
      </c>
      <c r="N523" t="str">
        <f t="shared" si="17"/>
        <v>Average</v>
      </c>
    </row>
    <row r="524" spans="1:14">
      <c r="A524" t="s">
        <v>31</v>
      </c>
      <c r="B524">
        <v>2002</v>
      </c>
      <c r="C524" t="s">
        <v>1302</v>
      </c>
      <c r="D524" t="s">
        <v>14</v>
      </c>
      <c r="E524" t="s">
        <v>1303</v>
      </c>
      <c r="F524" t="s">
        <v>46</v>
      </c>
      <c r="G524">
        <v>14.66</v>
      </c>
      <c r="H524">
        <v>84</v>
      </c>
      <c r="I524" t="s">
        <v>36</v>
      </c>
      <c r="J524" t="s">
        <v>18</v>
      </c>
      <c r="K524" t="s">
        <v>38</v>
      </c>
      <c r="L524">
        <v>159</v>
      </c>
      <c r="M524" t="str">
        <f t="shared" si="16"/>
        <v>Low</v>
      </c>
      <c r="N524" t="str">
        <f t="shared" si="17"/>
        <v>Good</v>
      </c>
    </row>
    <row r="525" spans="1:14">
      <c r="A525" t="s">
        <v>31</v>
      </c>
      <c r="B525">
        <v>2009</v>
      </c>
      <c r="C525" t="s">
        <v>1304</v>
      </c>
      <c r="D525" t="s">
        <v>14</v>
      </c>
      <c r="E525" t="s">
        <v>1305</v>
      </c>
      <c r="F525" t="s">
        <v>46</v>
      </c>
      <c r="G525">
        <v>41.66</v>
      </c>
      <c r="H525">
        <v>76</v>
      </c>
      <c r="I525" t="s">
        <v>23</v>
      </c>
      <c r="J525" t="s">
        <v>37</v>
      </c>
      <c r="K525" t="s">
        <v>1285</v>
      </c>
      <c r="L525">
        <v>178</v>
      </c>
      <c r="M525" t="str">
        <f t="shared" si="16"/>
        <v>High</v>
      </c>
      <c r="N525" t="str">
        <f t="shared" si="17"/>
        <v>Good</v>
      </c>
    </row>
    <row r="526" spans="1:14">
      <c r="A526" t="s">
        <v>31</v>
      </c>
      <c r="B526">
        <v>2024</v>
      </c>
      <c r="C526" t="s">
        <v>1306</v>
      </c>
      <c r="D526" t="s">
        <v>33</v>
      </c>
      <c r="E526" t="s">
        <v>1307</v>
      </c>
      <c r="F526" t="s">
        <v>57</v>
      </c>
      <c r="G526">
        <v>23.86</v>
      </c>
      <c r="H526">
        <v>80</v>
      </c>
      <c r="I526" t="s">
        <v>23</v>
      </c>
      <c r="J526" t="s">
        <v>18</v>
      </c>
      <c r="K526" t="s">
        <v>1032</v>
      </c>
      <c r="L526">
        <v>293</v>
      </c>
      <c r="M526" t="str">
        <f t="shared" si="16"/>
        <v>Medium</v>
      </c>
      <c r="N526" t="str">
        <f t="shared" si="17"/>
        <v>Good</v>
      </c>
    </row>
    <row r="527" spans="1:14">
      <c r="A527" t="s">
        <v>48</v>
      </c>
      <c r="B527">
        <v>2013</v>
      </c>
      <c r="C527" t="s">
        <v>1308</v>
      </c>
      <c r="D527" t="s">
        <v>14</v>
      </c>
      <c r="E527" t="s">
        <v>1309</v>
      </c>
      <c r="F527" t="s">
        <v>16</v>
      </c>
      <c r="G527">
        <v>40.11</v>
      </c>
      <c r="H527">
        <v>67</v>
      </c>
      <c r="I527" t="s">
        <v>29</v>
      </c>
      <c r="J527" t="s">
        <v>24</v>
      </c>
      <c r="K527" t="s">
        <v>1156</v>
      </c>
      <c r="L527">
        <v>22</v>
      </c>
      <c r="M527" t="str">
        <f t="shared" si="16"/>
        <v>High</v>
      </c>
      <c r="N527" t="str">
        <f t="shared" si="17"/>
        <v>Average</v>
      </c>
    </row>
    <row r="528" spans="1:14">
      <c r="A528" t="s">
        <v>65</v>
      </c>
      <c r="B528">
        <v>2023</v>
      </c>
      <c r="C528" t="s">
        <v>1310</v>
      </c>
      <c r="D528" t="s">
        <v>14</v>
      </c>
      <c r="E528" t="s">
        <v>1311</v>
      </c>
      <c r="F528" t="s">
        <v>46</v>
      </c>
      <c r="G528">
        <v>31.56</v>
      </c>
      <c r="H528">
        <v>53</v>
      </c>
      <c r="I528" t="s">
        <v>36</v>
      </c>
      <c r="J528" t="s">
        <v>18</v>
      </c>
      <c r="K528" t="s">
        <v>1312</v>
      </c>
      <c r="L528">
        <v>293</v>
      </c>
      <c r="M528" t="str">
        <f t="shared" si="16"/>
        <v>Medium</v>
      </c>
      <c r="N528" t="str">
        <f t="shared" si="17"/>
        <v>Average</v>
      </c>
    </row>
    <row r="529" spans="1:14">
      <c r="A529" t="s">
        <v>39</v>
      </c>
      <c r="B529">
        <v>2023</v>
      </c>
      <c r="C529" t="s">
        <v>1313</v>
      </c>
      <c r="D529" t="s">
        <v>14</v>
      </c>
      <c r="E529" t="s">
        <v>1314</v>
      </c>
      <c r="F529" t="s">
        <v>57</v>
      </c>
      <c r="G529">
        <v>6.74</v>
      </c>
      <c r="H529">
        <v>53</v>
      </c>
      <c r="I529" t="s">
        <v>23</v>
      </c>
      <c r="J529" t="s">
        <v>37</v>
      </c>
      <c r="K529" t="s">
        <v>26</v>
      </c>
      <c r="L529">
        <v>272</v>
      </c>
      <c r="M529" t="str">
        <f t="shared" si="16"/>
        <v>Low</v>
      </c>
      <c r="N529" t="str">
        <f t="shared" si="17"/>
        <v>Average</v>
      </c>
    </row>
    <row r="530" spans="1:14">
      <c r="A530" t="s">
        <v>39</v>
      </c>
      <c r="B530">
        <v>2022</v>
      </c>
      <c r="C530" t="s">
        <v>1315</v>
      </c>
      <c r="D530" t="s">
        <v>14</v>
      </c>
      <c r="E530" t="s">
        <v>1316</v>
      </c>
      <c r="F530" t="s">
        <v>35</v>
      </c>
      <c r="G530">
        <v>45.01</v>
      </c>
      <c r="H530">
        <v>81</v>
      </c>
      <c r="I530" t="s">
        <v>23</v>
      </c>
      <c r="J530" t="s">
        <v>18</v>
      </c>
      <c r="K530" t="s">
        <v>1317</v>
      </c>
      <c r="L530">
        <v>73</v>
      </c>
      <c r="M530" t="str">
        <f t="shared" si="16"/>
        <v>High</v>
      </c>
      <c r="N530" t="str">
        <f t="shared" si="17"/>
        <v>Good</v>
      </c>
    </row>
    <row r="531" spans="1:14">
      <c r="A531" t="s">
        <v>39</v>
      </c>
      <c r="B531">
        <v>2014</v>
      </c>
      <c r="C531" t="s">
        <v>1318</v>
      </c>
      <c r="D531" t="s">
        <v>33</v>
      </c>
      <c r="E531" t="s">
        <v>1319</v>
      </c>
      <c r="F531" t="s">
        <v>35</v>
      </c>
      <c r="G531">
        <v>11.75</v>
      </c>
      <c r="H531">
        <v>86</v>
      </c>
      <c r="I531" t="s">
        <v>61</v>
      </c>
      <c r="J531" t="s">
        <v>18</v>
      </c>
      <c r="K531" t="s">
        <v>1320</v>
      </c>
      <c r="L531">
        <v>150</v>
      </c>
      <c r="M531" t="str">
        <f t="shared" si="16"/>
        <v>Low</v>
      </c>
      <c r="N531" t="str">
        <f t="shared" si="17"/>
        <v>Good</v>
      </c>
    </row>
    <row r="532" spans="1:14">
      <c r="A532" t="s">
        <v>47</v>
      </c>
      <c r="B532">
        <v>2018</v>
      </c>
      <c r="C532" t="s">
        <v>1321</v>
      </c>
      <c r="D532" t="s">
        <v>33</v>
      </c>
      <c r="E532" t="s">
        <v>1322</v>
      </c>
      <c r="F532" t="s">
        <v>42</v>
      </c>
      <c r="G532">
        <v>47.3</v>
      </c>
      <c r="H532">
        <v>70</v>
      </c>
      <c r="I532" t="s">
        <v>36</v>
      </c>
      <c r="J532" t="s">
        <v>37</v>
      </c>
      <c r="K532" t="s">
        <v>1323</v>
      </c>
      <c r="L532">
        <v>204</v>
      </c>
      <c r="M532" t="str">
        <f t="shared" si="16"/>
        <v>High</v>
      </c>
      <c r="N532" t="str">
        <f t="shared" si="17"/>
        <v>Average</v>
      </c>
    </row>
    <row r="533" spans="1:14">
      <c r="A533" t="s">
        <v>12</v>
      </c>
      <c r="B533">
        <v>2010</v>
      </c>
      <c r="C533" t="s">
        <v>1324</v>
      </c>
      <c r="D533" t="s">
        <v>33</v>
      </c>
      <c r="E533" t="s">
        <v>1325</v>
      </c>
      <c r="F533" t="s">
        <v>16</v>
      </c>
      <c r="G533">
        <v>43.07</v>
      </c>
      <c r="H533">
        <v>86</v>
      </c>
      <c r="I533" t="s">
        <v>61</v>
      </c>
      <c r="J533" t="s">
        <v>24</v>
      </c>
      <c r="K533" t="s">
        <v>1326</v>
      </c>
      <c r="L533">
        <v>261</v>
      </c>
      <c r="M533" t="str">
        <f t="shared" si="16"/>
        <v>High</v>
      </c>
      <c r="N533" t="str">
        <f t="shared" si="17"/>
        <v>Good</v>
      </c>
    </row>
    <row r="534" spans="1:14">
      <c r="A534" t="s">
        <v>68</v>
      </c>
      <c r="B534">
        <v>2007</v>
      </c>
      <c r="C534" t="s">
        <v>1327</v>
      </c>
      <c r="D534" t="s">
        <v>14</v>
      </c>
      <c r="E534" t="s">
        <v>1328</v>
      </c>
      <c r="F534" t="s">
        <v>46</v>
      </c>
      <c r="G534">
        <v>25.67</v>
      </c>
      <c r="H534">
        <v>71</v>
      </c>
      <c r="I534" t="s">
        <v>17</v>
      </c>
      <c r="J534" t="s">
        <v>37</v>
      </c>
      <c r="K534" t="s">
        <v>1329</v>
      </c>
      <c r="L534">
        <v>265</v>
      </c>
      <c r="M534" t="str">
        <f t="shared" si="16"/>
        <v>Medium</v>
      </c>
      <c r="N534" t="str">
        <f t="shared" si="17"/>
        <v>Average</v>
      </c>
    </row>
    <row r="535" spans="1:14">
      <c r="A535" t="s">
        <v>31</v>
      </c>
      <c r="B535">
        <v>2019</v>
      </c>
      <c r="C535" t="s">
        <v>1330</v>
      </c>
      <c r="D535" t="s">
        <v>14</v>
      </c>
      <c r="E535" t="s">
        <v>1331</v>
      </c>
      <c r="F535" t="s">
        <v>46</v>
      </c>
      <c r="G535">
        <v>43.69</v>
      </c>
      <c r="H535">
        <v>85</v>
      </c>
      <c r="I535" t="s">
        <v>23</v>
      </c>
      <c r="J535" t="s">
        <v>24</v>
      </c>
      <c r="K535" t="s">
        <v>292</v>
      </c>
      <c r="L535">
        <v>83</v>
      </c>
      <c r="M535" t="str">
        <f t="shared" si="16"/>
        <v>High</v>
      </c>
      <c r="N535" t="str">
        <f t="shared" si="17"/>
        <v>Good</v>
      </c>
    </row>
    <row r="536" spans="1:14">
      <c r="A536" t="s">
        <v>68</v>
      </c>
      <c r="B536">
        <v>2015</v>
      </c>
      <c r="C536" t="s">
        <v>1332</v>
      </c>
      <c r="D536" t="s">
        <v>14</v>
      </c>
      <c r="E536" t="s">
        <v>1333</v>
      </c>
      <c r="F536" t="s">
        <v>35</v>
      </c>
      <c r="G536">
        <v>22.23</v>
      </c>
      <c r="H536">
        <v>74</v>
      </c>
      <c r="I536" t="s">
        <v>61</v>
      </c>
      <c r="J536" t="s">
        <v>18</v>
      </c>
      <c r="K536" t="s">
        <v>65</v>
      </c>
      <c r="L536">
        <v>90</v>
      </c>
      <c r="M536" t="str">
        <f t="shared" si="16"/>
        <v>Medium</v>
      </c>
      <c r="N536" t="str">
        <f t="shared" si="17"/>
        <v>Average</v>
      </c>
    </row>
    <row r="537" spans="1:14">
      <c r="A537" t="s">
        <v>20</v>
      </c>
      <c r="B537">
        <v>2022</v>
      </c>
      <c r="C537" t="s">
        <v>1334</v>
      </c>
      <c r="D537" t="s">
        <v>33</v>
      </c>
      <c r="E537" t="s">
        <v>1335</v>
      </c>
      <c r="F537" t="s">
        <v>16</v>
      </c>
      <c r="G537">
        <v>44.57</v>
      </c>
      <c r="H537">
        <v>67</v>
      </c>
      <c r="I537" t="s">
        <v>17</v>
      </c>
      <c r="J537" t="s">
        <v>24</v>
      </c>
      <c r="K537" t="s">
        <v>97</v>
      </c>
      <c r="L537">
        <v>228</v>
      </c>
      <c r="M537" t="str">
        <f t="shared" si="16"/>
        <v>High</v>
      </c>
      <c r="N537" t="str">
        <f t="shared" si="17"/>
        <v>Average</v>
      </c>
    </row>
    <row r="538" spans="1:14">
      <c r="A538" t="s">
        <v>20</v>
      </c>
      <c r="B538">
        <v>2012</v>
      </c>
      <c r="C538" t="s">
        <v>1336</v>
      </c>
      <c r="D538" t="s">
        <v>14</v>
      </c>
      <c r="E538" t="s">
        <v>554</v>
      </c>
      <c r="F538" t="s">
        <v>16</v>
      </c>
      <c r="G538">
        <v>18.61</v>
      </c>
      <c r="H538">
        <v>68</v>
      </c>
      <c r="I538" t="s">
        <v>61</v>
      </c>
      <c r="J538" t="s">
        <v>18</v>
      </c>
      <c r="K538" t="s">
        <v>314</v>
      </c>
      <c r="L538">
        <v>176</v>
      </c>
      <c r="M538" t="str">
        <f t="shared" si="16"/>
        <v>Medium</v>
      </c>
      <c r="N538" t="str">
        <f t="shared" si="17"/>
        <v>Average</v>
      </c>
    </row>
    <row r="539" spans="1:14">
      <c r="A539" t="s">
        <v>20</v>
      </c>
      <c r="B539">
        <v>2024</v>
      </c>
      <c r="C539" t="s">
        <v>1337</v>
      </c>
      <c r="D539" t="s">
        <v>33</v>
      </c>
      <c r="E539" t="s">
        <v>1338</v>
      </c>
      <c r="F539" t="s">
        <v>42</v>
      </c>
      <c r="G539">
        <v>7.93</v>
      </c>
      <c r="H539">
        <v>81</v>
      </c>
      <c r="I539" t="s">
        <v>36</v>
      </c>
      <c r="J539" t="s">
        <v>18</v>
      </c>
      <c r="K539" t="s">
        <v>65</v>
      </c>
      <c r="L539">
        <v>58</v>
      </c>
      <c r="M539" t="str">
        <f t="shared" si="16"/>
        <v>Low</v>
      </c>
      <c r="N539" t="str">
        <f t="shared" si="17"/>
        <v>Good</v>
      </c>
    </row>
    <row r="540" spans="1:14">
      <c r="A540" t="s">
        <v>20</v>
      </c>
      <c r="B540">
        <v>2020</v>
      </c>
      <c r="C540" t="s">
        <v>1339</v>
      </c>
      <c r="D540" t="s">
        <v>14</v>
      </c>
      <c r="E540" t="s">
        <v>1340</v>
      </c>
      <c r="F540" t="s">
        <v>35</v>
      </c>
      <c r="G540">
        <v>2.96</v>
      </c>
      <c r="H540">
        <v>52</v>
      </c>
      <c r="I540" t="s">
        <v>29</v>
      </c>
      <c r="J540" t="s">
        <v>37</v>
      </c>
      <c r="K540" t="s">
        <v>39</v>
      </c>
      <c r="L540">
        <v>31</v>
      </c>
      <c r="M540" t="str">
        <f t="shared" si="16"/>
        <v>Low</v>
      </c>
      <c r="N540" t="str">
        <f t="shared" si="17"/>
        <v>Average</v>
      </c>
    </row>
    <row r="541" spans="1:14">
      <c r="A541" t="s">
        <v>26</v>
      </c>
      <c r="B541">
        <v>2007</v>
      </c>
      <c r="C541" t="s">
        <v>1341</v>
      </c>
      <c r="D541" t="s">
        <v>14</v>
      </c>
      <c r="E541" t="s">
        <v>1342</v>
      </c>
      <c r="F541" t="s">
        <v>57</v>
      </c>
      <c r="G541">
        <v>34.99</v>
      </c>
      <c r="H541">
        <v>100</v>
      </c>
      <c r="I541" t="s">
        <v>61</v>
      </c>
      <c r="J541" t="s">
        <v>37</v>
      </c>
      <c r="K541" t="s">
        <v>12</v>
      </c>
      <c r="L541">
        <v>128</v>
      </c>
      <c r="M541" t="str">
        <f t="shared" si="16"/>
        <v>Medium</v>
      </c>
      <c r="N541" t="str">
        <f t="shared" si="17"/>
        <v>Excellent</v>
      </c>
    </row>
    <row r="542" spans="1:14">
      <c r="A542" t="s">
        <v>31</v>
      </c>
      <c r="B542">
        <v>2023</v>
      </c>
      <c r="C542" t="s">
        <v>1343</v>
      </c>
      <c r="D542" t="s">
        <v>14</v>
      </c>
      <c r="E542" t="s">
        <v>1344</v>
      </c>
      <c r="F542" t="s">
        <v>42</v>
      </c>
      <c r="G542">
        <v>13.19</v>
      </c>
      <c r="H542">
        <v>68</v>
      </c>
      <c r="I542" t="s">
        <v>29</v>
      </c>
      <c r="J542" t="s">
        <v>37</v>
      </c>
      <c r="K542" t="s">
        <v>65</v>
      </c>
      <c r="L542">
        <v>261</v>
      </c>
      <c r="M542" t="str">
        <f t="shared" si="16"/>
        <v>Low</v>
      </c>
      <c r="N542" t="str">
        <f t="shared" si="17"/>
        <v>Average</v>
      </c>
    </row>
    <row r="543" spans="1:14">
      <c r="A543" t="s">
        <v>68</v>
      </c>
      <c r="B543">
        <v>2011</v>
      </c>
      <c r="C543" t="s">
        <v>1345</v>
      </c>
      <c r="D543" t="s">
        <v>14</v>
      </c>
      <c r="E543" t="s">
        <v>1346</v>
      </c>
      <c r="F543" t="s">
        <v>35</v>
      </c>
      <c r="G543">
        <v>17.64</v>
      </c>
      <c r="H543">
        <v>51</v>
      </c>
      <c r="I543" t="s">
        <v>23</v>
      </c>
      <c r="J543" t="s">
        <v>37</v>
      </c>
      <c r="K543" t="s">
        <v>184</v>
      </c>
      <c r="L543">
        <v>7</v>
      </c>
      <c r="M543" t="str">
        <f t="shared" si="16"/>
        <v>Medium</v>
      </c>
      <c r="N543" t="str">
        <f t="shared" si="17"/>
        <v>Average</v>
      </c>
    </row>
    <row r="544" spans="1:14">
      <c r="A544" t="s">
        <v>31</v>
      </c>
      <c r="B544">
        <v>2016</v>
      </c>
      <c r="C544" t="s">
        <v>1347</v>
      </c>
      <c r="D544" t="s">
        <v>33</v>
      </c>
      <c r="E544" t="s">
        <v>1348</v>
      </c>
      <c r="F544" t="s">
        <v>35</v>
      </c>
      <c r="G544">
        <v>35.979999999999997</v>
      </c>
      <c r="H544">
        <v>56</v>
      </c>
      <c r="I544" t="s">
        <v>61</v>
      </c>
      <c r="J544" t="s">
        <v>37</v>
      </c>
      <c r="K544" t="s">
        <v>68</v>
      </c>
      <c r="L544">
        <v>259</v>
      </c>
      <c r="M544" t="str">
        <f t="shared" si="16"/>
        <v>High</v>
      </c>
      <c r="N544" t="str">
        <f t="shared" si="17"/>
        <v>Average</v>
      </c>
    </row>
    <row r="545" spans="1:14">
      <c r="A545" t="s">
        <v>20</v>
      </c>
      <c r="B545">
        <v>2015</v>
      </c>
      <c r="C545" t="s">
        <v>1349</v>
      </c>
      <c r="D545" t="s">
        <v>33</v>
      </c>
      <c r="E545" t="s">
        <v>1350</v>
      </c>
      <c r="F545" t="s">
        <v>46</v>
      </c>
      <c r="G545">
        <v>22.42</v>
      </c>
      <c r="H545">
        <v>87</v>
      </c>
      <c r="I545" t="s">
        <v>61</v>
      </c>
      <c r="J545" t="s">
        <v>24</v>
      </c>
      <c r="K545" t="s">
        <v>1276</v>
      </c>
      <c r="L545">
        <v>22</v>
      </c>
      <c r="M545" t="str">
        <f t="shared" si="16"/>
        <v>Medium</v>
      </c>
      <c r="N545" t="str">
        <f t="shared" si="17"/>
        <v>Good</v>
      </c>
    </row>
    <row r="546" spans="1:14">
      <c r="A546" t="s">
        <v>68</v>
      </c>
      <c r="B546">
        <v>2002</v>
      </c>
      <c r="C546" t="s">
        <v>1351</v>
      </c>
      <c r="D546" t="s">
        <v>14</v>
      </c>
      <c r="E546" t="s">
        <v>1352</v>
      </c>
      <c r="F546" t="s">
        <v>46</v>
      </c>
      <c r="G546">
        <v>8.6</v>
      </c>
      <c r="H546">
        <v>74</v>
      </c>
      <c r="I546" t="s">
        <v>17</v>
      </c>
      <c r="J546" t="s">
        <v>24</v>
      </c>
      <c r="K546" t="s">
        <v>931</v>
      </c>
      <c r="L546">
        <v>284</v>
      </c>
      <c r="M546" t="str">
        <f t="shared" si="16"/>
        <v>Low</v>
      </c>
      <c r="N546" t="str">
        <f t="shared" si="17"/>
        <v>Average</v>
      </c>
    </row>
    <row r="547" spans="1:14">
      <c r="A547" t="s">
        <v>48</v>
      </c>
      <c r="B547">
        <v>2015</v>
      </c>
      <c r="C547" t="s">
        <v>1353</v>
      </c>
      <c r="D547" t="s">
        <v>14</v>
      </c>
      <c r="E547" t="s">
        <v>1354</v>
      </c>
      <c r="F547" t="s">
        <v>46</v>
      </c>
      <c r="G547">
        <v>47.21</v>
      </c>
      <c r="H547">
        <v>55</v>
      </c>
      <c r="I547" t="s">
        <v>29</v>
      </c>
      <c r="J547" t="s">
        <v>24</v>
      </c>
      <c r="K547" t="s">
        <v>26</v>
      </c>
      <c r="L547">
        <v>312</v>
      </c>
      <c r="M547" t="str">
        <f t="shared" si="16"/>
        <v>High</v>
      </c>
      <c r="N547" t="str">
        <f t="shared" si="17"/>
        <v>Average</v>
      </c>
    </row>
    <row r="548" spans="1:14">
      <c r="A548" t="s">
        <v>26</v>
      </c>
      <c r="B548">
        <v>2001</v>
      </c>
      <c r="C548" t="s">
        <v>1355</v>
      </c>
      <c r="D548" t="s">
        <v>14</v>
      </c>
      <c r="E548" t="s">
        <v>1356</v>
      </c>
      <c r="F548" t="s">
        <v>57</v>
      </c>
      <c r="G548">
        <v>35.24</v>
      </c>
      <c r="H548">
        <v>73</v>
      </c>
      <c r="I548" t="s">
        <v>23</v>
      </c>
      <c r="J548" t="s">
        <v>37</v>
      </c>
      <c r="K548" t="s">
        <v>286</v>
      </c>
      <c r="L548">
        <v>315</v>
      </c>
      <c r="M548" t="str">
        <f t="shared" si="16"/>
        <v>High</v>
      </c>
      <c r="N548" t="str">
        <f t="shared" si="17"/>
        <v>Average</v>
      </c>
    </row>
    <row r="549" spans="1:14">
      <c r="A549" t="s">
        <v>31</v>
      </c>
      <c r="B549">
        <v>2003</v>
      </c>
      <c r="C549" t="s">
        <v>1357</v>
      </c>
      <c r="D549" t="s">
        <v>14</v>
      </c>
      <c r="E549" t="s">
        <v>1358</v>
      </c>
      <c r="F549" t="s">
        <v>57</v>
      </c>
      <c r="G549">
        <v>3.66</v>
      </c>
      <c r="H549">
        <v>97</v>
      </c>
      <c r="I549" t="s">
        <v>23</v>
      </c>
      <c r="J549" t="s">
        <v>37</v>
      </c>
      <c r="K549" t="s">
        <v>1359</v>
      </c>
      <c r="L549">
        <v>79</v>
      </c>
      <c r="M549" t="str">
        <f t="shared" si="16"/>
        <v>Low</v>
      </c>
      <c r="N549" t="str">
        <f t="shared" si="17"/>
        <v>Excellent</v>
      </c>
    </row>
    <row r="550" spans="1:14">
      <c r="A550" t="s">
        <v>12</v>
      </c>
      <c r="B550">
        <v>2016</v>
      </c>
      <c r="C550" t="s">
        <v>1360</v>
      </c>
      <c r="D550" t="s">
        <v>33</v>
      </c>
      <c r="E550" t="s">
        <v>1289</v>
      </c>
      <c r="F550" t="s">
        <v>16</v>
      </c>
      <c r="G550">
        <v>10.46</v>
      </c>
      <c r="H550">
        <v>72</v>
      </c>
      <c r="I550" t="s">
        <v>23</v>
      </c>
      <c r="J550" t="s">
        <v>37</v>
      </c>
      <c r="K550" t="s">
        <v>1361</v>
      </c>
      <c r="L550">
        <v>133</v>
      </c>
      <c r="M550" t="str">
        <f t="shared" si="16"/>
        <v>Low</v>
      </c>
      <c r="N550" t="str">
        <f t="shared" si="17"/>
        <v>Average</v>
      </c>
    </row>
    <row r="551" spans="1:14">
      <c r="A551" t="s">
        <v>47</v>
      </c>
      <c r="B551">
        <v>2018</v>
      </c>
      <c r="C551" t="s">
        <v>1362</v>
      </c>
      <c r="D551" t="s">
        <v>14</v>
      </c>
      <c r="E551" t="s">
        <v>1363</v>
      </c>
      <c r="F551" t="s">
        <v>35</v>
      </c>
      <c r="G551">
        <v>27.47</v>
      </c>
      <c r="H551">
        <v>70</v>
      </c>
      <c r="I551" t="s">
        <v>36</v>
      </c>
      <c r="J551" t="s">
        <v>24</v>
      </c>
      <c r="K551" t="s">
        <v>636</v>
      </c>
      <c r="L551">
        <v>199</v>
      </c>
      <c r="M551" t="str">
        <f t="shared" si="16"/>
        <v>Medium</v>
      </c>
      <c r="N551" t="str">
        <f t="shared" si="17"/>
        <v>Average</v>
      </c>
    </row>
    <row r="552" spans="1:14">
      <c r="A552" t="s">
        <v>68</v>
      </c>
      <c r="B552">
        <v>2002</v>
      </c>
      <c r="C552" t="s">
        <v>1364</v>
      </c>
      <c r="D552" t="s">
        <v>14</v>
      </c>
      <c r="E552" t="s">
        <v>1365</v>
      </c>
      <c r="F552" t="s">
        <v>57</v>
      </c>
      <c r="G552">
        <v>8.2100000000000009</v>
      </c>
      <c r="H552">
        <v>93</v>
      </c>
      <c r="I552" t="s">
        <v>61</v>
      </c>
      <c r="J552" t="s">
        <v>18</v>
      </c>
      <c r="K552" t="s">
        <v>1366</v>
      </c>
      <c r="L552">
        <v>105</v>
      </c>
      <c r="M552" t="str">
        <f t="shared" si="16"/>
        <v>Low</v>
      </c>
      <c r="N552" t="str">
        <f t="shared" si="17"/>
        <v>Excellent</v>
      </c>
    </row>
    <row r="553" spans="1:14">
      <c r="A553" t="s">
        <v>26</v>
      </c>
      <c r="B553">
        <v>2023</v>
      </c>
      <c r="C553" t="s">
        <v>1367</v>
      </c>
      <c r="D553" t="s">
        <v>14</v>
      </c>
      <c r="E553" t="s">
        <v>1368</v>
      </c>
      <c r="F553" t="s">
        <v>57</v>
      </c>
      <c r="G553">
        <v>31.42</v>
      </c>
      <c r="H553">
        <v>84</v>
      </c>
      <c r="I553" t="s">
        <v>17</v>
      </c>
      <c r="J553" t="s">
        <v>37</v>
      </c>
      <c r="K553" t="s">
        <v>68</v>
      </c>
      <c r="L553">
        <v>300</v>
      </c>
      <c r="M553" t="str">
        <f t="shared" si="16"/>
        <v>Medium</v>
      </c>
      <c r="N553" t="str">
        <f t="shared" si="17"/>
        <v>Good</v>
      </c>
    </row>
    <row r="554" spans="1:14">
      <c r="A554" t="s">
        <v>65</v>
      </c>
      <c r="B554">
        <v>2000</v>
      </c>
      <c r="C554" t="s">
        <v>1369</v>
      </c>
      <c r="D554" t="s">
        <v>14</v>
      </c>
      <c r="E554" t="s">
        <v>1370</v>
      </c>
      <c r="F554" t="s">
        <v>35</v>
      </c>
      <c r="G554">
        <v>5.88</v>
      </c>
      <c r="H554">
        <v>99</v>
      </c>
      <c r="I554" t="s">
        <v>17</v>
      </c>
      <c r="J554" t="s">
        <v>18</v>
      </c>
      <c r="K554" t="s">
        <v>1371</v>
      </c>
      <c r="L554">
        <v>133</v>
      </c>
      <c r="M554" t="str">
        <f t="shared" si="16"/>
        <v>Low</v>
      </c>
      <c r="N554" t="str">
        <f t="shared" si="17"/>
        <v>Excellent</v>
      </c>
    </row>
    <row r="555" spans="1:14">
      <c r="A555" t="s">
        <v>38</v>
      </c>
      <c r="B555">
        <v>2007</v>
      </c>
      <c r="C555" t="s">
        <v>1372</v>
      </c>
      <c r="D555" t="s">
        <v>14</v>
      </c>
      <c r="E555" t="s">
        <v>1373</v>
      </c>
      <c r="F555" t="s">
        <v>57</v>
      </c>
      <c r="G555">
        <v>39.950000000000003</v>
      </c>
      <c r="H555">
        <v>90</v>
      </c>
      <c r="I555" t="s">
        <v>36</v>
      </c>
      <c r="J555" t="s">
        <v>24</v>
      </c>
      <c r="K555" t="s">
        <v>1374</v>
      </c>
      <c r="L555">
        <v>22</v>
      </c>
      <c r="M555" t="str">
        <f t="shared" si="16"/>
        <v>High</v>
      </c>
      <c r="N555" t="str">
        <f t="shared" si="17"/>
        <v>Excellent</v>
      </c>
    </row>
    <row r="556" spans="1:14">
      <c r="A556" t="s">
        <v>20</v>
      </c>
      <c r="B556">
        <v>2020</v>
      </c>
      <c r="C556" t="s">
        <v>1375</v>
      </c>
      <c r="D556" t="s">
        <v>33</v>
      </c>
      <c r="E556" t="s">
        <v>1376</v>
      </c>
      <c r="F556" t="s">
        <v>57</v>
      </c>
      <c r="G556">
        <v>48.01</v>
      </c>
      <c r="H556">
        <v>68</v>
      </c>
      <c r="I556" t="s">
        <v>23</v>
      </c>
      <c r="J556" t="s">
        <v>24</v>
      </c>
      <c r="K556" t="s">
        <v>1377</v>
      </c>
      <c r="L556">
        <v>19</v>
      </c>
      <c r="M556" t="str">
        <f t="shared" si="16"/>
        <v>High</v>
      </c>
      <c r="N556" t="str">
        <f t="shared" si="17"/>
        <v>Average</v>
      </c>
    </row>
    <row r="557" spans="1:14">
      <c r="A557" t="s">
        <v>31</v>
      </c>
      <c r="B557">
        <v>2018</v>
      </c>
      <c r="C557" t="s">
        <v>1378</v>
      </c>
      <c r="D557" t="s">
        <v>14</v>
      </c>
      <c r="E557" t="s">
        <v>1379</v>
      </c>
      <c r="F557" t="s">
        <v>35</v>
      </c>
      <c r="G557">
        <v>5.74</v>
      </c>
      <c r="H557">
        <v>65</v>
      </c>
      <c r="I557" t="s">
        <v>36</v>
      </c>
      <c r="J557" t="s">
        <v>37</v>
      </c>
      <c r="K557" t="s">
        <v>31</v>
      </c>
      <c r="L557">
        <v>279</v>
      </c>
      <c r="M557" t="str">
        <f t="shared" si="16"/>
        <v>Low</v>
      </c>
      <c r="N557" t="str">
        <f t="shared" si="17"/>
        <v>Average</v>
      </c>
    </row>
    <row r="558" spans="1:14">
      <c r="A558" t="s">
        <v>39</v>
      </c>
      <c r="B558">
        <v>2019</v>
      </c>
      <c r="C558" t="s">
        <v>1380</v>
      </c>
      <c r="D558" t="s">
        <v>14</v>
      </c>
      <c r="E558" t="s">
        <v>1381</v>
      </c>
      <c r="F558" t="s">
        <v>46</v>
      </c>
      <c r="G558">
        <v>43.18</v>
      </c>
      <c r="H558">
        <v>92</v>
      </c>
      <c r="I558" t="s">
        <v>17</v>
      </c>
      <c r="J558" t="s">
        <v>18</v>
      </c>
      <c r="K558" t="s">
        <v>1382</v>
      </c>
      <c r="L558">
        <v>183</v>
      </c>
      <c r="M558" t="str">
        <f t="shared" si="16"/>
        <v>High</v>
      </c>
      <c r="N558" t="str">
        <f t="shared" si="17"/>
        <v>Excellent</v>
      </c>
    </row>
    <row r="559" spans="1:14">
      <c r="A559" t="s">
        <v>20</v>
      </c>
      <c r="B559">
        <v>2002</v>
      </c>
      <c r="C559" t="s">
        <v>1383</v>
      </c>
      <c r="D559" t="s">
        <v>33</v>
      </c>
      <c r="E559" t="s">
        <v>1384</v>
      </c>
      <c r="F559" t="s">
        <v>42</v>
      </c>
      <c r="G559">
        <v>11.88</v>
      </c>
      <c r="H559">
        <v>87</v>
      </c>
      <c r="I559" t="s">
        <v>61</v>
      </c>
      <c r="J559" t="s">
        <v>37</v>
      </c>
      <c r="K559" t="s">
        <v>1385</v>
      </c>
      <c r="L559">
        <v>329</v>
      </c>
      <c r="M559" t="str">
        <f t="shared" si="16"/>
        <v>Low</v>
      </c>
      <c r="N559" t="str">
        <f t="shared" si="17"/>
        <v>Good</v>
      </c>
    </row>
    <row r="560" spans="1:14">
      <c r="A560" t="s">
        <v>12</v>
      </c>
      <c r="B560">
        <v>2022</v>
      </c>
      <c r="C560" t="s">
        <v>1386</v>
      </c>
      <c r="D560" t="s">
        <v>33</v>
      </c>
      <c r="E560" t="s">
        <v>1387</v>
      </c>
      <c r="F560" t="s">
        <v>35</v>
      </c>
      <c r="G560">
        <v>2.44</v>
      </c>
      <c r="H560">
        <v>90</v>
      </c>
      <c r="I560" t="s">
        <v>61</v>
      </c>
      <c r="J560" t="s">
        <v>24</v>
      </c>
      <c r="K560" t="s">
        <v>1388</v>
      </c>
      <c r="L560">
        <v>129</v>
      </c>
      <c r="M560" t="str">
        <f t="shared" si="16"/>
        <v>Low</v>
      </c>
      <c r="N560" t="str">
        <f t="shared" si="17"/>
        <v>Excellent</v>
      </c>
    </row>
    <row r="561" spans="1:14">
      <c r="A561" t="s">
        <v>68</v>
      </c>
      <c r="B561">
        <v>2024</v>
      </c>
      <c r="C561" t="s">
        <v>1389</v>
      </c>
      <c r="D561" t="s">
        <v>14</v>
      </c>
      <c r="E561" t="s">
        <v>1390</v>
      </c>
      <c r="F561" t="s">
        <v>35</v>
      </c>
      <c r="G561">
        <v>44.93</v>
      </c>
      <c r="H561">
        <v>63</v>
      </c>
      <c r="I561" t="s">
        <v>17</v>
      </c>
      <c r="J561" t="s">
        <v>37</v>
      </c>
      <c r="K561" t="s">
        <v>1391</v>
      </c>
      <c r="L561">
        <v>352</v>
      </c>
      <c r="M561" t="str">
        <f t="shared" si="16"/>
        <v>High</v>
      </c>
      <c r="N561" t="str">
        <f t="shared" si="17"/>
        <v>Average</v>
      </c>
    </row>
    <row r="562" spans="1:14">
      <c r="A562" t="s">
        <v>65</v>
      </c>
      <c r="B562">
        <v>2024</v>
      </c>
      <c r="C562" t="s">
        <v>1392</v>
      </c>
      <c r="D562" t="s">
        <v>14</v>
      </c>
      <c r="E562" t="s">
        <v>1393</v>
      </c>
      <c r="F562" t="s">
        <v>42</v>
      </c>
      <c r="G562">
        <v>27.61</v>
      </c>
      <c r="H562">
        <v>70</v>
      </c>
      <c r="I562" t="s">
        <v>29</v>
      </c>
      <c r="J562" t="s">
        <v>18</v>
      </c>
      <c r="K562" t="s">
        <v>20</v>
      </c>
      <c r="L562">
        <v>117</v>
      </c>
      <c r="M562" t="str">
        <f t="shared" si="16"/>
        <v>Medium</v>
      </c>
      <c r="N562" t="str">
        <f t="shared" si="17"/>
        <v>Average</v>
      </c>
    </row>
    <row r="563" spans="1:14">
      <c r="A563" t="s">
        <v>48</v>
      </c>
      <c r="B563">
        <v>2021</v>
      </c>
      <c r="C563" t="s">
        <v>1394</v>
      </c>
      <c r="D563" t="s">
        <v>14</v>
      </c>
      <c r="E563" t="s">
        <v>1395</v>
      </c>
      <c r="F563" t="s">
        <v>57</v>
      </c>
      <c r="G563">
        <v>16.739999999999998</v>
      </c>
      <c r="H563">
        <v>94</v>
      </c>
      <c r="I563" t="s">
        <v>61</v>
      </c>
      <c r="J563" t="s">
        <v>24</v>
      </c>
      <c r="K563" t="s">
        <v>636</v>
      </c>
      <c r="L563">
        <v>329</v>
      </c>
      <c r="M563" t="str">
        <f t="shared" si="16"/>
        <v>Medium</v>
      </c>
      <c r="N563" t="str">
        <f t="shared" si="17"/>
        <v>Excellent</v>
      </c>
    </row>
    <row r="564" spans="1:14">
      <c r="A564" t="s">
        <v>65</v>
      </c>
      <c r="B564">
        <v>2007</v>
      </c>
      <c r="C564" t="s">
        <v>1396</v>
      </c>
      <c r="D564" t="s">
        <v>14</v>
      </c>
      <c r="E564" t="s">
        <v>1397</v>
      </c>
      <c r="F564" t="s">
        <v>16</v>
      </c>
      <c r="G564">
        <v>9.5399999999999991</v>
      </c>
      <c r="H564">
        <v>69</v>
      </c>
      <c r="I564" t="s">
        <v>29</v>
      </c>
      <c r="J564" t="s">
        <v>24</v>
      </c>
      <c r="K564" t="s">
        <v>931</v>
      </c>
      <c r="L564">
        <v>116</v>
      </c>
      <c r="M564" t="str">
        <f t="shared" si="16"/>
        <v>Low</v>
      </c>
      <c r="N564" t="str">
        <f t="shared" si="17"/>
        <v>Average</v>
      </c>
    </row>
    <row r="565" spans="1:14">
      <c r="A565" t="s">
        <v>38</v>
      </c>
      <c r="B565">
        <v>2006</v>
      </c>
      <c r="C565" t="s">
        <v>1398</v>
      </c>
      <c r="D565" t="s">
        <v>33</v>
      </c>
      <c r="E565" t="s">
        <v>1399</v>
      </c>
      <c r="F565" t="s">
        <v>57</v>
      </c>
      <c r="G565">
        <v>36.1</v>
      </c>
      <c r="H565">
        <v>96</v>
      </c>
      <c r="I565" t="s">
        <v>61</v>
      </c>
      <c r="J565" t="s">
        <v>37</v>
      </c>
      <c r="K565" t="s">
        <v>1037</v>
      </c>
      <c r="L565">
        <v>19</v>
      </c>
      <c r="M565" t="str">
        <f t="shared" si="16"/>
        <v>High</v>
      </c>
      <c r="N565" t="str">
        <f t="shared" si="17"/>
        <v>Excellent</v>
      </c>
    </row>
    <row r="566" spans="1:14">
      <c r="A566" t="s">
        <v>48</v>
      </c>
      <c r="B566">
        <v>2002</v>
      </c>
      <c r="C566" t="s">
        <v>1400</v>
      </c>
      <c r="D566" t="s">
        <v>14</v>
      </c>
      <c r="E566" t="s">
        <v>1401</v>
      </c>
      <c r="F566" t="s">
        <v>46</v>
      </c>
      <c r="G566">
        <v>32.950000000000003</v>
      </c>
      <c r="H566">
        <v>82</v>
      </c>
      <c r="I566" t="s">
        <v>61</v>
      </c>
      <c r="J566" t="s">
        <v>24</v>
      </c>
      <c r="K566" t="s">
        <v>607</v>
      </c>
      <c r="L566">
        <v>281</v>
      </c>
      <c r="M566" t="str">
        <f t="shared" si="16"/>
        <v>Medium</v>
      </c>
      <c r="N566" t="str">
        <f t="shared" si="17"/>
        <v>Good</v>
      </c>
    </row>
    <row r="567" spans="1:14">
      <c r="A567" t="s">
        <v>31</v>
      </c>
      <c r="B567">
        <v>2018</v>
      </c>
      <c r="C567" t="s">
        <v>1402</v>
      </c>
      <c r="D567" t="s">
        <v>33</v>
      </c>
      <c r="E567" t="s">
        <v>1403</v>
      </c>
      <c r="F567" t="s">
        <v>42</v>
      </c>
      <c r="G567">
        <v>12.48</v>
      </c>
      <c r="H567">
        <v>100</v>
      </c>
      <c r="I567" t="s">
        <v>29</v>
      </c>
      <c r="J567" t="s">
        <v>24</v>
      </c>
      <c r="K567" t="s">
        <v>1404</v>
      </c>
      <c r="L567">
        <v>352</v>
      </c>
      <c r="M567" t="str">
        <f t="shared" si="16"/>
        <v>Low</v>
      </c>
      <c r="N567" t="str">
        <f t="shared" si="17"/>
        <v>Excellent</v>
      </c>
    </row>
    <row r="568" spans="1:14">
      <c r="A568" t="s">
        <v>38</v>
      </c>
      <c r="B568">
        <v>2018</v>
      </c>
      <c r="C568" t="s">
        <v>1405</v>
      </c>
      <c r="D568" t="s">
        <v>14</v>
      </c>
      <c r="E568" t="s">
        <v>1406</v>
      </c>
      <c r="F568" t="s">
        <v>46</v>
      </c>
      <c r="G568">
        <v>36.26</v>
      </c>
      <c r="H568">
        <v>69</v>
      </c>
      <c r="I568" t="s">
        <v>36</v>
      </c>
      <c r="J568" t="s">
        <v>18</v>
      </c>
      <c r="K568" t="s">
        <v>317</v>
      </c>
      <c r="L568">
        <v>186</v>
      </c>
      <c r="M568" t="str">
        <f t="shared" si="16"/>
        <v>High</v>
      </c>
      <c r="N568" t="str">
        <f t="shared" si="17"/>
        <v>Average</v>
      </c>
    </row>
    <row r="569" spans="1:14">
      <c r="A569" t="s">
        <v>26</v>
      </c>
      <c r="B569">
        <v>2001</v>
      </c>
      <c r="C569" t="s">
        <v>1407</v>
      </c>
      <c r="D569" t="s">
        <v>33</v>
      </c>
      <c r="E569" t="s">
        <v>1408</v>
      </c>
      <c r="F569" t="s">
        <v>35</v>
      </c>
      <c r="G569">
        <v>21.54</v>
      </c>
      <c r="H569">
        <v>60</v>
      </c>
      <c r="I569" t="s">
        <v>29</v>
      </c>
      <c r="J569" t="s">
        <v>24</v>
      </c>
      <c r="K569" t="s">
        <v>1409</v>
      </c>
      <c r="L569">
        <v>316</v>
      </c>
      <c r="M569" t="str">
        <f t="shared" si="16"/>
        <v>Medium</v>
      </c>
      <c r="N569" t="str">
        <f t="shared" si="17"/>
        <v>Average</v>
      </c>
    </row>
    <row r="570" spans="1:14">
      <c r="A570" t="s">
        <v>48</v>
      </c>
      <c r="B570">
        <v>2005</v>
      </c>
      <c r="C570" t="s">
        <v>1410</v>
      </c>
      <c r="D570" t="s">
        <v>14</v>
      </c>
      <c r="E570" t="s">
        <v>1411</v>
      </c>
      <c r="F570" t="s">
        <v>16</v>
      </c>
      <c r="G570">
        <v>44.12</v>
      </c>
      <c r="H570">
        <v>78</v>
      </c>
      <c r="I570" t="s">
        <v>36</v>
      </c>
      <c r="J570" t="s">
        <v>18</v>
      </c>
      <c r="K570" t="s">
        <v>1412</v>
      </c>
      <c r="L570">
        <v>343</v>
      </c>
      <c r="M570" t="str">
        <f t="shared" si="16"/>
        <v>High</v>
      </c>
      <c r="N570" t="str">
        <f t="shared" si="17"/>
        <v>Good</v>
      </c>
    </row>
    <row r="571" spans="1:14">
      <c r="A571" t="s">
        <v>47</v>
      </c>
      <c r="B571">
        <v>2003</v>
      </c>
      <c r="C571" t="s">
        <v>1413</v>
      </c>
      <c r="D571" t="s">
        <v>14</v>
      </c>
      <c r="E571" t="s">
        <v>1414</v>
      </c>
      <c r="F571" t="s">
        <v>35</v>
      </c>
      <c r="G571">
        <v>30.83</v>
      </c>
      <c r="H571">
        <v>80</v>
      </c>
      <c r="I571" t="s">
        <v>36</v>
      </c>
      <c r="J571" t="s">
        <v>18</v>
      </c>
      <c r="K571" t="s">
        <v>1415</v>
      </c>
      <c r="L571">
        <v>11</v>
      </c>
      <c r="M571" t="str">
        <f t="shared" si="16"/>
        <v>Medium</v>
      </c>
      <c r="N571" t="str">
        <f t="shared" si="17"/>
        <v>Good</v>
      </c>
    </row>
    <row r="572" spans="1:14">
      <c r="A572" t="s">
        <v>48</v>
      </c>
      <c r="B572">
        <v>2018</v>
      </c>
      <c r="C572" t="s">
        <v>1416</v>
      </c>
      <c r="D572" t="s">
        <v>14</v>
      </c>
      <c r="E572" t="s">
        <v>1417</v>
      </c>
      <c r="F572" t="s">
        <v>42</v>
      </c>
      <c r="G572">
        <v>8.1300000000000008</v>
      </c>
      <c r="H572">
        <v>53</v>
      </c>
      <c r="I572" t="s">
        <v>17</v>
      </c>
      <c r="J572" t="s">
        <v>18</v>
      </c>
      <c r="K572" t="s">
        <v>1418</v>
      </c>
      <c r="L572">
        <v>285</v>
      </c>
      <c r="M572" t="str">
        <f t="shared" si="16"/>
        <v>Low</v>
      </c>
      <c r="N572" t="str">
        <f t="shared" si="17"/>
        <v>Average</v>
      </c>
    </row>
    <row r="573" spans="1:14">
      <c r="A573" t="s">
        <v>12</v>
      </c>
      <c r="B573">
        <v>2013</v>
      </c>
      <c r="C573" t="s">
        <v>1419</v>
      </c>
      <c r="D573" t="s">
        <v>14</v>
      </c>
      <c r="E573" t="s">
        <v>1420</v>
      </c>
      <c r="F573" t="s">
        <v>57</v>
      </c>
      <c r="G573">
        <v>9.35</v>
      </c>
      <c r="H573">
        <v>81</v>
      </c>
      <c r="I573" t="s">
        <v>61</v>
      </c>
      <c r="J573" t="s">
        <v>37</v>
      </c>
      <c r="K573" t="s">
        <v>38</v>
      </c>
      <c r="L573">
        <v>207</v>
      </c>
      <c r="M573" t="str">
        <f t="shared" si="16"/>
        <v>Low</v>
      </c>
      <c r="N573" t="str">
        <f t="shared" si="17"/>
        <v>Good</v>
      </c>
    </row>
    <row r="574" spans="1:14">
      <c r="A574" t="s">
        <v>47</v>
      </c>
      <c r="B574">
        <v>2024</v>
      </c>
      <c r="C574" t="s">
        <v>1421</v>
      </c>
      <c r="D574" t="s">
        <v>14</v>
      </c>
      <c r="E574" t="s">
        <v>1422</v>
      </c>
      <c r="F574" t="s">
        <v>16</v>
      </c>
      <c r="G574">
        <v>25.13</v>
      </c>
      <c r="H574">
        <v>50</v>
      </c>
      <c r="I574" t="s">
        <v>29</v>
      </c>
      <c r="J574" t="s">
        <v>37</v>
      </c>
      <c r="K574" t="s">
        <v>624</v>
      </c>
      <c r="L574">
        <v>162</v>
      </c>
      <c r="M574" t="str">
        <f t="shared" si="16"/>
        <v>Medium</v>
      </c>
      <c r="N574" t="str">
        <f t="shared" si="17"/>
        <v>Average</v>
      </c>
    </row>
    <row r="575" spans="1:14">
      <c r="A575" t="s">
        <v>68</v>
      </c>
      <c r="B575">
        <v>2018</v>
      </c>
      <c r="C575" t="s">
        <v>1423</v>
      </c>
      <c r="D575" t="s">
        <v>33</v>
      </c>
      <c r="E575" t="s">
        <v>1424</v>
      </c>
      <c r="F575" t="s">
        <v>35</v>
      </c>
      <c r="G575">
        <v>49.54</v>
      </c>
      <c r="H575">
        <v>66</v>
      </c>
      <c r="I575" t="s">
        <v>61</v>
      </c>
      <c r="J575" t="s">
        <v>37</v>
      </c>
      <c r="K575" t="s">
        <v>26</v>
      </c>
      <c r="L575">
        <v>144</v>
      </c>
      <c r="M575" t="str">
        <f t="shared" si="16"/>
        <v>High</v>
      </c>
      <c r="N575" t="str">
        <f t="shared" si="17"/>
        <v>Average</v>
      </c>
    </row>
    <row r="576" spans="1:14">
      <c r="A576" t="s">
        <v>39</v>
      </c>
      <c r="B576">
        <v>2020</v>
      </c>
      <c r="C576" t="s">
        <v>1425</v>
      </c>
      <c r="D576" t="s">
        <v>33</v>
      </c>
      <c r="E576" t="s">
        <v>1426</v>
      </c>
      <c r="F576" t="s">
        <v>35</v>
      </c>
      <c r="G576">
        <v>44.58</v>
      </c>
      <c r="H576">
        <v>61</v>
      </c>
      <c r="I576" t="s">
        <v>36</v>
      </c>
      <c r="J576" t="s">
        <v>37</v>
      </c>
      <c r="K576" t="s">
        <v>1427</v>
      </c>
      <c r="L576">
        <v>76</v>
      </c>
      <c r="M576" t="str">
        <f t="shared" si="16"/>
        <v>High</v>
      </c>
      <c r="N576" t="str">
        <f t="shared" si="17"/>
        <v>Average</v>
      </c>
    </row>
    <row r="577" spans="1:14">
      <c r="A577" t="s">
        <v>68</v>
      </c>
      <c r="B577">
        <v>2001</v>
      </c>
      <c r="C577" t="s">
        <v>1428</v>
      </c>
      <c r="D577" t="s">
        <v>33</v>
      </c>
      <c r="E577" t="s">
        <v>1429</v>
      </c>
      <c r="F577" t="s">
        <v>42</v>
      </c>
      <c r="G577">
        <v>23.22</v>
      </c>
      <c r="H577">
        <v>85</v>
      </c>
      <c r="I577" t="s">
        <v>23</v>
      </c>
      <c r="J577" t="s">
        <v>24</v>
      </c>
      <c r="K577" t="s">
        <v>107</v>
      </c>
      <c r="L577">
        <v>5</v>
      </c>
      <c r="M577" t="str">
        <f t="shared" si="16"/>
        <v>Medium</v>
      </c>
      <c r="N577" t="str">
        <f t="shared" si="17"/>
        <v>Good</v>
      </c>
    </row>
    <row r="578" spans="1:14">
      <c r="A578" t="s">
        <v>47</v>
      </c>
      <c r="B578">
        <v>2010</v>
      </c>
      <c r="C578" t="s">
        <v>1430</v>
      </c>
      <c r="D578" t="s">
        <v>33</v>
      </c>
      <c r="E578" t="s">
        <v>1431</v>
      </c>
      <c r="F578" t="s">
        <v>42</v>
      </c>
      <c r="G578">
        <v>13.48</v>
      </c>
      <c r="H578">
        <v>94</v>
      </c>
      <c r="I578" t="s">
        <v>61</v>
      </c>
      <c r="J578" t="s">
        <v>18</v>
      </c>
      <c r="K578" t="s">
        <v>65</v>
      </c>
      <c r="L578">
        <v>77</v>
      </c>
      <c r="M578" t="str">
        <f t="shared" si="16"/>
        <v>Low</v>
      </c>
      <c r="N578" t="str">
        <f t="shared" si="17"/>
        <v>Excellent</v>
      </c>
    </row>
    <row r="579" spans="1:14">
      <c r="A579" t="s">
        <v>48</v>
      </c>
      <c r="B579">
        <v>2015</v>
      </c>
      <c r="C579" t="s">
        <v>1432</v>
      </c>
      <c r="D579" t="s">
        <v>33</v>
      </c>
      <c r="E579" t="s">
        <v>1433</v>
      </c>
      <c r="F579" t="s">
        <v>35</v>
      </c>
      <c r="G579">
        <v>48.58</v>
      </c>
      <c r="H579">
        <v>78</v>
      </c>
      <c r="I579" t="s">
        <v>23</v>
      </c>
      <c r="J579" t="s">
        <v>24</v>
      </c>
      <c r="K579" t="s">
        <v>1385</v>
      </c>
      <c r="L579">
        <v>255</v>
      </c>
      <c r="M579" t="str">
        <f t="shared" ref="M579:M642" si="18">IF(G579&lt;15,"Low",IF(G579&lt;35,"Medium","High"))</f>
        <v>High</v>
      </c>
      <c r="N579" t="str">
        <f t="shared" ref="N579:N642" si="19">IF(H579&gt;=90,"Excellent",IF(H579&gt;=75,"Good","Average"))</f>
        <v>Good</v>
      </c>
    </row>
    <row r="580" spans="1:14">
      <c r="A580" t="s">
        <v>38</v>
      </c>
      <c r="B580">
        <v>2013</v>
      </c>
      <c r="C580" t="s">
        <v>1434</v>
      </c>
      <c r="D580" t="s">
        <v>14</v>
      </c>
      <c r="E580" t="s">
        <v>1435</v>
      </c>
      <c r="F580" t="s">
        <v>46</v>
      </c>
      <c r="G580">
        <v>22.28</v>
      </c>
      <c r="H580">
        <v>65</v>
      </c>
      <c r="I580" t="s">
        <v>36</v>
      </c>
      <c r="J580" t="s">
        <v>18</v>
      </c>
      <c r="K580" t="s">
        <v>1032</v>
      </c>
      <c r="L580">
        <v>75</v>
      </c>
      <c r="M580" t="str">
        <f t="shared" si="18"/>
        <v>Medium</v>
      </c>
      <c r="N580" t="str">
        <f t="shared" si="19"/>
        <v>Average</v>
      </c>
    </row>
    <row r="581" spans="1:14">
      <c r="A581" t="s">
        <v>65</v>
      </c>
      <c r="B581">
        <v>2010</v>
      </c>
      <c r="C581" t="s">
        <v>1436</v>
      </c>
      <c r="D581" t="s">
        <v>33</v>
      </c>
      <c r="E581" t="s">
        <v>1044</v>
      </c>
      <c r="F581" t="s">
        <v>46</v>
      </c>
      <c r="G581">
        <v>47.53</v>
      </c>
      <c r="H581">
        <v>94</v>
      </c>
      <c r="I581" t="s">
        <v>17</v>
      </c>
      <c r="J581" t="s">
        <v>24</v>
      </c>
      <c r="K581" t="s">
        <v>1437</v>
      </c>
      <c r="L581">
        <v>168</v>
      </c>
      <c r="M581" t="str">
        <f t="shared" si="18"/>
        <v>High</v>
      </c>
      <c r="N581" t="str">
        <f t="shared" si="19"/>
        <v>Excellent</v>
      </c>
    </row>
    <row r="582" spans="1:14">
      <c r="A582" t="s">
        <v>31</v>
      </c>
      <c r="B582">
        <v>2010</v>
      </c>
      <c r="C582" t="s">
        <v>1438</v>
      </c>
      <c r="D582" t="s">
        <v>14</v>
      </c>
      <c r="E582" t="s">
        <v>1439</v>
      </c>
      <c r="F582" t="s">
        <v>16</v>
      </c>
      <c r="G582">
        <v>1.1599999999999999</v>
      </c>
      <c r="H582">
        <v>93</v>
      </c>
      <c r="I582" t="s">
        <v>17</v>
      </c>
      <c r="J582" t="s">
        <v>18</v>
      </c>
      <c r="K582" t="s">
        <v>1440</v>
      </c>
      <c r="L582">
        <v>138</v>
      </c>
      <c r="M582" t="str">
        <f t="shared" si="18"/>
        <v>Low</v>
      </c>
      <c r="N582" t="str">
        <f t="shared" si="19"/>
        <v>Excellent</v>
      </c>
    </row>
    <row r="583" spans="1:14">
      <c r="A583" t="s">
        <v>48</v>
      </c>
      <c r="B583">
        <v>2005</v>
      </c>
      <c r="C583" t="s">
        <v>1441</v>
      </c>
      <c r="D583" t="s">
        <v>33</v>
      </c>
      <c r="E583" t="s">
        <v>1442</v>
      </c>
      <c r="F583" t="s">
        <v>42</v>
      </c>
      <c r="G583">
        <v>25.38</v>
      </c>
      <c r="H583">
        <v>87</v>
      </c>
      <c r="I583" t="s">
        <v>23</v>
      </c>
      <c r="J583" t="s">
        <v>18</v>
      </c>
      <c r="K583" t="s">
        <v>1443</v>
      </c>
      <c r="L583">
        <v>356</v>
      </c>
      <c r="M583" t="str">
        <f t="shared" si="18"/>
        <v>Medium</v>
      </c>
      <c r="N583" t="str">
        <f t="shared" si="19"/>
        <v>Good</v>
      </c>
    </row>
    <row r="584" spans="1:14">
      <c r="A584" t="s">
        <v>12</v>
      </c>
      <c r="B584">
        <v>2022</v>
      </c>
      <c r="C584" t="s">
        <v>1444</v>
      </c>
      <c r="D584" t="s">
        <v>33</v>
      </c>
      <c r="E584" t="s">
        <v>1445</v>
      </c>
      <c r="F584" t="s">
        <v>42</v>
      </c>
      <c r="G584">
        <v>23.88</v>
      </c>
      <c r="H584">
        <v>80</v>
      </c>
      <c r="I584" t="s">
        <v>29</v>
      </c>
      <c r="J584" t="s">
        <v>18</v>
      </c>
      <c r="K584" t="s">
        <v>48</v>
      </c>
      <c r="L584">
        <v>115</v>
      </c>
      <c r="M584" t="str">
        <f t="shared" si="18"/>
        <v>Medium</v>
      </c>
      <c r="N584" t="str">
        <f t="shared" si="19"/>
        <v>Good</v>
      </c>
    </row>
    <row r="585" spans="1:14">
      <c r="A585" t="s">
        <v>20</v>
      </c>
      <c r="B585">
        <v>2000</v>
      </c>
      <c r="C585" t="s">
        <v>1446</v>
      </c>
      <c r="D585" t="s">
        <v>14</v>
      </c>
      <c r="E585" t="s">
        <v>1447</v>
      </c>
      <c r="F585" t="s">
        <v>46</v>
      </c>
      <c r="G585">
        <v>8.99</v>
      </c>
      <c r="H585">
        <v>57</v>
      </c>
      <c r="I585" t="s">
        <v>17</v>
      </c>
      <c r="J585" t="s">
        <v>18</v>
      </c>
      <c r="K585" t="s">
        <v>314</v>
      </c>
      <c r="L585">
        <v>297</v>
      </c>
      <c r="M585" t="str">
        <f t="shared" si="18"/>
        <v>Low</v>
      </c>
      <c r="N585" t="str">
        <f t="shared" si="19"/>
        <v>Average</v>
      </c>
    </row>
    <row r="586" spans="1:14">
      <c r="A586" t="s">
        <v>47</v>
      </c>
      <c r="B586">
        <v>2019</v>
      </c>
      <c r="C586" t="s">
        <v>1448</v>
      </c>
      <c r="D586" t="s">
        <v>14</v>
      </c>
      <c r="E586" t="s">
        <v>1449</v>
      </c>
      <c r="F586" t="s">
        <v>42</v>
      </c>
      <c r="G586">
        <v>1.69</v>
      </c>
      <c r="H586">
        <v>93</v>
      </c>
      <c r="I586" t="s">
        <v>61</v>
      </c>
      <c r="J586" t="s">
        <v>18</v>
      </c>
      <c r="K586" t="s">
        <v>68</v>
      </c>
      <c r="L586">
        <v>189</v>
      </c>
      <c r="M586" t="str">
        <f t="shared" si="18"/>
        <v>Low</v>
      </c>
      <c r="N586" t="str">
        <f t="shared" si="19"/>
        <v>Excellent</v>
      </c>
    </row>
    <row r="587" spans="1:14">
      <c r="A587" t="s">
        <v>48</v>
      </c>
      <c r="B587">
        <v>2018</v>
      </c>
      <c r="C587" t="s">
        <v>1450</v>
      </c>
      <c r="D587" t="s">
        <v>14</v>
      </c>
      <c r="E587" t="s">
        <v>1451</v>
      </c>
      <c r="F587" t="s">
        <v>57</v>
      </c>
      <c r="G587">
        <v>43.74</v>
      </c>
      <c r="H587">
        <v>93</v>
      </c>
      <c r="I587" t="s">
        <v>23</v>
      </c>
      <c r="J587" t="s">
        <v>37</v>
      </c>
      <c r="K587" t="s">
        <v>65</v>
      </c>
      <c r="L587">
        <v>76</v>
      </c>
      <c r="M587" t="str">
        <f t="shared" si="18"/>
        <v>High</v>
      </c>
      <c r="N587" t="str">
        <f t="shared" si="19"/>
        <v>Excellent</v>
      </c>
    </row>
    <row r="588" spans="1:14">
      <c r="A588" t="s">
        <v>20</v>
      </c>
      <c r="B588">
        <v>2012</v>
      </c>
      <c r="C588" t="s">
        <v>1452</v>
      </c>
      <c r="D588" t="s">
        <v>33</v>
      </c>
      <c r="E588" t="s">
        <v>1453</v>
      </c>
      <c r="F588" t="s">
        <v>42</v>
      </c>
      <c r="G588">
        <v>20.079999999999998</v>
      </c>
      <c r="H588">
        <v>97</v>
      </c>
      <c r="I588" t="s">
        <v>17</v>
      </c>
      <c r="J588" t="s">
        <v>18</v>
      </c>
      <c r="K588" t="s">
        <v>68</v>
      </c>
      <c r="L588">
        <v>153</v>
      </c>
      <c r="M588" t="str">
        <f t="shared" si="18"/>
        <v>Medium</v>
      </c>
      <c r="N588" t="str">
        <f t="shared" si="19"/>
        <v>Excellent</v>
      </c>
    </row>
    <row r="589" spans="1:14">
      <c r="A589" t="s">
        <v>48</v>
      </c>
      <c r="B589">
        <v>2011</v>
      </c>
      <c r="C589" t="s">
        <v>1454</v>
      </c>
      <c r="D589" t="s">
        <v>14</v>
      </c>
      <c r="E589" t="s">
        <v>1455</v>
      </c>
      <c r="F589" t="s">
        <v>46</v>
      </c>
      <c r="G589">
        <v>37.130000000000003</v>
      </c>
      <c r="H589">
        <v>99</v>
      </c>
      <c r="I589" t="s">
        <v>36</v>
      </c>
      <c r="J589" t="s">
        <v>37</v>
      </c>
      <c r="K589" t="s">
        <v>47</v>
      </c>
      <c r="L589">
        <v>93</v>
      </c>
      <c r="M589" t="str">
        <f t="shared" si="18"/>
        <v>High</v>
      </c>
      <c r="N589" t="str">
        <f t="shared" si="19"/>
        <v>Excellent</v>
      </c>
    </row>
    <row r="590" spans="1:14">
      <c r="A590" t="s">
        <v>68</v>
      </c>
      <c r="B590">
        <v>2020</v>
      </c>
      <c r="C590" t="s">
        <v>1456</v>
      </c>
      <c r="D590" t="s">
        <v>33</v>
      </c>
      <c r="E590" t="s">
        <v>1457</v>
      </c>
      <c r="F590" t="s">
        <v>35</v>
      </c>
      <c r="G590">
        <v>39.799999999999997</v>
      </c>
      <c r="H590">
        <v>71</v>
      </c>
      <c r="I590" t="s">
        <v>17</v>
      </c>
      <c r="J590" t="s">
        <v>18</v>
      </c>
      <c r="K590" t="s">
        <v>26</v>
      </c>
      <c r="L590">
        <v>278</v>
      </c>
      <c r="M590" t="str">
        <f t="shared" si="18"/>
        <v>High</v>
      </c>
      <c r="N590" t="str">
        <f t="shared" si="19"/>
        <v>Average</v>
      </c>
    </row>
    <row r="591" spans="1:14">
      <c r="A591" t="s">
        <v>48</v>
      </c>
      <c r="B591">
        <v>2025</v>
      </c>
      <c r="C591" t="s">
        <v>1458</v>
      </c>
      <c r="D591" t="s">
        <v>14</v>
      </c>
      <c r="E591" t="s">
        <v>1459</v>
      </c>
      <c r="F591" t="s">
        <v>46</v>
      </c>
      <c r="G591">
        <v>2.65</v>
      </c>
      <c r="H591">
        <v>54</v>
      </c>
      <c r="I591" t="s">
        <v>29</v>
      </c>
      <c r="J591" t="s">
        <v>37</v>
      </c>
      <c r="K591" t="s">
        <v>1460</v>
      </c>
      <c r="L591">
        <v>12</v>
      </c>
      <c r="M591" t="str">
        <f t="shared" si="18"/>
        <v>Low</v>
      </c>
      <c r="N591" t="str">
        <f t="shared" si="19"/>
        <v>Average</v>
      </c>
    </row>
    <row r="592" spans="1:14">
      <c r="A592" t="s">
        <v>39</v>
      </c>
      <c r="B592">
        <v>2011</v>
      </c>
      <c r="C592" t="s">
        <v>1461</v>
      </c>
      <c r="D592" t="s">
        <v>33</v>
      </c>
      <c r="E592" t="s">
        <v>1462</v>
      </c>
      <c r="F592" t="s">
        <v>42</v>
      </c>
      <c r="G592">
        <v>48.05</v>
      </c>
      <c r="H592">
        <v>76</v>
      </c>
      <c r="I592" t="s">
        <v>17</v>
      </c>
      <c r="J592" t="s">
        <v>24</v>
      </c>
      <c r="K592" t="s">
        <v>601</v>
      </c>
      <c r="L592">
        <v>292</v>
      </c>
      <c r="M592" t="str">
        <f t="shared" si="18"/>
        <v>High</v>
      </c>
      <c r="N592" t="str">
        <f t="shared" si="19"/>
        <v>Good</v>
      </c>
    </row>
    <row r="593" spans="1:14">
      <c r="A593" t="s">
        <v>12</v>
      </c>
      <c r="B593">
        <v>2005</v>
      </c>
      <c r="C593" t="s">
        <v>1463</v>
      </c>
      <c r="D593" t="s">
        <v>33</v>
      </c>
      <c r="E593" t="s">
        <v>1464</v>
      </c>
      <c r="F593" t="s">
        <v>57</v>
      </c>
      <c r="G593">
        <v>39.5</v>
      </c>
      <c r="H593">
        <v>50</v>
      </c>
      <c r="I593" t="s">
        <v>29</v>
      </c>
      <c r="J593" t="s">
        <v>24</v>
      </c>
      <c r="K593" t="s">
        <v>1465</v>
      </c>
      <c r="L593">
        <v>141</v>
      </c>
      <c r="M593" t="str">
        <f t="shared" si="18"/>
        <v>High</v>
      </c>
      <c r="N593" t="str">
        <f t="shared" si="19"/>
        <v>Average</v>
      </c>
    </row>
    <row r="594" spans="1:14">
      <c r="A594" t="s">
        <v>65</v>
      </c>
      <c r="B594">
        <v>2003</v>
      </c>
      <c r="C594" t="s">
        <v>1466</v>
      </c>
      <c r="D594" t="s">
        <v>33</v>
      </c>
      <c r="E594" t="s">
        <v>1467</v>
      </c>
      <c r="F594" t="s">
        <v>46</v>
      </c>
      <c r="G594">
        <v>24.15</v>
      </c>
      <c r="H594">
        <v>98</v>
      </c>
      <c r="I594" t="s">
        <v>17</v>
      </c>
      <c r="J594" t="s">
        <v>24</v>
      </c>
      <c r="K594" t="s">
        <v>398</v>
      </c>
      <c r="L594">
        <v>117</v>
      </c>
      <c r="M594" t="str">
        <f t="shared" si="18"/>
        <v>Medium</v>
      </c>
      <c r="N594" t="str">
        <f t="shared" si="19"/>
        <v>Excellent</v>
      </c>
    </row>
    <row r="595" spans="1:14">
      <c r="A595" t="s">
        <v>31</v>
      </c>
      <c r="B595">
        <v>2018</v>
      </c>
      <c r="C595" t="s">
        <v>1468</v>
      </c>
      <c r="D595" t="s">
        <v>33</v>
      </c>
      <c r="E595" t="s">
        <v>1469</v>
      </c>
      <c r="F595" t="s">
        <v>35</v>
      </c>
      <c r="G595">
        <v>22.24</v>
      </c>
      <c r="H595">
        <v>84</v>
      </c>
      <c r="I595" t="s">
        <v>17</v>
      </c>
      <c r="J595" t="s">
        <v>24</v>
      </c>
      <c r="K595" t="s">
        <v>1470</v>
      </c>
      <c r="L595">
        <v>67</v>
      </c>
      <c r="M595" t="str">
        <f t="shared" si="18"/>
        <v>Medium</v>
      </c>
      <c r="N595" t="str">
        <f t="shared" si="19"/>
        <v>Good</v>
      </c>
    </row>
    <row r="596" spans="1:14">
      <c r="A596" t="s">
        <v>12</v>
      </c>
      <c r="B596">
        <v>2006</v>
      </c>
      <c r="C596" t="s">
        <v>1471</v>
      </c>
      <c r="D596" t="s">
        <v>33</v>
      </c>
      <c r="E596" t="s">
        <v>1472</v>
      </c>
      <c r="F596" t="s">
        <v>46</v>
      </c>
      <c r="G596">
        <v>46.98</v>
      </c>
      <c r="H596">
        <v>51</v>
      </c>
      <c r="I596" t="s">
        <v>17</v>
      </c>
      <c r="J596" t="s">
        <v>37</v>
      </c>
      <c r="K596" t="s">
        <v>47</v>
      </c>
      <c r="L596">
        <v>119</v>
      </c>
      <c r="M596" t="str">
        <f t="shared" si="18"/>
        <v>High</v>
      </c>
      <c r="N596" t="str">
        <f t="shared" si="19"/>
        <v>Average</v>
      </c>
    </row>
    <row r="597" spans="1:14">
      <c r="A597" t="s">
        <v>65</v>
      </c>
      <c r="B597">
        <v>2024</v>
      </c>
      <c r="C597" t="s">
        <v>1473</v>
      </c>
      <c r="D597" t="s">
        <v>14</v>
      </c>
      <c r="E597" t="s">
        <v>1474</v>
      </c>
      <c r="F597" t="s">
        <v>35</v>
      </c>
      <c r="G597">
        <v>9.91</v>
      </c>
      <c r="H597">
        <v>97</v>
      </c>
      <c r="I597" t="s">
        <v>17</v>
      </c>
      <c r="J597" t="s">
        <v>24</v>
      </c>
      <c r="K597" t="s">
        <v>607</v>
      </c>
      <c r="L597">
        <v>32</v>
      </c>
      <c r="M597" t="str">
        <f t="shared" si="18"/>
        <v>Low</v>
      </c>
      <c r="N597" t="str">
        <f t="shared" si="19"/>
        <v>Excellent</v>
      </c>
    </row>
    <row r="598" spans="1:14">
      <c r="A598" t="s">
        <v>26</v>
      </c>
      <c r="B598">
        <v>2017</v>
      </c>
      <c r="C598" t="s">
        <v>1475</v>
      </c>
      <c r="D598" t="s">
        <v>33</v>
      </c>
      <c r="E598" t="s">
        <v>1476</v>
      </c>
      <c r="F598" t="s">
        <v>42</v>
      </c>
      <c r="G598">
        <v>30.65</v>
      </c>
      <c r="H598">
        <v>95</v>
      </c>
      <c r="I598" t="s">
        <v>23</v>
      </c>
      <c r="J598" t="s">
        <v>24</v>
      </c>
      <c r="K598" t="s">
        <v>624</v>
      </c>
      <c r="L598">
        <v>40</v>
      </c>
      <c r="M598" t="str">
        <f t="shared" si="18"/>
        <v>Medium</v>
      </c>
      <c r="N598" t="str">
        <f t="shared" si="19"/>
        <v>Excellent</v>
      </c>
    </row>
    <row r="599" spans="1:14">
      <c r="A599" t="s">
        <v>12</v>
      </c>
      <c r="B599">
        <v>2005</v>
      </c>
      <c r="C599" t="s">
        <v>1477</v>
      </c>
      <c r="D599" t="s">
        <v>33</v>
      </c>
      <c r="E599" t="s">
        <v>1478</v>
      </c>
      <c r="F599" t="s">
        <v>46</v>
      </c>
      <c r="G599">
        <v>19.010000000000002</v>
      </c>
      <c r="H599">
        <v>99</v>
      </c>
      <c r="I599" t="s">
        <v>36</v>
      </c>
      <c r="J599" t="s">
        <v>18</v>
      </c>
      <c r="K599" t="s">
        <v>298</v>
      </c>
      <c r="L599">
        <v>125</v>
      </c>
      <c r="M599" t="str">
        <f t="shared" si="18"/>
        <v>Medium</v>
      </c>
      <c r="N599" t="str">
        <f t="shared" si="19"/>
        <v>Excellent</v>
      </c>
    </row>
    <row r="600" spans="1:14">
      <c r="A600" t="s">
        <v>39</v>
      </c>
      <c r="B600">
        <v>2023</v>
      </c>
      <c r="C600" t="s">
        <v>1479</v>
      </c>
      <c r="D600" t="s">
        <v>33</v>
      </c>
      <c r="E600" t="s">
        <v>1480</v>
      </c>
      <c r="F600" t="s">
        <v>57</v>
      </c>
      <c r="G600">
        <v>24.23</v>
      </c>
      <c r="H600">
        <v>50</v>
      </c>
      <c r="I600" t="s">
        <v>29</v>
      </c>
      <c r="J600" t="s">
        <v>37</v>
      </c>
      <c r="K600" t="s">
        <v>1481</v>
      </c>
      <c r="L600">
        <v>262</v>
      </c>
      <c r="M600" t="str">
        <f t="shared" si="18"/>
        <v>Medium</v>
      </c>
      <c r="N600" t="str">
        <f t="shared" si="19"/>
        <v>Average</v>
      </c>
    </row>
    <row r="601" spans="1:14">
      <c r="A601" t="s">
        <v>68</v>
      </c>
      <c r="B601">
        <v>2009</v>
      </c>
      <c r="C601" t="s">
        <v>1482</v>
      </c>
      <c r="D601" t="s">
        <v>33</v>
      </c>
      <c r="E601" t="s">
        <v>1483</v>
      </c>
      <c r="F601" t="s">
        <v>46</v>
      </c>
      <c r="G601">
        <v>38.049999999999997</v>
      </c>
      <c r="H601">
        <v>97</v>
      </c>
      <c r="I601" t="s">
        <v>29</v>
      </c>
      <c r="J601" t="s">
        <v>18</v>
      </c>
      <c r="K601" t="s">
        <v>1484</v>
      </c>
      <c r="L601">
        <v>185</v>
      </c>
      <c r="M601" t="str">
        <f t="shared" si="18"/>
        <v>High</v>
      </c>
      <c r="N601" t="str">
        <f t="shared" si="19"/>
        <v>Excellent</v>
      </c>
    </row>
    <row r="602" spans="1:14">
      <c r="A602" t="s">
        <v>65</v>
      </c>
      <c r="B602">
        <v>2016</v>
      </c>
      <c r="C602" t="s">
        <v>1485</v>
      </c>
      <c r="D602" t="s">
        <v>14</v>
      </c>
      <c r="E602" t="s">
        <v>1486</v>
      </c>
      <c r="F602" t="s">
        <v>42</v>
      </c>
      <c r="G602">
        <v>23.52</v>
      </c>
      <c r="H602">
        <v>53</v>
      </c>
      <c r="I602" t="s">
        <v>29</v>
      </c>
      <c r="J602" t="s">
        <v>37</v>
      </c>
      <c r="K602" t="s">
        <v>232</v>
      </c>
      <c r="L602">
        <v>135</v>
      </c>
      <c r="M602" t="str">
        <f t="shared" si="18"/>
        <v>Medium</v>
      </c>
      <c r="N602" t="str">
        <f t="shared" si="19"/>
        <v>Average</v>
      </c>
    </row>
    <row r="603" spans="1:14">
      <c r="A603" t="s">
        <v>48</v>
      </c>
      <c r="B603">
        <v>2010</v>
      </c>
      <c r="C603" t="s">
        <v>1487</v>
      </c>
      <c r="D603" t="s">
        <v>14</v>
      </c>
      <c r="E603" t="s">
        <v>1488</v>
      </c>
      <c r="F603" t="s">
        <v>35</v>
      </c>
      <c r="G603">
        <v>31.35</v>
      </c>
      <c r="H603">
        <v>69</v>
      </c>
      <c r="I603" t="s">
        <v>36</v>
      </c>
      <c r="J603" t="s">
        <v>24</v>
      </c>
      <c r="K603" t="s">
        <v>65</v>
      </c>
      <c r="L603">
        <v>103</v>
      </c>
      <c r="M603" t="str">
        <f t="shared" si="18"/>
        <v>Medium</v>
      </c>
      <c r="N603" t="str">
        <f t="shared" si="19"/>
        <v>Average</v>
      </c>
    </row>
    <row r="604" spans="1:14">
      <c r="A604" t="s">
        <v>65</v>
      </c>
      <c r="B604">
        <v>2024</v>
      </c>
      <c r="C604" t="s">
        <v>1489</v>
      </c>
      <c r="D604" t="s">
        <v>33</v>
      </c>
      <c r="E604" t="s">
        <v>1490</v>
      </c>
      <c r="F604" t="s">
        <v>46</v>
      </c>
      <c r="G604">
        <v>29.38</v>
      </c>
      <c r="H604">
        <v>82</v>
      </c>
      <c r="I604" t="s">
        <v>23</v>
      </c>
      <c r="J604" t="s">
        <v>18</v>
      </c>
      <c r="K604" t="s">
        <v>38</v>
      </c>
      <c r="L604">
        <v>183</v>
      </c>
      <c r="M604" t="str">
        <f t="shared" si="18"/>
        <v>Medium</v>
      </c>
      <c r="N604" t="str">
        <f t="shared" si="19"/>
        <v>Good</v>
      </c>
    </row>
    <row r="605" spans="1:14">
      <c r="A605" t="s">
        <v>12</v>
      </c>
      <c r="B605">
        <v>2010</v>
      </c>
      <c r="C605" t="s">
        <v>1491</v>
      </c>
      <c r="D605" t="s">
        <v>14</v>
      </c>
      <c r="E605" t="s">
        <v>1492</v>
      </c>
      <c r="F605" t="s">
        <v>46</v>
      </c>
      <c r="G605">
        <v>6.51</v>
      </c>
      <c r="H605">
        <v>61</v>
      </c>
      <c r="I605" t="s">
        <v>61</v>
      </c>
      <c r="J605" t="s">
        <v>18</v>
      </c>
      <c r="K605" t="s">
        <v>173</v>
      </c>
      <c r="L605">
        <v>25</v>
      </c>
      <c r="M605" t="str">
        <f t="shared" si="18"/>
        <v>Low</v>
      </c>
      <c r="N605" t="str">
        <f t="shared" si="19"/>
        <v>Average</v>
      </c>
    </row>
    <row r="606" spans="1:14">
      <c r="A606" t="s">
        <v>26</v>
      </c>
      <c r="B606">
        <v>2003</v>
      </c>
      <c r="C606" t="s">
        <v>1493</v>
      </c>
      <c r="D606" t="s">
        <v>14</v>
      </c>
      <c r="E606" t="s">
        <v>1494</v>
      </c>
      <c r="F606" t="s">
        <v>42</v>
      </c>
      <c r="G606">
        <v>44.02</v>
      </c>
      <c r="H606">
        <v>70</v>
      </c>
      <c r="I606" t="s">
        <v>29</v>
      </c>
      <c r="J606" t="s">
        <v>24</v>
      </c>
      <c r="K606" t="s">
        <v>48</v>
      </c>
      <c r="L606">
        <v>288</v>
      </c>
      <c r="M606" t="str">
        <f t="shared" si="18"/>
        <v>High</v>
      </c>
      <c r="N606" t="str">
        <f t="shared" si="19"/>
        <v>Average</v>
      </c>
    </row>
    <row r="607" spans="1:14">
      <c r="A607" t="s">
        <v>65</v>
      </c>
      <c r="B607">
        <v>2010</v>
      </c>
      <c r="C607" t="s">
        <v>1495</v>
      </c>
      <c r="D607" t="s">
        <v>33</v>
      </c>
      <c r="E607" t="s">
        <v>1496</v>
      </c>
      <c r="F607" t="s">
        <v>42</v>
      </c>
      <c r="G607">
        <v>39.58</v>
      </c>
      <c r="H607">
        <v>94</v>
      </c>
      <c r="I607" t="s">
        <v>29</v>
      </c>
      <c r="J607" t="s">
        <v>18</v>
      </c>
      <c r="K607" t="s">
        <v>1249</v>
      </c>
      <c r="L607">
        <v>213</v>
      </c>
      <c r="M607" t="str">
        <f t="shared" si="18"/>
        <v>High</v>
      </c>
      <c r="N607" t="str">
        <f t="shared" si="19"/>
        <v>Excellent</v>
      </c>
    </row>
    <row r="608" spans="1:14">
      <c r="A608" t="s">
        <v>12</v>
      </c>
      <c r="B608">
        <v>2020</v>
      </c>
      <c r="C608" t="s">
        <v>1497</v>
      </c>
      <c r="D608" t="s">
        <v>33</v>
      </c>
      <c r="E608" t="s">
        <v>1498</v>
      </c>
      <c r="F608" t="s">
        <v>57</v>
      </c>
      <c r="G608">
        <v>42.08</v>
      </c>
      <c r="H608">
        <v>81</v>
      </c>
      <c r="I608" t="s">
        <v>29</v>
      </c>
      <c r="J608" t="s">
        <v>24</v>
      </c>
      <c r="K608" t="s">
        <v>48</v>
      </c>
      <c r="L608">
        <v>154</v>
      </c>
      <c r="M608" t="str">
        <f t="shared" si="18"/>
        <v>High</v>
      </c>
      <c r="N608" t="str">
        <f t="shared" si="19"/>
        <v>Good</v>
      </c>
    </row>
    <row r="609" spans="1:14">
      <c r="A609" t="s">
        <v>47</v>
      </c>
      <c r="B609">
        <v>2025</v>
      </c>
      <c r="C609" t="s">
        <v>1499</v>
      </c>
      <c r="D609" t="s">
        <v>33</v>
      </c>
      <c r="E609" t="s">
        <v>1500</v>
      </c>
      <c r="F609" t="s">
        <v>42</v>
      </c>
      <c r="G609">
        <v>22.92</v>
      </c>
      <c r="H609">
        <v>93</v>
      </c>
      <c r="I609" t="s">
        <v>23</v>
      </c>
      <c r="J609" t="s">
        <v>24</v>
      </c>
      <c r="K609" t="s">
        <v>47</v>
      </c>
      <c r="L609">
        <v>129</v>
      </c>
      <c r="M609" t="str">
        <f t="shared" si="18"/>
        <v>Medium</v>
      </c>
      <c r="N609" t="str">
        <f t="shared" si="19"/>
        <v>Excellent</v>
      </c>
    </row>
    <row r="610" spans="1:14">
      <c r="A610" t="s">
        <v>38</v>
      </c>
      <c r="B610">
        <v>2014</v>
      </c>
      <c r="C610" t="s">
        <v>1501</v>
      </c>
      <c r="D610" t="s">
        <v>14</v>
      </c>
      <c r="E610" t="s">
        <v>1502</v>
      </c>
      <c r="F610" t="s">
        <v>46</v>
      </c>
      <c r="G610">
        <v>26.7</v>
      </c>
      <c r="H610">
        <v>53</v>
      </c>
      <c r="I610" t="s">
        <v>17</v>
      </c>
      <c r="J610" t="s">
        <v>24</v>
      </c>
      <c r="K610" t="s">
        <v>1503</v>
      </c>
      <c r="L610">
        <v>269</v>
      </c>
      <c r="M610" t="str">
        <f t="shared" si="18"/>
        <v>Medium</v>
      </c>
      <c r="N610" t="str">
        <f t="shared" si="19"/>
        <v>Average</v>
      </c>
    </row>
    <row r="611" spans="1:14">
      <c r="A611" t="s">
        <v>26</v>
      </c>
      <c r="B611">
        <v>2012</v>
      </c>
      <c r="C611" t="s">
        <v>1504</v>
      </c>
      <c r="D611" t="s">
        <v>33</v>
      </c>
      <c r="E611" t="s">
        <v>1505</v>
      </c>
      <c r="F611" t="s">
        <v>16</v>
      </c>
      <c r="G611">
        <v>13.88</v>
      </c>
      <c r="H611">
        <v>74</v>
      </c>
      <c r="I611" t="s">
        <v>36</v>
      </c>
      <c r="J611" t="s">
        <v>18</v>
      </c>
      <c r="K611" t="s">
        <v>259</v>
      </c>
      <c r="L611">
        <v>9</v>
      </c>
      <c r="M611" t="str">
        <f t="shared" si="18"/>
        <v>Low</v>
      </c>
      <c r="N611" t="str">
        <f t="shared" si="19"/>
        <v>Average</v>
      </c>
    </row>
    <row r="612" spans="1:14">
      <c r="A612" t="s">
        <v>65</v>
      </c>
      <c r="B612">
        <v>2001</v>
      </c>
      <c r="C612" t="s">
        <v>1506</v>
      </c>
      <c r="D612" t="s">
        <v>33</v>
      </c>
      <c r="E612" t="s">
        <v>1507</v>
      </c>
      <c r="F612" t="s">
        <v>46</v>
      </c>
      <c r="G612">
        <v>38.159999999999997</v>
      </c>
      <c r="H612">
        <v>77</v>
      </c>
      <c r="I612" t="s">
        <v>29</v>
      </c>
      <c r="J612" t="s">
        <v>18</v>
      </c>
      <c r="K612" t="s">
        <v>1508</v>
      </c>
      <c r="L612">
        <v>244</v>
      </c>
      <c r="M612" t="str">
        <f t="shared" si="18"/>
        <v>High</v>
      </c>
      <c r="N612" t="str">
        <f t="shared" si="19"/>
        <v>Good</v>
      </c>
    </row>
    <row r="613" spans="1:14">
      <c r="A613" t="s">
        <v>68</v>
      </c>
      <c r="B613">
        <v>2003</v>
      </c>
      <c r="C613" t="s">
        <v>1509</v>
      </c>
      <c r="D613" t="s">
        <v>33</v>
      </c>
      <c r="E613" t="s">
        <v>1510</v>
      </c>
      <c r="F613" t="s">
        <v>35</v>
      </c>
      <c r="G613">
        <v>6.06</v>
      </c>
      <c r="H613">
        <v>76</v>
      </c>
      <c r="I613" t="s">
        <v>17</v>
      </c>
      <c r="J613" t="s">
        <v>18</v>
      </c>
      <c r="K613" t="s">
        <v>1511</v>
      </c>
      <c r="L613">
        <v>81</v>
      </c>
      <c r="M613" t="str">
        <f t="shared" si="18"/>
        <v>Low</v>
      </c>
      <c r="N613" t="str">
        <f t="shared" si="19"/>
        <v>Good</v>
      </c>
    </row>
    <row r="614" spans="1:14">
      <c r="A614" t="s">
        <v>38</v>
      </c>
      <c r="B614">
        <v>2024</v>
      </c>
      <c r="C614" t="s">
        <v>1512</v>
      </c>
      <c r="D614" t="s">
        <v>33</v>
      </c>
      <c r="E614" t="s">
        <v>1513</v>
      </c>
      <c r="F614" t="s">
        <v>46</v>
      </c>
      <c r="G614">
        <v>42.33</v>
      </c>
      <c r="H614">
        <v>56</v>
      </c>
      <c r="I614" t="s">
        <v>61</v>
      </c>
      <c r="J614" t="s">
        <v>18</v>
      </c>
      <c r="K614" t="s">
        <v>881</v>
      </c>
      <c r="L614">
        <v>338</v>
      </c>
      <c r="M614" t="str">
        <f t="shared" si="18"/>
        <v>High</v>
      </c>
      <c r="N614" t="str">
        <f t="shared" si="19"/>
        <v>Average</v>
      </c>
    </row>
    <row r="615" spans="1:14">
      <c r="A615" t="s">
        <v>12</v>
      </c>
      <c r="B615">
        <v>2008</v>
      </c>
      <c r="C615" t="s">
        <v>1514</v>
      </c>
      <c r="D615" t="s">
        <v>14</v>
      </c>
      <c r="E615" t="s">
        <v>1515</v>
      </c>
      <c r="F615" t="s">
        <v>46</v>
      </c>
      <c r="G615">
        <v>14.31</v>
      </c>
      <c r="H615">
        <v>84</v>
      </c>
      <c r="I615" t="s">
        <v>61</v>
      </c>
      <c r="J615" t="s">
        <v>24</v>
      </c>
      <c r="K615" t="s">
        <v>1516</v>
      </c>
      <c r="L615">
        <v>250</v>
      </c>
      <c r="M615" t="str">
        <f t="shared" si="18"/>
        <v>Low</v>
      </c>
      <c r="N615" t="str">
        <f t="shared" si="19"/>
        <v>Good</v>
      </c>
    </row>
    <row r="616" spans="1:14">
      <c r="A616" t="s">
        <v>68</v>
      </c>
      <c r="B616">
        <v>2020</v>
      </c>
      <c r="C616" t="s">
        <v>1517</v>
      </c>
      <c r="D616" t="s">
        <v>14</v>
      </c>
      <c r="E616" t="s">
        <v>373</v>
      </c>
      <c r="F616" t="s">
        <v>46</v>
      </c>
      <c r="G616">
        <v>39.28</v>
      </c>
      <c r="H616">
        <v>96</v>
      </c>
      <c r="I616" t="s">
        <v>23</v>
      </c>
      <c r="J616" t="s">
        <v>37</v>
      </c>
      <c r="K616" t="s">
        <v>84</v>
      </c>
      <c r="L616">
        <v>358</v>
      </c>
      <c r="M616" t="str">
        <f t="shared" si="18"/>
        <v>High</v>
      </c>
      <c r="N616" t="str">
        <f t="shared" si="19"/>
        <v>Excellent</v>
      </c>
    </row>
    <row r="617" spans="1:14">
      <c r="A617" t="s">
        <v>65</v>
      </c>
      <c r="B617">
        <v>2013</v>
      </c>
      <c r="C617" t="s">
        <v>1518</v>
      </c>
      <c r="D617" t="s">
        <v>33</v>
      </c>
      <c r="E617" t="s">
        <v>1519</v>
      </c>
      <c r="F617" t="s">
        <v>46</v>
      </c>
      <c r="G617">
        <v>41.69</v>
      </c>
      <c r="H617">
        <v>54</v>
      </c>
      <c r="I617" t="s">
        <v>61</v>
      </c>
      <c r="J617" t="s">
        <v>37</v>
      </c>
      <c r="K617" t="s">
        <v>1520</v>
      </c>
      <c r="L617">
        <v>38</v>
      </c>
      <c r="M617" t="str">
        <f t="shared" si="18"/>
        <v>High</v>
      </c>
      <c r="N617" t="str">
        <f t="shared" si="19"/>
        <v>Average</v>
      </c>
    </row>
    <row r="618" spans="1:14">
      <c r="A618" t="s">
        <v>48</v>
      </c>
      <c r="B618">
        <v>2005</v>
      </c>
      <c r="C618" t="s">
        <v>1521</v>
      </c>
      <c r="D618" t="s">
        <v>33</v>
      </c>
      <c r="E618" t="s">
        <v>1522</v>
      </c>
      <c r="F618" t="s">
        <v>57</v>
      </c>
      <c r="G618">
        <v>28.66</v>
      </c>
      <c r="H618">
        <v>96</v>
      </c>
      <c r="I618" t="s">
        <v>61</v>
      </c>
      <c r="J618" t="s">
        <v>18</v>
      </c>
      <c r="K618" t="s">
        <v>624</v>
      </c>
      <c r="L618">
        <v>123</v>
      </c>
      <c r="M618" t="str">
        <f t="shared" si="18"/>
        <v>Medium</v>
      </c>
      <c r="N618" t="str">
        <f t="shared" si="19"/>
        <v>Excellent</v>
      </c>
    </row>
    <row r="619" spans="1:14">
      <c r="A619" t="s">
        <v>20</v>
      </c>
      <c r="B619">
        <v>2005</v>
      </c>
      <c r="C619" t="s">
        <v>1523</v>
      </c>
      <c r="D619" t="s">
        <v>14</v>
      </c>
      <c r="E619" t="s">
        <v>1524</v>
      </c>
      <c r="F619" t="s">
        <v>16</v>
      </c>
      <c r="G619">
        <v>22.97</v>
      </c>
      <c r="H619">
        <v>97</v>
      </c>
      <c r="I619" t="s">
        <v>61</v>
      </c>
      <c r="J619" t="s">
        <v>24</v>
      </c>
      <c r="K619" t="s">
        <v>836</v>
      </c>
      <c r="L619">
        <v>269</v>
      </c>
      <c r="M619" t="str">
        <f t="shared" si="18"/>
        <v>Medium</v>
      </c>
      <c r="N619" t="str">
        <f t="shared" si="19"/>
        <v>Excellent</v>
      </c>
    </row>
    <row r="620" spans="1:14">
      <c r="A620" t="s">
        <v>31</v>
      </c>
      <c r="B620">
        <v>2014</v>
      </c>
      <c r="C620" t="s">
        <v>1525</v>
      </c>
      <c r="D620" t="s">
        <v>14</v>
      </c>
      <c r="E620" t="s">
        <v>1098</v>
      </c>
      <c r="F620" t="s">
        <v>16</v>
      </c>
      <c r="G620">
        <v>3.22</v>
      </c>
      <c r="H620">
        <v>98</v>
      </c>
      <c r="I620" t="s">
        <v>36</v>
      </c>
      <c r="J620" t="s">
        <v>37</v>
      </c>
      <c r="K620" t="s">
        <v>38</v>
      </c>
      <c r="L620">
        <v>81</v>
      </c>
      <c r="M620" t="str">
        <f t="shared" si="18"/>
        <v>Low</v>
      </c>
      <c r="N620" t="str">
        <f t="shared" si="19"/>
        <v>Excellent</v>
      </c>
    </row>
    <row r="621" spans="1:14">
      <c r="A621" t="s">
        <v>38</v>
      </c>
      <c r="B621">
        <v>2019</v>
      </c>
      <c r="C621" t="s">
        <v>1526</v>
      </c>
      <c r="D621" t="s">
        <v>33</v>
      </c>
      <c r="E621" t="s">
        <v>1527</v>
      </c>
      <c r="F621" t="s">
        <v>46</v>
      </c>
      <c r="G621">
        <v>26.7</v>
      </c>
      <c r="H621">
        <v>95</v>
      </c>
      <c r="I621" t="s">
        <v>36</v>
      </c>
      <c r="J621" t="s">
        <v>37</v>
      </c>
      <c r="K621" t="s">
        <v>1528</v>
      </c>
      <c r="L621">
        <v>47</v>
      </c>
      <c r="M621" t="str">
        <f t="shared" si="18"/>
        <v>Medium</v>
      </c>
      <c r="N621" t="str">
        <f t="shared" si="19"/>
        <v>Excellent</v>
      </c>
    </row>
    <row r="622" spans="1:14">
      <c r="A622" t="s">
        <v>48</v>
      </c>
      <c r="B622">
        <v>2025</v>
      </c>
      <c r="C622" t="s">
        <v>1529</v>
      </c>
      <c r="D622" t="s">
        <v>14</v>
      </c>
      <c r="E622" t="s">
        <v>1530</v>
      </c>
      <c r="F622" t="s">
        <v>42</v>
      </c>
      <c r="G622">
        <v>44.61</v>
      </c>
      <c r="H622">
        <v>92</v>
      </c>
      <c r="I622" t="s">
        <v>61</v>
      </c>
      <c r="J622" t="s">
        <v>18</v>
      </c>
      <c r="K622" t="s">
        <v>1484</v>
      </c>
      <c r="L622">
        <v>221</v>
      </c>
      <c r="M622" t="str">
        <f t="shared" si="18"/>
        <v>High</v>
      </c>
      <c r="N622" t="str">
        <f t="shared" si="19"/>
        <v>Excellent</v>
      </c>
    </row>
    <row r="623" spans="1:14">
      <c r="A623" t="s">
        <v>26</v>
      </c>
      <c r="B623">
        <v>2008</v>
      </c>
      <c r="C623" t="s">
        <v>1531</v>
      </c>
      <c r="D623" t="s">
        <v>14</v>
      </c>
      <c r="E623" t="s">
        <v>1532</v>
      </c>
      <c r="F623" t="s">
        <v>57</v>
      </c>
      <c r="G623">
        <v>5.8</v>
      </c>
      <c r="H623">
        <v>52</v>
      </c>
      <c r="I623" t="s">
        <v>29</v>
      </c>
      <c r="J623" t="s">
        <v>18</v>
      </c>
      <c r="K623" t="s">
        <v>279</v>
      </c>
      <c r="L623">
        <v>336</v>
      </c>
      <c r="M623" t="str">
        <f t="shared" si="18"/>
        <v>Low</v>
      </c>
      <c r="N623" t="str">
        <f t="shared" si="19"/>
        <v>Average</v>
      </c>
    </row>
    <row r="624" spans="1:14">
      <c r="A624" t="s">
        <v>26</v>
      </c>
      <c r="B624">
        <v>2016</v>
      </c>
      <c r="C624" t="s">
        <v>1533</v>
      </c>
      <c r="D624" t="s">
        <v>33</v>
      </c>
      <c r="E624" t="s">
        <v>1534</v>
      </c>
      <c r="F624" t="s">
        <v>46</v>
      </c>
      <c r="G624">
        <v>43.31</v>
      </c>
      <c r="H624">
        <v>91</v>
      </c>
      <c r="I624" t="s">
        <v>29</v>
      </c>
      <c r="J624" t="s">
        <v>18</v>
      </c>
      <c r="K624" t="s">
        <v>65</v>
      </c>
      <c r="L624">
        <v>180</v>
      </c>
      <c r="M624" t="str">
        <f t="shared" si="18"/>
        <v>High</v>
      </c>
      <c r="N624" t="str">
        <f t="shared" si="19"/>
        <v>Excellent</v>
      </c>
    </row>
    <row r="625" spans="1:14">
      <c r="A625" t="s">
        <v>38</v>
      </c>
      <c r="B625">
        <v>2016</v>
      </c>
      <c r="C625" t="s">
        <v>1535</v>
      </c>
      <c r="D625" t="s">
        <v>33</v>
      </c>
      <c r="E625" t="s">
        <v>1536</v>
      </c>
      <c r="F625" t="s">
        <v>46</v>
      </c>
      <c r="G625">
        <v>41.74</v>
      </c>
      <c r="H625">
        <v>89</v>
      </c>
      <c r="I625" t="s">
        <v>61</v>
      </c>
      <c r="J625" t="s">
        <v>37</v>
      </c>
      <c r="K625" t="s">
        <v>1537</v>
      </c>
      <c r="L625">
        <v>225</v>
      </c>
      <c r="M625" t="str">
        <f t="shared" si="18"/>
        <v>High</v>
      </c>
      <c r="N625" t="str">
        <f t="shared" si="19"/>
        <v>Good</v>
      </c>
    </row>
    <row r="626" spans="1:14">
      <c r="A626" t="s">
        <v>31</v>
      </c>
      <c r="B626">
        <v>2011</v>
      </c>
      <c r="C626" t="s">
        <v>1538</v>
      </c>
      <c r="D626" t="s">
        <v>14</v>
      </c>
      <c r="E626" t="s">
        <v>1539</v>
      </c>
      <c r="F626" t="s">
        <v>46</v>
      </c>
      <c r="G626">
        <v>9.26</v>
      </c>
      <c r="H626">
        <v>87</v>
      </c>
      <c r="I626" t="s">
        <v>61</v>
      </c>
      <c r="J626" t="s">
        <v>37</v>
      </c>
      <c r="K626" t="s">
        <v>1540</v>
      </c>
      <c r="L626">
        <v>267</v>
      </c>
      <c r="M626" t="str">
        <f t="shared" si="18"/>
        <v>Low</v>
      </c>
      <c r="N626" t="str">
        <f t="shared" si="19"/>
        <v>Good</v>
      </c>
    </row>
    <row r="627" spans="1:14">
      <c r="A627" t="s">
        <v>12</v>
      </c>
      <c r="B627">
        <v>2020</v>
      </c>
      <c r="C627" t="s">
        <v>1541</v>
      </c>
      <c r="D627" t="s">
        <v>14</v>
      </c>
      <c r="E627" t="s">
        <v>1542</v>
      </c>
      <c r="F627" t="s">
        <v>35</v>
      </c>
      <c r="G627">
        <v>46.28</v>
      </c>
      <c r="H627">
        <v>53</v>
      </c>
      <c r="I627" t="s">
        <v>17</v>
      </c>
      <c r="J627" t="s">
        <v>18</v>
      </c>
      <c r="K627" t="s">
        <v>26</v>
      </c>
      <c r="L627">
        <v>342</v>
      </c>
      <c r="M627" t="str">
        <f t="shared" si="18"/>
        <v>High</v>
      </c>
      <c r="N627" t="str">
        <f t="shared" si="19"/>
        <v>Average</v>
      </c>
    </row>
    <row r="628" spans="1:14">
      <c r="A628" t="s">
        <v>20</v>
      </c>
      <c r="B628">
        <v>2008</v>
      </c>
      <c r="C628" t="s">
        <v>1543</v>
      </c>
      <c r="D628" t="s">
        <v>33</v>
      </c>
      <c r="E628" t="s">
        <v>1544</v>
      </c>
      <c r="F628" t="s">
        <v>35</v>
      </c>
      <c r="G628">
        <v>44.63</v>
      </c>
      <c r="H628">
        <v>79</v>
      </c>
      <c r="I628" t="s">
        <v>29</v>
      </c>
      <c r="J628" t="s">
        <v>24</v>
      </c>
      <c r="K628" t="s">
        <v>1545</v>
      </c>
      <c r="L628">
        <v>250</v>
      </c>
      <c r="M628" t="str">
        <f t="shared" si="18"/>
        <v>High</v>
      </c>
      <c r="N628" t="str">
        <f t="shared" si="19"/>
        <v>Good</v>
      </c>
    </row>
    <row r="629" spans="1:14">
      <c r="A629" t="s">
        <v>31</v>
      </c>
      <c r="B629">
        <v>2024</v>
      </c>
      <c r="C629" t="s">
        <v>1546</v>
      </c>
      <c r="D629" t="s">
        <v>14</v>
      </c>
      <c r="E629" t="s">
        <v>1547</v>
      </c>
      <c r="F629" t="s">
        <v>35</v>
      </c>
      <c r="G629">
        <v>30.89</v>
      </c>
      <c r="H629">
        <v>88</v>
      </c>
      <c r="I629" t="s">
        <v>17</v>
      </c>
      <c r="J629" t="s">
        <v>24</v>
      </c>
      <c r="K629" t="s">
        <v>39</v>
      </c>
      <c r="L629">
        <v>285</v>
      </c>
      <c r="M629" t="str">
        <f t="shared" si="18"/>
        <v>Medium</v>
      </c>
      <c r="N629" t="str">
        <f t="shared" si="19"/>
        <v>Good</v>
      </c>
    </row>
    <row r="630" spans="1:14">
      <c r="A630" t="s">
        <v>20</v>
      </c>
      <c r="B630">
        <v>2006</v>
      </c>
      <c r="C630" t="s">
        <v>1548</v>
      </c>
      <c r="D630" t="s">
        <v>14</v>
      </c>
      <c r="E630" t="s">
        <v>1549</v>
      </c>
      <c r="F630" t="s">
        <v>46</v>
      </c>
      <c r="G630">
        <v>36.82</v>
      </c>
      <c r="H630">
        <v>70</v>
      </c>
      <c r="I630" t="s">
        <v>36</v>
      </c>
      <c r="J630" t="s">
        <v>18</v>
      </c>
      <c r="K630" t="s">
        <v>38</v>
      </c>
      <c r="L630">
        <v>178</v>
      </c>
      <c r="M630" t="str">
        <f t="shared" si="18"/>
        <v>High</v>
      </c>
      <c r="N630" t="str">
        <f t="shared" si="19"/>
        <v>Average</v>
      </c>
    </row>
    <row r="631" spans="1:14">
      <c r="A631" t="s">
        <v>68</v>
      </c>
      <c r="B631">
        <v>2019</v>
      </c>
      <c r="C631" t="s">
        <v>1550</v>
      </c>
      <c r="D631" t="s">
        <v>14</v>
      </c>
      <c r="E631" t="s">
        <v>1551</v>
      </c>
      <c r="F631" t="s">
        <v>35</v>
      </c>
      <c r="G631">
        <v>45.07</v>
      </c>
      <c r="H631">
        <v>65</v>
      </c>
      <c r="I631" t="s">
        <v>23</v>
      </c>
      <c r="J631" t="s">
        <v>18</v>
      </c>
      <c r="K631" t="s">
        <v>705</v>
      </c>
      <c r="L631">
        <v>26</v>
      </c>
      <c r="M631" t="str">
        <f t="shared" si="18"/>
        <v>High</v>
      </c>
      <c r="N631" t="str">
        <f t="shared" si="19"/>
        <v>Average</v>
      </c>
    </row>
    <row r="632" spans="1:14">
      <c r="A632" t="s">
        <v>38</v>
      </c>
      <c r="B632">
        <v>2019</v>
      </c>
      <c r="C632" t="s">
        <v>1552</v>
      </c>
      <c r="D632" t="s">
        <v>14</v>
      </c>
      <c r="E632" t="s">
        <v>1553</v>
      </c>
      <c r="F632" t="s">
        <v>35</v>
      </c>
      <c r="G632">
        <v>35.64</v>
      </c>
      <c r="H632">
        <v>52</v>
      </c>
      <c r="I632" t="s">
        <v>29</v>
      </c>
      <c r="J632" t="s">
        <v>18</v>
      </c>
      <c r="K632" t="s">
        <v>68</v>
      </c>
      <c r="L632">
        <v>318</v>
      </c>
      <c r="M632" t="str">
        <f t="shared" si="18"/>
        <v>High</v>
      </c>
      <c r="N632" t="str">
        <f t="shared" si="19"/>
        <v>Average</v>
      </c>
    </row>
    <row r="633" spans="1:14">
      <c r="A633" t="s">
        <v>20</v>
      </c>
      <c r="B633">
        <v>2001</v>
      </c>
      <c r="C633" t="s">
        <v>1554</v>
      </c>
      <c r="D633" t="s">
        <v>14</v>
      </c>
      <c r="E633" t="s">
        <v>1555</v>
      </c>
      <c r="F633" t="s">
        <v>46</v>
      </c>
      <c r="G633">
        <v>29.09</v>
      </c>
      <c r="H633">
        <v>51</v>
      </c>
      <c r="I633" t="s">
        <v>36</v>
      </c>
      <c r="J633" t="s">
        <v>24</v>
      </c>
      <c r="K633" t="s">
        <v>742</v>
      </c>
      <c r="L633">
        <v>325</v>
      </c>
      <c r="M633" t="str">
        <f t="shared" si="18"/>
        <v>Medium</v>
      </c>
      <c r="N633" t="str">
        <f t="shared" si="19"/>
        <v>Average</v>
      </c>
    </row>
    <row r="634" spans="1:14">
      <c r="A634" t="s">
        <v>26</v>
      </c>
      <c r="B634">
        <v>2015</v>
      </c>
      <c r="C634" t="s">
        <v>1556</v>
      </c>
      <c r="D634" t="s">
        <v>33</v>
      </c>
      <c r="E634" t="s">
        <v>1557</v>
      </c>
      <c r="F634" t="s">
        <v>42</v>
      </c>
      <c r="G634">
        <v>27.57</v>
      </c>
      <c r="H634">
        <v>52</v>
      </c>
      <c r="I634" t="s">
        <v>36</v>
      </c>
      <c r="J634" t="s">
        <v>24</v>
      </c>
      <c r="K634" t="s">
        <v>1558</v>
      </c>
      <c r="L634">
        <v>256</v>
      </c>
      <c r="M634" t="str">
        <f t="shared" si="18"/>
        <v>Medium</v>
      </c>
      <c r="N634" t="str">
        <f t="shared" si="19"/>
        <v>Average</v>
      </c>
    </row>
    <row r="635" spans="1:14">
      <c r="A635" t="s">
        <v>20</v>
      </c>
      <c r="B635">
        <v>2016</v>
      </c>
      <c r="C635" t="s">
        <v>1559</v>
      </c>
      <c r="D635" t="s">
        <v>33</v>
      </c>
      <c r="E635" t="s">
        <v>1560</v>
      </c>
      <c r="F635" t="s">
        <v>46</v>
      </c>
      <c r="G635">
        <v>40.93</v>
      </c>
      <c r="H635">
        <v>87</v>
      </c>
      <c r="I635" t="s">
        <v>23</v>
      </c>
      <c r="J635" t="s">
        <v>24</v>
      </c>
      <c r="K635" t="s">
        <v>1561</v>
      </c>
      <c r="L635">
        <v>234</v>
      </c>
      <c r="M635" t="str">
        <f t="shared" si="18"/>
        <v>High</v>
      </c>
      <c r="N635" t="str">
        <f t="shared" si="19"/>
        <v>Good</v>
      </c>
    </row>
    <row r="636" spans="1:14">
      <c r="A636" t="s">
        <v>68</v>
      </c>
      <c r="B636">
        <v>2019</v>
      </c>
      <c r="C636" t="s">
        <v>1562</v>
      </c>
      <c r="D636" t="s">
        <v>33</v>
      </c>
      <c r="E636" t="s">
        <v>1563</v>
      </c>
      <c r="F636" t="s">
        <v>46</v>
      </c>
      <c r="G636">
        <v>14.45</v>
      </c>
      <c r="H636">
        <v>67</v>
      </c>
      <c r="I636" t="s">
        <v>23</v>
      </c>
      <c r="J636" t="s">
        <v>18</v>
      </c>
      <c r="K636" t="s">
        <v>1564</v>
      </c>
      <c r="L636">
        <v>271</v>
      </c>
      <c r="M636" t="str">
        <f t="shared" si="18"/>
        <v>Low</v>
      </c>
      <c r="N636" t="str">
        <f t="shared" si="19"/>
        <v>Average</v>
      </c>
    </row>
    <row r="637" spans="1:14">
      <c r="A637" t="s">
        <v>31</v>
      </c>
      <c r="B637">
        <v>2017</v>
      </c>
      <c r="C637" t="s">
        <v>1565</v>
      </c>
      <c r="D637" t="s">
        <v>33</v>
      </c>
      <c r="E637" t="s">
        <v>584</v>
      </c>
      <c r="F637" t="s">
        <v>35</v>
      </c>
      <c r="G637">
        <v>11.46</v>
      </c>
      <c r="H637">
        <v>82</v>
      </c>
      <c r="I637" t="s">
        <v>29</v>
      </c>
      <c r="J637" t="s">
        <v>18</v>
      </c>
      <c r="K637" t="s">
        <v>68</v>
      </c>
      <c r="L637">
        <v>355</v>
      </c>
      <c r="M637" t="str">
        <f t="shared" si="18"/>
        <v>Low</v>
      </c>
      <c r="N637" t="str">
        <f t="shared" si="19"/>
        <v>Good</v>
      </c>
    </row>
    <row r="638" spans="1:14">
      <c r="A638" t="s">
        <v>20</v>
      </c>
      <c r="B638">
        <v>2011</v>
      </c>
      <c r="C638" t="s">
        <v>1566</v>
      </c>
      <c r="D638" t="s">
        <v>14</v>
      </c>
      <c r="E638" t="s">
        <v>1567</v>
      </c>
      <c r="F638" t="s">
        <v>46</v>
      </c>
      <c r="G638">
        <v>24.68</v>
      </c>
      <c r="H638">
        <v>50</v>
      </c>
      <c r="I638" t="s">
        <v>17</v>
      </c>
      <c r="J638" t="s">
        <v>37</v>
      </c>
      <c r="K638" t="s">
        <v>212</v>
      </c>
      <c r="L638">
        <v>16</v>
      </c>
      <c r="M638" t="str">
        <f t="shared" si="18"/>
        <v>Medium</v>
      </c>
      <c r="N638" t="str">
        <f t="shared" si="19"/>
        <v>Average</v>
      </c>
    </row>
    <row r="639" spans="1:14">
      <c r="A639" t="s">
        <v>26</v>
      </c>
      <c r="B639">
        <v>2024</v>
      </c>
      <c r="C639" t="s">
        <v>1568</v>
      </c>
      <c r="D639" t="s">
        <v>33</v>
      </c>
      <c r="E639" t="s">
        <v>1569</v>
      </c>
      <c r="F639" t="s">
        <v>16</v>
      </c>
      <c r="G639">
        <v>35.81</v>
      </c>
      <c r="H639">
        <v>95</v>
      </c>
      <c r="I639" t="s">
        <v>36</v>
      </c>
      <c r="J639" t="s">
        <v>37</v>
      </c>
      <c r="K639" t="s">
        <v>123</v>
      </c>
      <c r="L639">
        <v>9</v>
      </c>
      <c r="M639" t="str">
        <f t="shared" si="18"/>
        <v>High</v>
      </c>
      <c r="N639" t="str">
        <f t="shared" si="19"/>
        <v>Excellent</v>
      </c>
    </row>
    <row r="640" spans="1:14">
      <c r="A640" t="s">
        <v>12</v>
      </c>
      <c r="B640">
        <v>2006</v>
      </c>
      <c r="C640" t="s">
        <v>1570</v>
      </c>
      <c r="D640" t="s">
        <v>14</v>
      </c>
      <c r="E640" t="s">
        <v>1571</v>
      </c>
      <c r="F640" t="s">
        <v>42</v>
      </c>
      <c r="G640">
        <v>10.59</v>
      </c>
      <c r="H640">
        <v>97</v>
      </c>
      <c r="I640" t="s">
        <v>29</v>
      </c>
      <c r="J640" t="s">
        <v>24</v>
      </c>
      <c r="K640" t="s">
        <v>1572</v>
      </c>
      <c r="L640">
        <v>77</v>
      </c>
      <c r="M640" t="str">
        <f t="shared" si="18"/>
        <v>Low</v>
      </c>
      <c r="N640" t="str">
        <f t="shared" si="19"/>
        <v>Excellent</v>
      </c>
    </row>
    <row r="641" spans="1:14">
      <c r="A641" t="s">
        <v>65</v>
      </c>
      <c r="B641">
        <v>2018</v>
      </c>
      <c r="C641" t="s">
        <v>1573</v>
      </c>
      <c r="D641" t="s">
        <v>33</v>
      </c>
      <c r="E641" t="s">
        <v>1574</v>
      </c>
      <c r="F641" t="s">
        <v>57</v>
      </c>
      <c r="G641">
        <v>48.87</v>
      </c>
      <c r="H641">
        <v>90</v>
      </c>
      <c r="I641" t="s">
        <v>29</v>
      </c>
      <c r="J641" t="s">
        <v>37</v>
      </c>
      <c r="K641" t="s">
        <v>1575</v>
      </c>
      <c r="L641">
        <v>6</v>
      </c>
      <c r="M641" t="str">
        <f t="shared" si="18"/>
        <v>High</v>
      </c>
      <c r="N641" t="str">
        <f t="shared" si="19"/>
        <v>Excellent</v>
      </c>
    </row>
    <row r="642" spans="1:14">
      <c r="A642" t="s">
        <v>38</v>
      </c>
      <c r="B642">
        <v>2023</v>
      </c>
      <c r="C642" t="s">
        <v>1576</v>
      </c>
      <c r="D642" t="s">
        <v>14</v>
      </c>
      <c r="E642" t="s">
        <v>1577</v>
      </c>
      <c r="F642" t="s">
        <v>16</v>
      </c>
      <c r="G642">
        <v>15.26</v>
      </c>
      <c r="H642">
        <v>96</v>
      </c>
      <c r="I642" t="s">
        <v>17</v>
      </c>
      <c r="J642" t="s">
        <v>24</v>
      </c>
      <c r="K642" t="s">
        <v>1578</v>
      </c>
      <c r="L642">
        <v>98</v>
      </c>
      <c r="M642" t="str">
        <f t="shared" si="18"/>
        <v>Medium</v>
      </c>
      <c r="N642" t="str">
        <f t="shared" si="19"/>
        <v>Excellent</v>
      </c>
    </row>
    <row r="643" spans="1:14">
      <c r="A643" t="s">
        <v>26</v>
      </c>
      <c r="B643">
        <v>2013</v>
      </c>
      <c r="C643" t="s">
        <v>1579</v>
      </c>
      <c r="D643" t="s">
        <v>33</v>
      </c>
      <c r="E643" t="s">
        <v>1580</v>
      </c>
      <c r="F643" t="s">
        <v>57</v>
      </c>
      <c r="G643">
        <v>3.43</v>
      </c>
      <c r="H643">
        <v>70</v>
      </c>
      <c r="I643" t="s">
        <v>36</v>
      </c>
      <c r="J643" t="s">
        <v>37</v>
      </c>
      <c r="K643" t="s">
        <v>1032</v>
      </c>
      <c r="L643">
        <v>183</v>
      </c>
      <c r="M643" t="str">
        <f t="shared" ref="M643:M706" si="20">IF(G643&lt;15,"Low",IF(G643&lt;35,"Medium","High"))</f>
        <v>Low</v>
      </c>
      <c r="N643" t="str">
        <f t="shared" ref="N643:N706" si="21">IF(H643&gt;=90,"Excellent",IF(H643&gt;=75,"Good","Average"))</f>
        <v>Average</v>
      </c>
    </row>
    <row r="644" spans="1:14">
      <c r="A644" t="s">
        <v>68</v>
      </c>
      <c r="B644">
        <v>2019</v>
      </c>
      <c r="C644" t="s">
        <v>1581</v>
      </c>
      <c r="D644" t="s">
        <v>33</v>
      </c>
      <c r="E644" t="s">
        <v>1582</v>
      </c>
      <c r="F644" t="s">
        <v>16</v>
      </c>
      <c r="G644">
        <v>5.1100000000000003</v>
      </c>
      <c r="H644">
        <v>84</v>
      </c>
      <c r="I644" t="s">
        <v>29</v>
      </c>
      <c r="J644" t="s">
        <v>37</v>
      </c>
      <c r="K644" t="s">
        <v>254</v>
      </c>
      <c r="L644">
        <v>199</v>
      </c>
      <c r="M644" t="str">
        <f t="shared" si="20"/>
        <v>Low</v>
      </c>
      <c r="N644" t="str">
        <f t="shared" si="21"/>
        <v>Good</v>
      </c>
    </row>
    <row r="645" spans="1:14">
      <c r="A645" t="s">
        <v>68</v>
      </c>
      <c r="B645">
        <v>2018</v>
      </c>
      <c r="C645" t="s">
        <v>1583</v>
      </c>
      <c r="D645" t="s">
        <v>33</v>
      </c>
      <c r="E645" t="s">
        <v>1584</v>
      </c>
      <c r="F645" t="s">
        <v>46</v>
      </c>
      <c r="G645">
        <v>17.93</v>
      </c>
      <c r="H645">
        <v>91</v>
      </c>
      <c r="I645" t="s">
        <v>36</v>
      </c>
      <c r="J645" t="s">
        <v>37</v>
      </c>
      <c r="K645" t="s">
        <v>1585</v>
      </c>
      <c r="L645">
        <v>324</v>
      </c>
      <c r="M645" t="str">
        <f t="shared" si="20"/>
        <v>Medium</v>
      </c>
      <c r="N645" t="str">
        <f t="shared" si="21"/>
        <v>Excellent</v>
      </c>
    </row>
    <row r="646" spans="1:14">
      <c r="A646" t="s">
        <v>47</v>
      </c>
      <c r="B646">
        <v>2007</v>
      </c>
      <c r="C646" t="s">
        <v>1586</v>
      </c>
      <c r="D646" t="s">
        <v>14</v>
      </c>
      <c r="E646" t="s">
        <v>1587</v>
      </c>
      <c r="F646" t="s">
        <v>35</v>
      </c>
      <c r="G646">
        <v>45.79</v>
      </c>
      <c r="H646">
        <v>53</v>
      </c>
      <c r="I646" t="s">
        <v>61</v>
      </c>
      <c r="J646" t="s">
        <v>37</v>
      </c>
      <c r="K646" t="s">
        <v>47</v>
      </c>
      <c r="L646">
        <v>99</v>
      </c>
      <c r="M646" t="str">
        <f t="shared" si="20"/>
        <v>High</v>
      </c>
      <c r="N646" t="str">
        <f t="shared" si="21"/>
        <v>Average</v>
      </c>
    </row>
    <row r="647" spans="1:14">
      <c r="A647" t="s">
        <v>38</v>
      </c>
      <c r="B647">
        <v>2014</v>
      </c>
      <c r="C647" t="s">
        <v>1588</v>
      </c>
      <c r="D647" t="s">
        <v>14</v>
      </c>
      <c r="E647" t="s">
        <v>1589</v>
      </c>
      <c r="F647" t="s">
        <v>42</v>
      </c>
      <c r="G647">
        <v>49.69</v>
      </c>
      <c r="H647">
        <v>63</v>
      </c>
      <c r="I647" t="s">
        <v>36</v>
      </c>
      <c r="J647" t="s">
        <v>24</v>
      </c>
      <c r="K647" t="s">
        <v>1590</v>
      </c>
      <c r="L647">
        <v>242</v>
      </c>
      <c r="M647" t="str">
        <f t="shared" si="20"/>
        <v>High</v>
      </c>
      <c r="N647" t="str">
        <f t="shared" si="21"/>
        <v>Average</v>
      </c>
    </row>
    <row r="648" spans="1:14">
      <c r="A648" t="s">
        <v>39</v>
      </c>
      <c r="B648">
        <v>2019</v>
      </c>
      <c r="C648" t="s">
        <v>1591</v>
      </c>
      <c r="D648" t="s">
        <v>33</v>
      </c>
      <c r="E648" t="s">
        <v>1592</v>
      </c>
      <c r="F648" t="s">
        <v>42</v>
      </c>
      <c r="G648">
        <v>49.84</v>
      </c>
      <c r="H648">
        <v>76</v>
      </c>
      <c r="I648" t="s">
        <v>23</v>
      </c>
      <c r="J648" t="s">
        <v>37</v>
      </c>
      <c r="K648" t="s">
        <v>65</v>
      </c>
      <c r="L648">
        <v>166</v>
      </c>
      <c r="M648" t="str">
        <f t="shared" si="20"/>
        <v>High</v>
      </c>
      <c r="N648" t="str">
        <f t="shared" si="21"/>
        <v>Good</v>
      </c>
    </row>
    <row r="649" spans="1:14">
      <c r="A649" t="s">
        <v>39</v>
      </c>
      <c r="B649">
        <v>2013</v>
      </c>
      <c r="C649" t="s">
        <v>1593</v>
      </c>
      <c r="D649" t="s">
        <v>33</v>
      </c>
      <c r="E649" t="s">
        <v>1594</v>
      </c>
      <c r="F649" t="s">
        <v>35</v>
      </c>
      <c r="G649">
        <v>48.6</v>
      </c>
      <c r="H649">
        <v>67</v>
      </c>
      <c r="I649" t="s">
        <v>23</v>
      </c>
      <c r="J649" t="s">
        <v>18</v>
      </c>
      <c r="K649" t="s">
        <v>298</v>
      </c>
      <c r="L649">
        <v>51</v>
      </c>
      <c r="M649" t="str">
        <f t="shared" si="20"/>
        <v>High</v>
      </c>
      <c r="N649" t="str">
        <f t="shared" si="21"/>
        <v>Average</v>
      </c>
    </row>
    <row r="650" spans="1:14">
      <c r="A650" t="s">
        <v>48</v>
      </c>
      <c r="B650">
        <v>2002</v>
      </c>
      <c r="C650" t="s">
        <v>1595</v>
      </c>
      <c r="D650" t="s">
        <v>33</v>
      </c>
      <c r="E650" t="s">
        <v>1596</v>
      </c>
      <c r="F650" t="s">
        <v>46</v>
      </c>
      <c r="G650">
        <v>27.26</v>
      </c>
      <c r="H650">
        <v>87</v>
      </c>
      <c r="I650" t="s">
        <v>61</v>
      </c>
      <c r="J650" t="s">
        <v>24</v>
      </c>
      <c r="K650" t="s">
        <v>1597</v>
      </c>
      <c r="L650">
        <v>351</v>
      </c>
      <c r="M650" t="str">
        <f t="shared" si="20"/>
        <v>Medium</v>
      </c>
      <c r="N650" t="str">
        <f t="shared" si="21"/>
        <v>Good</v>
      </c>
    </row>
    <row r="651" spans="1:14">
      <c r="A651" t="s">
        <v>26</v>
      </c>
      <c r="B651">
        <v>2014</v>
      </c>
      <c r="C651" t="s">
        <v>1598</v>
      </c>
      <c r="D651" t="s">
        <v>14</v>
      </c>
      <c r="E651" t="s">
        <v>1599</v>
      </c>
      <c r="F651" t="s">
        <v>42</v>
      </c>
      <c r="G651">
        <v>4.22</v>
      </c>
      <c r="H651">
        <v>94</v>
      </c>
      <c r="I651" t="s">
        <v>17</v>
      </c>
      <c r="J651" t="s">
        <v>24</v>
      </c>
      <c r="K651" t="s">
        <v>39</v>
      </c>
      <c r="L651">
        <v>170</v>
      </c>
      <c r="M651" t="str">
        <f t="shared" si="20"/>
        <v>Low</v>
      </c>
      <c r="N651" t="str">
        <f t="shared" si="21"/>
        <v>Excellent</v>
      </c>
    </row>
    <row r="652" spans="1:14">
      <c r="A652" t="s">
        <v>38</v>
      </c>
      <c r="B652">
        <v>2005</v>
      </c>
      <c r="C652" t="s">
        <v>1600</v>
      </c>
      <c r="D652" t="s">
        <v>14</v>
      </c>
      <c r="E652" t="s">
        <v>1601</v>
      </c>
      <c r="F652" t="s">
        <v>42</v>
      </c>
      <c r="G652">
        <v>10</v>
      </c>
      <c r="H652">
        <v>81</v>
      </c>
      <c r="I652" t="s">
        <v>29</v>
      </c>
      <c r="J652" t="s">
        <v>24</v>
      </c>
      <c r="K652" t="s">
        <v>427</v>
      </c>
      <c r="L652">
        <v>141</v>
      </c>
      <c r="M652" t="str">
        <f t="shared" si="20"/>
        <v>Low</v>
      </c>
      <c r="N652" t="str">
        <f t="shared" si="21"/>
        <v>Good</v>
      </c>
    </row>
    <row r="653" spans="1:14">
      <c r="A653" t="s">
        <v>68</v>
      </c>
      <c r="B653">
        <v>2010</v>
      </c>
      <c r="C653" t="s">
        <v>1602</v>
      </c>
      <c r="D653" t="s">
        <v>33</v>
      </c>
      <c r="E653" t="s">
        <v>1603</v>
      </c>
      <c r="F653" t="s">
        <v>35</v>
      </c>
      <c r="G653">
        <v>9.4499999999999993</v>
      </c>
      <c r="H653">
        <v>65</v>
      </c>
      <c r="I653" t="s">
        <v>17</v>
      </c>
      <c r="J653" t="s">
        <v>18</v>
      </c>
      <c r="K653" t="s">
        <v>1604</v>
      </c>
      <c r="L653">
        <v>322</v>
      </c>
      <c r="M653" t="str">
        <f t="shared" si="20"/>
        <v>Low</v>
      </c>
      <c r="N653" t="str">
        <f t="shared" si="21"/>
        <v>Average</v>
      </c>
    </row>
    <row r="654" spans="1:14">
      <c r="A654" t="s">
        <v>31</v>
      </c>
      <c r="B654">
        <v>2022</v>
      </c>
      <c r="C654" t="s">
        <v>1605</v>
      </c>
      <c r="D654" t="s">
        <v>14</v>
      </c>
      <c r="E654" t="s">
        <v>1606</v>
      </c>
      <c r="F654" t="s">
        <v>42</v>
      </c>
      <c r="G654">
        <v>21.33</v>
      </c>
      <c r="H654">
        <v>74</v>
      </c>
      <c r="I654" t="s">
        <v>36</v>
      </c>
      <c r="J654" t="s">
        <v>37</v>
      </c>
      <c r="K654" t="s">
        <v>356</v>
      </c>
      <c r="L654">
        <v>33</v>
      </c>
      <c r="M654" t="str">
        <f t="shared" si="20"/>
        <v>Medium</v>
      </c>
      <c r="N654" t="str">
        <f t="shared" si="21"/>
        <v>Average</v>
      </c>
    </row>
    <row r="655" spans="1:14">
      <c r="A655" t="s">
        <v>65</v>
      </c>
      <c r="B655">
        <v>2020</v>
      </c>
      <c r="C655" t="s">
        <v>1607</v>
      </c>
      <c r="D655" t="s">
        <v>14</v>
      </c>
      <c r="E655" t="s">
        <v>1608</v>
      </c>
      <c r="F655" t="s">
        <v>35</v>
      </c>
      <c r="G655">
        <v>11.89</v>
      </c>
      <c r="H655">
        <v>88</v>
      </c>
      <c r="I655" t="s">
        <v>36</v>
      </c>
      <c r="J655" t="s">
        <v>24</v>
      </c>
      <c r="K655" t="s">
        <v>1609</v>
      </c>
      <c r="L655">
        <v>127</v>
      </c>
      <c r="M655" t="str">
        <f t="shared" si="20"/>
        <v>Low</v>
      </c>
      <c r="N655" t="str">
        <f t="shared" si="21"/>
        <v>Good</v>
      </c>
    </row>
    <row r="656" spans="1:14">
      <c r="A656" t="s">
        <v>47</v>
      </c>
      <c r="B656">
        <v>2004</v>
      </c>
      <c r="C656" t="s">
        <v>1610</v>
      </c>
      <c r="D656" t="s">
        <v>33</v>
      </c>
      <c r="E656" t="s">
        <v>1611</v>
      </c>
      <c r="F656" t="s">
        <v>16</v>
      </c>
      <c r="G656">
        <v>2.65</v>
      </c>
      <c r="H656">
        <v>69</v>
      </c>
      <c r="I656" t="s">
        <v>61</v>
      </c>
      <c r="J656" t="s">
        <v>24</v>
      </c>
      <c r="K656" t="s">
        <v>1612</v>
      </c>
      <c r="L656">
        <v>179</v>
      </c>
      <c r="M656" t="str">
        <f t="shared" si="20"/>
        <v>Low</v>
      </c>
      <c r="N656" t="str">
        <f t="shared" si="21"/>
        <v>Average</v>
      </c>
    </row>
    <row r="657" spans="1:14">
      <c r="A657" t="s">
        <v>38</v>
      </c>
      <c r="B657">
        <v>2009</v>
      </c>
      <c r="C657" t="s">
        <v>1613</v>
      </c>
      <c r="D657" t="s">
        <v>14</v>
      </c>
      <c r="E657" t="s">
        <v>1614</v>
      </c>
      <c r="F657" t="s">
        <v>42</v>
      </c>
      <c r="G657">
        <v>47.83</v>
      </c>
      <c r="H657">
        <v>62</v>
      </c>
      <c r="I657" t="s">
        <v>36</v>
      </c>
      <c r="J657" t="s">
        <v>24</v>
      </c>
      <c r="K657" t="s">
        <v>65</v>
      </c>
      <c r="L657">
        <v>154</v>
      </c>
      <c r="M657" t="str">
        <f t="shared" si="20"/>
        <v>High</v>
      </c>
      <c r="N657" t="str">
        <f t="shared" si="21"/>
        <v>Average</v>
      </c>
    </row>
    <row r="658" spans="1:14">
      <c r="A658" t="s">
        <v>31</v>
      </c>
      <c r="B658">
        <v>2003</v>
      </c>
      <c r="C658" t="s">
        <v>1615</v>
      </c>
      <c r="D658" t="s">
        <v>14</v>
      </c>
      <c r="E658" t="s">
        <v>1616</v>
      </c>
      <c r="F658" t="s">
        <v>46</v>
      </c>
      <c r="G658">
        <v>33.6</v>
      </c>
      <c r="H658">
        <v>96</v>
      </c>
      <c r="I658" t="s">
        <v>29</v>
      </c>
      <c r="J658" t="s">
        <v>18</v>
      </c>
      <c r="K658" t="s">
        <v>58</v>
      </c>
      <c r="L658">
        <v>200</v>
      </c>
      <c r="M658" t="str">
        <f t="shared" si="20"/>
        <v>Medium</v>
      </c>
      <c r="N658" t="str">
        <f t="shared" si="21"/>
        <v>Excellent</v>
      </c>
    </row>
    <row r="659" spans="1:14">
      <c r="A659" t="s">
        <v>48</v>
      </c>
      <c r="B659">
        <v>2007</v>
      </c>
      <c r="C659" t="s">
        <v>1617</v>
      </c>
      <c r="D659" t="s">
        <v>33</v>
      </c>
      <c r="E659" t="s">
        <v>1618</v>
      </c>
      <c r="F659" t="s">
        <v>35</v>
      </c>
      <c r="G659">
        <v>12.09</v>
      </c>
      <c r="H659">
        <v>74</v>
      </c>
      <c r="I659" t="s">
        <v>29</v>
      </c>
      <c r="J659" t="s">
        <v>37</v>
      </c>
      <c r="K659" t="s">
        <v>1484</v>
      </c>
      <c r="L659">
        <v>338</v>
      </c>
      <c r="M659" t="str">
        <f t="shared" si="20"/>
        <v>Low</v>
      </c>
      <c r="N659" t="str">
        <f t="shared" si="21"/>
        <v>Average</v>
      </c>
    </row>
    <row r="660" spans="1:14">
      <c r="A660" t="s">
        <v>38</v>
      </c>
      <c r="B660">
        <v>2008</v>
      </c>
      <c r="C660" t="s">
        <v>1619</v>
      </c>
      <c r="D660" t="s">
        <v>33</v>
      </c>
      <c r="E660" t="s">
        <v>1620</v>
      </c>
      <c r="F660" t="s">
        <v>16</v>
      </c>
      <c r="G660">
        <v>26.18</v>
      </c>
      <c r="H660">
        <v>59</v>
      </c>
      <c r="I660" t="s">
        <v>17</v>
      </c>
      <c r="J660" t="s">
        <v>24</v>
      </c>
      <c r="K660" t="s">
        <v>786</v>
      </c>
      <c r="L660">
        <v>241</v>
      </c>
      <c r="M660" t="str">
        <f t="shared" si="20"/>
        <v>Medium</v>
      </c>
      <c r="N660" t="str">
        <f t="shared" si="21"/>
        <v>Average</v>
      </c>
    </row>
    <row r="661" spans="1:14">
      <c r="A661" t="s">
        <v>31</v>
      </c>
      <c r="B661">
        <v>2005</v>
      </c>
      <c r="C661" t="s">
        <v>1621</v>
      </c>
      <c r="D661" t="s">
        <v>14</v>
      </c>
      <c r="E661" t="s">
        <v>1622</v>
      </c>
      <c r="F661" t="s">
        <v>42</v>
      </c>
      <c r="G661">
        <v>42.47</v>
      </c>
      <c r="H661">
        <v>100</v>
      </c>
      <c r="I661" t="s">
        <v>17</v>
      </c>
      <c r="J661" t="s">
        <v>37</v>
      </c>
      <c r="K661" t="s">
        <v>39</v>
      </c>
      <c r="L661">
        <v>293</v>
      </c>
      <c r="M661" t="str">
        <f t="shared" si="20"/>
        <v>High</v>
      </c>
      <c r="N661" t="str">
        <f t="shared" si="21"/>
        <v>Excellent</v>
      </c>
    </row>
    <row r="662" spans="1:14">
      <c r="A662" t="s">
        <v>26</v>
      </c>
      <c r="B662">
        <v>2023</v>
      </c>
      <c r="C662" t="s">
        <v>1623</v>
      </c>
      <c r="D662" t="s">
        <v>14</v>
      </c>
      <c r="E662" t="s">
        <v>1624</v>
      </c>
      <c r="F662" t="s">
        <v>42</v>
      </c>
      <c r="G662">
        <v>38.46</v>
      </c>
      <c r="H662">
        <v>92</v>
      </c>
      <c r="I662" t="s">
        <v>36</v>
      </c>
      <c r="J662" t="s">
        <v>18</v>
      </c>
      <c r="K662" t="s">
        <v>26</v>
      </c>
      <c r="L662">
        <v>13</v>
      </c>
      <c r="M662" t="str">
        <f t="shared" si="20"/>
        <v>High</v>
      </c>
      <c r="N662" t="str">
        <f t="shared" si="21"/>
        <v>Excellent</v>
      </c>
    </row>
    <row r="663" spans="1:14">
      <c r="A663" t="s">
        <v>68</v>
      </c>
      <c r="B663">
        <v>2018</v>
      </c>
      <c r="C663" t="s">
        <v>1625</v>
      </c>
      <c r="D663" t="s">
        <v>33</v>
      </c>
      <c r="E663" t="s">
        <v>1626</v>
      </c>
      <c r="F663" t="s">
        <v>35</v>
      </c>
      <c r="G663">
        <v>32.94</v>
      </c>
      <c r="H663">
        <v>74</v>
      </c>
      <c r="I663" t="s">
        <v>61</v>
      </c>
      <c r="J663" t="s">
        <v>18</v>
      </c>
      <c r="K663" t="s">
        <v>31</v>
      </c>
      <c r="L663">
        <v>317</v>
      </c>
      <c r="M663" t="str">
        <f t="shared" si="20"/>
        <v>Medium</v>
      </c>
      <c r="N663" t="str">
        <f t="shared" si="21"/>
        <v>Average</v>
      </c>
    </row>
    <row r="664" spans="1:14">
      <c r="A664" t="s">
        <v>38</v>
      </c>
      <c r="B664">
        <v>2012</v>
      </c>
      <c r="C664" t="s">
        <v>1627</v>
      </c>
      <c r="D664" t="s">
        <v>14</v>
      </c>
      <c r="E664" t="s">
        <v>1628</v>
      </c>
      <c r="F664" t="s">
        <v>16</v>
      </c>
      <c r="G664">
        <v>1.1100000000000001</v>
      </c>
      <c r="H664">
        <v>100</v>
      </c>
      <c r="I664" t="s">
        <v>36</v>
      </c>
      <c r="J664" t="s">
        <v>24</v>
      </c>
      <c r="K664" t="s">
        <v>39</v>
      </c>
      <c r="L664">
        <v>261</v>
      </c>
      <c r="M664" t="str">
        <f t="shared" si="20"/>
        <v>Low</v>
      </c>
      <c r="N664" t="str">
        <f t="shared" si="21"/>
        <v>Excellent</v>
      </c>
    </row>
    <row r="665" spans="1:14">
      <c r="A665" t="s">
        <v>68</v>
      </c>
      <c r="B665">
        <v>2022</v>
      </c>
      <c r="C665" t="s">
        <v>1629</v>
      </c>
      <c r="D665" t="s">
        <v>14</v>
      </c>
      <c r="E665" t="s">
        <v>1108</v>
      </c>
      <c r="F665" t="s">
        <v>46</v>
      </c>
      <c r="G665">
        <v>39.159999999999997</v>
      </c>
      <c r="H665">
        <v>89</v>
      </c>
      <c r="I665" t="s">
        <v>29</v>
      </c>
      <c r="J665" t="s">
        <v>18</v>
      </c>
      <c r="K665" t="s">
        <v>1630</v>
      </c>
      <c r="L665">
        <v>280</v>
      </c>
      <c r="M665" t="str">
        <f t="shared" si="20"/>
        <v>High</v>
      </c>
      <c r="N665" t="str">
        <f t="shared" si="21"/>
        <v>Good</v>
      </c>
    </row>
    <row r="666" spans="1:14">
      <c r="A666" t="s">
        <v>48</v>
      </c>
      <c r="B666">
        <v>2023</v>
      </c>
      <c r="C666" t="s">
        <v>1631</v>
      </c>
      <c r="D666" t="s">
        <v>33</v>
      </c>
      <c r="E666" t="s">
        <v>1632</v>
      </c>
      <c r="F666" t="s">
        <v>46</v>
      </c>
      <c r="G666">
        <v>49.16</v>
      </c>
      <c r="H666">
        <v>97</v>
      </c>
      <c r="I666" t="s">
        <v>61</v>
      </c>
      <c r="J666" t="s">
        <v>37</v>
      </c>
      <c r="K666" t="s">
        <v>1633</v>
      </c>
      <c r="L666">
        <v>10</v>
      </c>
      <c r="M666" t="str">
        <f t="shared" si="20"/>
        <v>High</v>
      </c>
      <c r="N666" t="str">
        <f t="shared" si="21"/>
        <v>Excellent</v>
      </c>
    </row>
    <row r="667" spans="1:14">
      <c r="A667" t="s">
        <v>48</v>
      </c>
      <c r="B667">
        <v>2017</v>
      </c>
      <c r="C667" t="s">
        <v>1634</v>
      </c>
      <c r="D667" t="s">
        <v>33</v>
      </c>
      <c r="E667" t="s">
        <v>1635</v>
      </c>
      <c r="F667" t="s">
        <v>42</v>
      </c>
      <c r="G667">
        <v>8.76</v>
      </c>
      <c r="H667">
        <v>55</v>
      </c>
      <c r="I667" t="s">
        <v>29</v>
      </c>
      <c r="J667" t="s">
        <v>37</v>
      </c>
      <c r="K667" t="s">
        <v>1636</v>
      </c>
      <c r="L667">
        <v>56</v>
      </c>
      <c r="M667" t="str">
        <f t="shared" si="20"/>
        <v>Low</v>
      </c>
      <c r="N667" t="str">
        <f t="shared" si="21"/>
        <v>Average</v>
      </c>
    </row>
    <row r="668" spans="1:14">
      <c r="A668" t="s">
        <v>38</v>
      </c>
      <c r="B668">
        <v>2025</v>
      </c>
      <c r="C668" t="s">
        <v>1637</v>
      </c>
      <c r="D668" t="s">
        <v>14</v>
      </c>
      <c r="E668" t="s">
        <v>1638</v>
      </c>
      <c r="F668" t="s">
        <v>57</v>
      </c>
      <c r="G668">
        <v>22.04</v>
      </c>
      <c r="H668">
        <v>99</v>
      </c>
      <c r="I668" t="s">
        <v>17</v>
      </c>
      <c r="J668" t="s">
        <v>37</v>
      </c>
      <c r="K668" t="s">
        <v>1639</v>
      </c>
      <c r="L668">
        <v>15</v>
      </c>
      <c r="M668" t="str">
        <f t="shared" si="20"/>
        <v>Medium</v>
      </c>
      <c r="N668" t="str">
        <f t="shared" si="21"/>
        <v>Excellent</v>
      </c>
    </row>
    <row r="669" spans="1:14">
      <c r="A669" t="s">
        <v>48</v>
      </c>
      <c r="B669">
        <v>2000</v>
      </c>
      <c r="C669" t="s">
        <v>1640</v>
      </c>
      <c r="D669" t="s">
        <v>33</v>
      </c>
      <c r="E669" t="s">
        <v>1641</v>
      </c>
      <c r="F669" t="s">
        <v>57</v>
      </c>
      <c r="G669">
        <v>15.75</v>
      </c>
      <c r="H669">
        <v>53</v>
      </c>
      <c r="I669" t="s">
        <v>23</v>
      </c>
      <c r="J669" t="s">
        <v>18</v>
      </c>
      <c r="K669" t="s">
        <v>1642</v>
      </c>
      <c r="L669">
        <v>276</v>
      </c>
      <c r="M669" t="str">
        <f t="shared" si="20"/>
        <v>Medium</v>
      </c>
      <c r="N669" t="str">
        <f t="shared" si="21"/>
        <v>Average</v>
      </c>
    </row>
    <row r="670" spans="1:14">
      <c r="A670" t="s">
        <v>31</v>
      </c>
      <c r="B670">
        <v>2016</v>
      </c>
      <c r="C670" t="s">
        <v>1643</v>
      </c>
      <c r="D670" t="s">
        <v>14</v>
      </c>
      <c r="E670" t="s">
        <v>1644</v>
      </c>
      <c r="F670" t="s">
        <v>42</v>
      </c>
      <c r="G670">
        <v>37.24</v>
      </c>
      <c r="H670">
        <v>100</v>
      </c>
      <c r="I670" t="s">
        <v>61</v>
      </c>
      <c r="J670" t="s">
        <v>37</v>
      </c>
      <c r="K670" t="s">
        <v>1443</v>
      </c>
      <c r="L670">
        <v>310</v>
      </c>
      <c r="M670" t="str">
        <f t="shared" si="20"/>
        <v>High</v>
      </c>
      <c r="N670" t="str">
        <f t="shared" si="21"/>
        <v>Excellent</v>
      </c>
    </row>
    <row r="671" spans="1:14">
      <c r="A671" t="s">
        <v>31</v>
      </c>
      <c r="B671">
        <v>2000</v>
      </c>
      <c r="C671" t="s">
        <v>1645</v>
      </c>
      <c r="D671" t="s">
        <v>33</v>
      </c>
      <c r="E671" t="s">
        <v>1646</v>
      </c>
      <c r="F671" t="s">
        <v>46</v>
      </c>
      <c r="G671">
        <v>45.41</v>
      </c>
      <c r="H671">
        <v>66</v>
      </c>
      <c r="I671" t="s">
        <v>29</v>
      </c>
      <c r="J671" t="s">
        <v>18</v>
      </c>
      <c r="K671" t="s">
        <v>39</v>
      </c>
      <c r="L671">
        <v>186</v>
      </c>
      <c r="M671" t="str">
        <f t="shared" si="20"/>
        <v>High</v>
      </c>
      <c r="N671" t="str">
        <f t="shared" si="21"/>
        <v>Average</v>
      </c>
    </row>
    <row r="672" spans="1:14">
      <c r="A672" t="s">
        <v>47</v>
      </c>
      <c r="B672">
        <v>2020</v>
      </c>
      <c r="C672" t="s">
        <v>1647</v>
      </c>
      <c r="D672" t="s">
        <v>14</v>
      </c>
      <c r="E672" t="s">
        <v>1082</v>
      </c>
      <c r="F672" t="s">
        <v>42</v>
      </c>
      <c r="G672">
        <v>42.96</v>
      </c>
      <c r="H672">
        <v>92</v>
      </c>
      <c r="I672" t="s">
        <v>17</v>
      </c>
      <c r="J672" t="s">
        <v>24</v>
      </c>
      <c r="K672" t="s">
        <v>317</v>
      </c>
      <c r="L672">
        <v>191</v>
      </c>
      <c r="M672" t="str">
        <f t="shared" si="20"/>
        <v>High</v>
      </c>
      <c r="N672" t="str">
        <f t="shared" si="21"/>
        <v>Excellent</v>
      </c>
    </row>
    <row r="673" spans="1:14">
      <c r="A673" t="s">
        <v>38</v>
      </c>
      <c r="B673">
        <v>2018</v>
      </c>
      <c r="C673" t="s">
        <v>1648</v>
      </c>
      <c r="D673" t="s">
        <v>33</v>
      </c>
      <c r="E673" t="s">
        <v>1649</v>
      </c>
      <c r="F673" t="s">
        <v>57</v>
      </c>
      <c r="G673">
        <v>47.97</v>
      </c>
      <c r="H673">
        <v>64</v>
      </c>
      <c r="I673" t="s">
        <v>23</v>
      </c>
      <c r="J673" t="s">
        <v>37</v>
      </c>
      <c r="K673" t="s">
        <v>1650</v>
      </c>
      <c r="L673">
        <v>104</v>
      </c>
      <c r="M673" t="str">
        <f t="shared" si="20"/>
        <v>High</v>
      </c>
      <c r="N673" t="str">
        <f t="shared" si="21"/>
        <v>Average</v>
      </c>
    </row>
    <row r="674" spans="1:14">
      <c r="A674" t="s">
        <v>26</v>
      </c>
      <c r="B674">
        <v>2003</v>
      </c>
      <c r="C674" t="s">
        <v>1651</v>
      </c>
      <c r="D674" t="s">
        <v>33</v>
      </c>
      <c r="E674" t="s">
        <v>1652</v>
      </c>
      <c r="F674" t="s">
        <v>16</v>
      </c>
      <c r="G674">
        <v>33.92</v>
      </c>
      <c r="H674">
        <v>66</v>
      </c>
      <c r="I674" t="s">
        <v>36</v>
      </c>
      <c r="J674" t="s">
        <v>37</v>
      </c>
      <c r="K674" t="s">
        <v>1653</v>
      </c>
      <c r="L674">
        <v>203</v>
      </c>
      <c r="M674" t="str">
        <f t="shared" si="20"/>
        <v>Medium</v>
      </c>
      <c r="N674" t="str">
        <f t="shared" si="21"/>
        <v>Average</v>
      </c>
    </row>
    <row r="675" spans="1:14">
      <c r="A675" t="s">
        <v>12</v>
      </c>
      <c r="B675">
        <v>2023</v>
      </c>
      <c r="C675" t="s">
        <v>1654</v>
      </c>
      <c r="D675" t="s">
        <v>14</v>
      </c>
      <c r="E675" t="s">
        <v>1655</v>
      </c>
      <c r="F675" t="s">
        <v>16</v>
      </c>
      <c r="G675">
        <v>24.96</v>
      </c>
      <c r="H675">
        <v>74</v>
      </c>
      <c r="I675" t="s">
        <v>17</v>
      </c>
      <c r="J675" t="s">
        <v>24</v>
      </c>
      <c r="K675" t="s">
        <v>39</v>
      </c>
      <c r="L675">
        <v>21</v>
      </c>
      <c r="M675" t="str">
        <f t="shared" si="20"/>
        <v>Medium</v>
      </c>
      <c r="N675" t="str">
        <f t="shared" si="21"/>
        <v>Average</v>
      </c>
    </row>
    <row r="676" spans="1:14">
      <c r="A676" t="s">
        <v>38</v>
      </c>
      <c r="B676">
        <v>2006</v>
      </c>
      <c r="C676" t="s">
        <v>1656</v>
      </c>
      <c r="D676" t="s">
        <v>14</v>
      </c>
      <c r="E676" t="s">
        <v>1657</v>
      </c>
      <c r="F676" t="s">
        <v>46</v>
      </c>
      <c r="G676">
        <v>45.59</v>
      </c>
      <c r="H676">
        <v>97</v>
      </c>
      <c r="I676" t="s">
        <v>36</v>
      </c>
      <c r="J676" t="s">
        <v>37</v>
      </c>
      <c r="K676" t="s">
        <v>1658</v>
      </c>
      <c r="L676">
        <v>180</v>
      </c>
      <c r="M676" t="str">
        <f t="shared" si="20"/>
        <v>High</v>
      </c>
      <c r="N676" t="str">
        <f t="shared" si="21"/>
        <v>Excellent</v>
      </c>
    </row>
    <row r="677" spans="1:14">
      <c r="A677" t="s">
        <v>68</v>
      </c>
      <c r="B677">
        <v>2004</v>
      </c>
      <c r="C677" t="s">
        <v>1659</v>
      </c>
      <c r="D677" t="s">
        <v>14</v>
      </c>
      <c r="E677" t="s">
        <v>1660</v>
      </c>
      <c r="F677" t="s">
        <v>46</v>
      </c>
      <c r="G677">
        <v>15.25</v>
      </c>
      <c r="H677">
        <v>77</v>
      </c>
      <c r="I677" t="s">
        <v>61</v>
      </c>
      <c r="J677" t="s">
        <v>37</v>
      </c>
      <c r="K677" t="s">
        <v>39</v>
      </c>
      <c r="L677">
        <v>91</v>
      </c>
      <c r="M677" t="str">
        <f t="shared" si="20"/>
        <v>Medium</v>
      </c>
      <c r="N677" t="str">
        <f t="shared" si="21"/>
        <v>Good</v>
      </c>
    </row>
    <row r="678" spans="1:14">
      <c r="A678" t="s">
        <v>39</v>
      </c>
      <c r="B678">
        <v>2010</v>
      </c>
      <c r="C678" t="s">
        <v>1661</v>
      </c>
      <c r="D678" t="s">
        <v>33</v>
      </c>
      <c r="E678" t="s">
        <v>1662</v>
      </c>
      <c r="F678" t="s">
        <v>46</v>
      </c>
      <c r="G678">
        <v>18.489999999999998</v>
      </c>
      <c r="H678">
        <v>67</v>
      </c>
      <c r="I678" t="s">
        <v>36</v>
      </c>
      <c r="J678" t="s">
        <v>37</v>
      </c>
      <c r="K678" t="s">
        <v>26</v>
      </c>
      <c r="L678">
        <v>346</v>
      </c>
      <c r="M678" t="str">
        <f t="shared" si="20"/>
        <v>Medium</v>
      </c>
      <c r="N678" t="str">
        <f t="shared" si="21"/>
        <v>Average</v>
      </c>
    </row>
    <row r="679" spans="1:14">
      <c r="A679" t="s">
        <v>26</v>
      </c>
      <c r="B679">
        <v>2006</v>
      </c>
      <c r="C679" t="s">
        <v>1663</v>
      </c>
      <c r="D679" t="s">
        <v>14</v>
      </c>
      <c r="E679" t="s">
        <v>1664</v>
      </c>
      <c r="F679" t="s">
        <v>42</v>
      </c>
      <c r="G679">
        <v>22.83</v>
      </c>
      <c r="H679">
        <v>65</v>
      </c>
      <c r="I679" t="s">
        <v>36</v>
      </c>
      <c r="J679" t="s">
        <v>18</v>
      </c>
      <c r="K679" t="s">
        <v>31</v>
      </c>
      <c r="L679">
        <v>290</v>
      </c>
      <c r="M679" t="str">
        <f t="shared" si="20"/>
        <v>Medium</v>
      </c>
      <c r="N679" t="str">
        <f t="shared" si="21"/>
        <v>Average</v>
      </c>
    </row>
    <row r="680" spans="1:14">
      <c r="A680" t="s">
        <v>47</v>
      </c>
      <c r="B680">
        <v>2017</v>
      </c>
      <c r="C680" t="s">
        <v>1665</v>
      </c>
      <c r="D680" t="s">
        <v>33</v>
      </c>
      <c r="E680" t="s">
        <v>1666</v>
      </c>
      <c r="F680" t="s">
        <v>57</v>
      </c>
      <c r="G680">
        <v>41.12</v>
      </c>
      <c r="H680">
        <v>64</v>
      </c>
      <c r="I680" t="s">
        <v>36</v>
      </c>
      <c r="J680" t="s">
        <v>18</v>
      </c>
      <c r="K680" t="s">
        <v>816</v>
      </c>
      <c r="L680">
        <v>246</v>
      </c>
      <c r="M680" t="str">
        <f t="shared" si="20"/>
        <v>High</v>
      </c>
      <c r="N680" t="str">
        <f t="shared" si="21"/>
        <v>Average</v>
      </c>
    </row>
    <row r="681" spans="1:14">
      <c r="A681" t="s">
        <v>38</v>
      </c>
      <c r="B681">
        <v>2020</v>
      </c>
      <c r="C681" t="s">
        <v>1667</v>
      </c>
      <c r="D681" t="s">
        <v>14</v>
      </c>
      <c r="E681" t="s">
        <v>1668</v>
      </c>
      <c r="F681" t="s">
        <v>57</v>
      </c>
      <c r="G681">
        <v>15.42</v>
      </c>
      <c r="H681">
        <v>67</v>
      </c>
      <c r="I681" t="s">
        <v>29</v>
      </c>
      <c r="J681" t="s">
        <v>24</v>
      </c>
      <c r="K681" t="s">
        <v>1131</v>
      </c>
      <c r="L681">
        <v>328</v>
      </c>
      <c r="M681" t="str">
        <f t="shared" si="20"/>
        <v>Medium</v>
      </c>
      <c r="N681" t="str">
        <f t="shared" si="21"/>
        <v>Average</v>
      </c>
    </row>
    <row r="682" spans="1:14">
      <c r="A682" t="s">
        <v>38</v>
      </c>
      <c r="B682">
        <v>2013</v>
      </c>
      <c r="C682" t="s">
        <v>1669</v>
      </c>
      <c r="D682" t="s">
        <v>14</v>
      </c>
      <c r="E682" t="s">
        <v>1670</v>
      </c>
      <c r="F682" t="s">
        <v>35</v>
      </c>
      <c r="G682">
        <v>9.2799999999999994</v>
      </c>
      <c r="H682">
        <v>55</v>
      </c>
      <c r="I682" t="s">
        <v>17</v>
      </c>
      <c r="J682" t="s">
        <v>24</v>
      </c>
      <c r="K682" t="s">
        <v>1671</v>
      </c>
      <c r="L682">
        <v>119</v>
      </c>
      <c r="M682" t="str">
        <f t="shared" si="20"/>
        <v>Low</v>
      </c>
      <c r="N682" t="str">
        <f t="shared" si="21"/>
        <v>Average</v>
      </c>
    </row>
    <row r="683" spans="1:14">
      <c r="A683" t="s">
        <v>68</v>
      </c>
      <c r="B683">
        <v>2022</v>
      </c>
      <c r="C683" t="s">
        <v>1672</v>
      </c>
      <c r="D683" t="s">
        <v>14</v>
      </c>
      <c r="E683" t="s">
        <v>1673</v>
      </c>
      <c r="F683" t="s">
        <v>42</v>
      </c>
      <c r="G683">
        <v>30.17</v>
      </c>
      <c r="H683">
        <v>60</v>
      </c>
      <c r="I683" t="s">
        <v>29</v>
      </c>
      <c r="J683" t="s">
        <v>24</v>
      </c>
      <c r="K683" t="s">
        <v>38</v>
      </c>
      <c r="L683">
        <v>251</v>
      </c>
      <c r="M683" t="str">
        <f t="shared" si="20"/>
        <v>Medium</v>
      </c>
      <c r="N683" t="str">
        <f t="shared" si="21"/>
        <v>Average</v>
      </c>
    </row>
    <row r="684" spans="1:14">
      <c r="A684" t="s">
        <v>20</v>
      </c>
      <c r="B684">
        <v>2011</v>
      </c>
      <c r="C684" t="s">
        <v>1674</v>
      </c>
      <c r="D684" t="s">
        <v>33</v>
      </c>
      <c r="E684" t="s">
        <v>1179</v>
      </c>
      <c r="F684" t="s">
        <v>57</v>
      </c>
      <c r="G684">
        <v>41.91</v>
      </c>
      <c r="H684">
        <v>77</v>
      </c>
      <c r="I684" t="s">
        <v>23</v>
      </c>
      <c r="J684" t="s">
        <v>24</v>
      </c>
      <c r="K684" t="s">
        <v>173</v>
      </c>
      <c r="L684">
        <v>338</v>
      </c>
      <c r="M684" t="str">
        <f t="shared" si="20"/>
        <v>High</v>
      </c>
      <c r="N684" t="str">
        <f t="shared" si="21"/>
        <v>Good</v>
      </c>
    </row>
    <row r="685" spans="1:14">
      <c r="A685" t="s">
        <v>47</v>
      </c>
      <c r="B685">
        <v>2016</v>
      </c>
      <c r="C685" t="s">
        <v>1675</v>
      </c>
      <c r="D685" t="s">
        <v>33</v>
      </c>
      <c r="E685" t="s">
        <v>1676</v>
      </c>
      <c r="F685" t="s">
        <v>42</v>
      </c>
      <c r="G685">
        <v>39.79</v>
      </c>
      <c r="H685">
        <v>68</v>
      </c>
      <c r="I685" t="s">
        <v>17</v>
      </c>
      <c r="J685" t="s">
        <v>24</v>
      </c>
      <c r="K685" t="s">
        <v>636</v>
      </c>
      <c r="L685">
        <v>326</v>
      </c>
      <c r="M685" t="str">
        <f t="shared" si="20"/>
        <v>High</v>
      </c>
      <c r="N685" t="str">
        <f t="shared" si="21"/>
        <v>Average</v>
      </c>
    </row>
    <row r="686" spans="1:14">
      <c r="A686" t="s">
        <v>47</v>
      </c>
      <c r="B686">
        <v>2007</v>
      </c>
      <c r="C686" t="s">
        <v>1677</v>
      </c>
      <c r="D686" t="s">
        <v>14</v>
      </c>
      <c r="E686" t="s">
        <v>1678</v>
      </c>
      <c r="F686" t="s">
        <v>35</v>
      </c>
      <c r="G686">
        <v>48.56</v>
      </c>
      <c r="H686">
        <v>71</v>
      </c>
      <c r="I686" t="s">
        <v>29</v>
      </c>
      <c r="J686" t="s">
        <v>37</v>
      </c>
      <c r="K686" t="s">
        <v>64</v>
      </c>
      <c r="L686">
        <v>358</v>
      </c>
      <c r="M686" t="str">
        <f t="shared" si="20"/>
        <v>High</v>
      </c>
      <c r="N686" t="str">
        <f t="shared" si="21"/>
        <v>Average</v>
      </c>
    </row>
    <row r="687" spans="1:14">
      <c r="A687" t="s">
        <v>65</v>
      </c>
      <c r="B687">
        <v>2009</v>
      </c>
      <c r="C687" t="s">
        <v>1679</v>
      </c>
      <c r="D687" t="s">
        <v>33</v>
      </c>
      <c r="E687" t="s">
        <v>1680</v>
      </c>
      <c r="F687" t="s">
        <v>16</v>
      </c>
      <c r="G687">
        <v>44.69</v>
      </c>
      <c r="H687">
        <v>72</v>
      </c>
      <c r="I687" t="s">
        <v>17</v>
      </c>
      <c r="J687" t="s">
        <v>18</v>
      </c>
      <c r="K687" t="s">
        <v>1681</v>
      </c>
      <c r="L687">
        <v>322</v>
      </c>
      <c r="M687" t="str">
        <f t="shared" si="20"/>
        <v>High</v>
      </c>
      <c r="N687" t="str">
        <f t="shared" si="21"/>
        <v>Average</v>
      </c>
    </row>
    <row r="688" spans="1:14">
      <c r="A688" t="s">
        <v>12</v>
      </c>
      <c r="B688">
        <v>2009</v>
      </c>
      <c r="C688" t="s">
        <v>1682</v>
      </c>
      <c r="D688" t="s">
        <v>14</v>
      </c>
      <c r="E688" t="s">
        <v>1683</v>
      </c>
      <c r="F688" t="s">
        <v>35</v>
      </c>
      <c r="G688">
        <v>22.14</v>
      </c>
      <c r="H688">
        <v>68</v>
      </c>
      <c r="I688" t="s">
        <v>17</v>
      </c>
      <c r="J688" t="s">
        <v>18</v>
      </c>
      <c r="K688" t="s">
        <v>26</v>
      </c>
      <c r="L688">
        <v>177</v>
      </c>
      <c r="M688" t="str">
        <f t="shared" si="20"/>
        <v>Medium</v>
      </c>
      <c r="N688" t="str">
        <f t="shared" si="21"/>
        <v>Average</v>
      </c>
    </row>
    <row r="689" spans="1:14">
      <c r="A689" t="s">
        <v>38</v>
      </c>
      <c r="B689">
        <v>2011</v>
      </c>
      <c r="C689" t="s">
        <v>1684</v>
      </c>
      <c r="D689" t="s">
        <v>14</v>
      </c>
      <c r="E689" t="s">
        <v>1685</v>
      </c>
      <c r="F689" t="s">
        <v>57</v>
      </c>
      <c r="G689">
        <v>22.91</v>
      </c>
      <c r="H689">
        <v>56</v>
      </c>
      <c r="I689" t="s">
        <v>36</v>
      </c>
      <c r="J689" t="s">
        <v>18</v>
      </c>
      <c r="K689" t="s">
        <v>31</v>
      </c>
      <c r="L689">
        <v>339</v>
      </c>
      <c r="M689" t="str">
        <f t="shared" si="20"/>
        <v>Medium</v>
      </c>
      <c r="N689" t="str">
        <f t="shared" si="21"/>
        <v>Average</v>
      </c>
    </row>
    <row r="690" spans="1:14">
      <c r="A690" t="s">
        <v>39</v>
      </c>
      <c r="B690">
        <v>2013</v>
      </c>
      <c r="C690" t="s">
        <v>1686</v>
      </c>
      <c r="D690" t="s">
        <v>14</v>
      </c>
      <c r="E690" t="s">
        <v>1687</v>
      </c>
      <c r="F690" t="s">
        <v>35</v>
      </c>
      <c r="G690">
        <v>13.92</v>
      </c>
      <c r="H690">
        <v>94</v>
      </c>
      <c r="I690" t="s">
        <v>17</v>
      </c>
      <c r="J690" t="s">
        <v>24</v>
      </c>
      <c r="K690" t="s">
        <v>926</v>
      </c>
      <c r="L690">
        <v>164</v>
      </c>
      <c r="M690" t="str">
        <f t="shared" si="20"/>
        <v>Low</v>
      </c>
      <c r="N690" t="str">
        <f t="shared" si="21"/>
        <v>Excellent</v>
      </c>
    </row>
    <row r="691" spans="1:14">
      <c r="A691" t="s">
        <v>31</v>
      </c>
      <c r="B691">
        <v>2012</v>
      </c>
      <c r="C691" t="s">
        <v>1688</v>
      </c>
      <c r="D691" t="s">
        <v>33</v>
      </c>
      <c r="E691" t="s">
        <v>1689</v>
      </c>
      <c r="F691" t="s">
        <v>57</v>
      </c>
      <c r="G691">
        <v>39.630000000000003</v>
      </c>
      <c r="H691">
        <v>72</v>
      </c>
      <c r="I691" t="s">
        <v>29</v>
      </c>
      <c r="J691" t="s">
        <v>24</v>
      </c>
      <c r="K691" t="s">
        <v>68</v>
      </c>
      <c r="L691">
        <v>261</v>
      </c>
      <c r="M691" t="str">
        <f t="shared" si="20"/>
        <v>High</v>
      </c>
      <c r="N691" t="str">
        <f t="shared" si="21"/>
        <v>Average</v>
      </c>
    </row>
    <row r="692" spans="1:14">
      <c r="A692" t="s">
        <v>39</v>
      </c>
      <c r="B692">
        <v>2014</v>
      </c>
      <c r="C692" t="s">
        <v>1690</v>
      </c>
      <c r="D692" t="s">
        <v>14</v>
      </c>
      <c r="E692" t="s">
        <v>1691</v>
      </c>
      <c r="F692" t="s">
        <v>16</v>
      </c>
      <c r="G692">
        <v>5.0599999999999996</v>
      </c>
      <c r="H692">
        <v>76</v>
      </c>
      <c r="I692" t="s">
        <v>23</v>
      </c>
      <c r="J692" t="s">
        <v>18</v>
      </c>
      <c r="K692" t="s">
        <v>47</v>
      </c>
      <c r="L692">
        <v>4</v>
      </c>
      <c r="M692" t="str">
        <f t="shared" si="20"/>
        <v>Low</v>
      </c>
      <c r="N692" t="str">
        <f t="shared" si="21"/>
        <v>Good</v>
      </c>
    </row>
    <row r="693" spans="1:14">
      <c r="A693" t="s">
        <v>68</v>
      </c>
      <c r="B693">
        <v>2020</v>
      </c>
      <c r="C693" t="s">
        <v>1692</v>
      </c>
      <c r="D693" t="s">
        <v>33</v>
      </c>
      <c r="E693" t="s">
        <v>1693</v>
      </c>
      <c r="F693" t="s">
        <v>16</v>
      </c>
      <c r="G693">
        <v>42.62</v>
      </c>
      <c r="H693">
        <v>51</v>
      </c>
      <c r="I693" t="s">
        <v>29</v>
      </c>
      <c r="J693" t="s">
        <v>18</v>
      </c>
      <c r="K693" t="s">
        <v>1604</v>
      </c>
      <c r="L693">
        <v>69</v>
      </c>
      <c r="M693" t="str">
        <f t="shared" si="20"/>
        <v>High</v>
      </c>
      <c r="N693" t="str">
        <f t="shared" si="21"/>
        <v>Average</v>
      </c>
    </row>
    <row r="694" spans="1:14">
      <c r="A694" t="s">
        <v>20</v>
      </c>
      <c r="B694">
        <v>2023</v>
      </c>
      <c r="C694" t="s">
        <v>1694</v>
      </c>
      <c r="D694" t="s">
        <v>33</v>
      </c>
      <c r="E694" t="s">
        <v>1695</v>
      </c>
      <c r="F694" t="s">
        <v>46</v>
      </c>
      <c r="G694">
        <v>34.31</v>
      </c>
      <c r="H694">
        <v>55</v>
      </c>
      <c r="I694" t="s">
        <v>61</v>
      </c>
      <c r="J694" t="s">
        <v>18</v>
      </c>
      <c r="K694" t="s">
        <v>38</v>
      </c>
      <c r="L694">
        <v>306</v>
      </c>
      <c r="M694" t="str">
        <f t="shared" si="20"/>
        <v>Medium</v>
      </c>
      <c r="N694" t="str">
        <f t="shared" si="21"/>
        <v>Average</v>
      </c>
    </row>
    <row r="695" spans="1:14">
      <c r="A695" t="s">
        <v>20</v>
      </c>
      <c r="B695">
        <v>2024</v>
      </c>
      <c r="C695" t="s">
        <v>1696</v>
      </c>
      <c r="D695" t="s">
        <v>14</v>
      </c>
      <c r="E695" t="s">
        <v>1697</v>
      </c>
      <c r="F695" t="s">
        <v>46</v>
      </c>
      <c r="G695">
        <v>40.1</v>
      </c>
      <c r="H695">
        <v>70</v>
      </c>
      <c r="I695" t="s">
        <v>17</v>
      </c>
      <c r="J695" t="s">
        <v>37</v>
      </c>
      <c r="K695" t="s">
        <v>1698</v>
      </c>
      <c r="L695">
        <v>360</v>
      </c>
      <c r="M695" t="str">
        <f t="shared" si="20"/>
        <v>High</v>
      </c>
      <c r="N695" t="str">
        <f t="shared" si="21"/>
        <v>Average</v>
      </c>
    </row>
    <row r="696" spans="1:14">
      <c r="A696" t="s">
        <v>47</v>
      </c>
      <c r="B696">
        <v>2013</v>
      </c>
      <c r="C696" t="s">
        <v>1699</v>
      </c>
      <c r="D696" t="s">
        <v>14</v>
      </c>
      <c r="E696" t="s">
        <v>1700</v>
      </c>
      <c r="F696" t="s">
        <v>46</v>
      </c>
      <c r="G696">
        <v>44.24</v>
      </c>
      <c r="H696">
        <v>59</v>
      </c>
      <c r="I696" t="s">
        <v>23</v>
      </c>
      <c r="J696" t="s">
        <v>37</v>
      </c>
      <c r="K696" t="s">
        <v>81</v>
      </c>
      <c r="L696">
        <v>265</v>
      </c>
      <c r="M696" t="str">
        <f t="shared" si="20"/>
        <v>High</v>
      </c>
      <c r="N696" t="str">
        <f t="shared" si="21"/>
        <v>Average</v>
      </c>
    </row>
    <row r="697" spans="1:14">
      <c r="A697" t="s">
        <v>48</v>
      </c>
      <c r="B697">
        <v>2005</v>
      </c>
      <c r="C697" t="s">
        <v>1701</v>
      </c>
      <c r="D697" t="s">
        <v>33</v>
      </c>
      <c r="E697" t="s">
        <v>1702</v>
      </c>
      <c r="F697" t="s">
        <v>46</v>
      </c>
      <c r="G697">
        <v>39.590000000000003</v>
      </c>
      <c r="H697">
        <v>81</v>
      </c>
      <c r="I697" t="s">
        <v>36</v>
      </c>
      <c r="J697" t="s">
        <v>24</v>
      </c>
      <c r="K697" t="s">
        <v>47</v>
      </c>
      <c r="L697">
        <v>67</v>
      </c>
      <c r="M697" t="str">
        <f t="shared" si="20"/>
        <v>High</v>
      </c>
      <c r="N697" t="str">
        <f t="shared" si="21"/>
        <v>Good</v>
      </c>
    </row>
    <row r="698" spans="1:14">
      <c r="A698" t="s">
        <v>20</v>
      </c>
      <c r="B698">
        <v>2021</v>
      </c>
      <c r="C698" t="s">
        <v>1703</v>
      </c>
      <c r="D698" t="s">
        <v>14</v>
      </c>
      <c r="E698" t="s">
        <v>1704</v>
      </c>
      <c r="F698" t="s">
        <v>16</v>
      </c>
      <c r="G698">
        <v>21.71</v>
      </c>
      <c r="H698">
        <v>75</v>
      </c>
      <c r="I698" t="s">
        <v>61</v>
      </c>
      <c r="J698" t="s">
        <v>18</v>
      </c>
      <c r="K698" t="s">
        <v>259</v>
      </c>
      <c r="L698">
        <v>180</v>
      </c>
      <c r="M698" t="str">
        <f t="shared" si="20"/>
        <v>Medium</v>
      </c>
      <c r="N698" t="str">
        <f t="shared" si="21"/>
        <v>Good</v>
      </c>
    </row>
    <row r="699" spans="1:14">
      <c r="A699" t="s">
        <v>31</v>
      </c>
      <c r="B699">
        <v>2005</v>
      </c>
      <c r="C699" t="s">
        <v>1705</v>
      </c>
      <c r="D699" t="s">
        <v>33</v>
      </c>
      <c r="E699" t="s">
        <v>550</v>
      </c>
      <c r="F699" t="s">
        <v>42</v>
      </c>
      <c r="G699">
        <v>35.43</v>
      </c>
      <c r="H699">
        <v>85</v>
      </c>
      <c r="I699" t="s">
        <v>36</v>
      </c>
      <c r="J699" t="s">
        <v>24</v>
      </c>
      <c r="K699" t="s">
        <v>38</v>
      </c>
      <c r="L699">
        <v>125</v>
      </c>
      <c r="M699" t="str">
        <f t="shared" si="20"/>
        <v>High</v>
      </c>
      <c r="N699" t="str">
        <f t="shared" si="21"/>
        <v>Good</v>
      </c>
    </row>
    <row r="700" spans="1:14">
      <c r="A700" t="s">
        <v>12</v>
      </c>
      <c r="B700">
        <v>2003</v>
      </c>
      <c r="C700" t="s">
        <v>1706</v>
      </c>
      <c r="D700" t="s">
        <v>33</v>
      </c>
      <c r="E700" t="s">
        <v>347</v>
      </c>
      <c r="F700" t="s">
        <v>42</v>
      </c>
      <c r="G700">
        <v>15.78</v>
      </c>
      <c r="H700">
        <v>60</v>
      </c>
      <c r="I700" t="s">
        <v>17</v>
      </c>
      <c r="J700" t="s">
        <v>18</v>
      </c>
      <c r="K700" t="s">
        <v>81</v>
      </c>
      <c r="L700">
        <v>292</v>
      </c>
      <c r="M700" t="str">
        <f t="shared" si="20"/>
        <v>Medium</v>
      </c>
      <c r="N700" t="str">
        <f t="shared" si="21"/>
        <v>Average</v>
      </c>
    </row>
    <row r="701" spans="1:14">
      <c r="A701" t="s">
        <v>65</v>
      </c>
      <c r="B701">
        <v>2005</v>
      </c>
      <c r="C701" t="s">
        <v>1707</v>
      </c>
      <c r="D701" t="s">
        <v>33</v>
      </c>
      <c r="E701" t="s">
        <v>1708</v>
      </c>
      <c r="F701" t="s">
        <v>16</v>
      </c>
      <c r="G701">
        <v>23.84</v>
      </c>
      <c r="H701">
        <v>74</v>
      </c>
      <c r="I701" t="s">
        <v>23</v>
      </c>
      <c r="J701" t="s">
        <v>37</v>
      </c>
      <c r="K701" t="s">
        <v>311</v>
      </c>
      <c r="L701">
        <v>271</v>
      </c>
      <c r="M701" t="str">
        <f t="shared" si="20"/>
        <v>Medium</v>
      </c>
      <c r="N701" t="str">
        <f t="shared" si="21"/>
        <v>Average</v>
      </c>
    </row>
    <row r="702" spans="1:14">
      <c r="A702" t="s">
        <v>65</v>
      </c>
      <c r="B702">
        <v>2010</v>
      </c>
      <c r="C702" t="s">
        <v>1709</v>
      </c>
      <c r="D702" t="s">
        <v>33</v>
      </c>
      <c r="E702" t="s">
        <v>1710</v>
      </c>
      <c r="F702" t="s">
        <v>35</v>
      </c>
      <c r="G702">
        <v>13</v>
      </c>
      <c r="H702">
        <v>71</v>
      </c>
      <c r="I702" t="s">
        <v>61</v>
      </c>
      <c r="J702" t="s">
        <v>37</v>
      </c>
      <c r="K702" t="s">
        <v>1711</v>
      </c>
      <c r="L702">
        <v>212</v>
      </c>
      <c r="M702" t="str">
        <f t="shared" si="20"/>
        <v>Low</v>
      </c>
      <c r="N702" t="str">
        <f t="shared" si="21"/>
        <v>Average</v>
      </c>
    </row>
    <row r="703" spans="1:14">
      <c r="A703" t="s">
        <v>20</v>
      </c>
      <c r="B703">
        <v>2010</v>
      </c>
      <c r="C703" t="s">
        <v>1712</v>
      </c>
      <c r="D703" t="s">
        <v>14</v>
      </c>
      <c r="E703" t="s">
        <v>1713</v>
      </c>
      <c r="F703" t="s">
        <v>57</v>
      </c>
      <c r="G703">
        <v>25.11</v>
      </c>
      <c r="H703">
        <v>68</v>
      </c>
      <c r="I703" t="s">
        <v>36</v>
      </c>
      <c r="J703" t="s">
        <v>24</v>
      </c>
      <c r="K703" t="s">
        <v>12</v>
      </c>
      <c r="L703">
        <v>21</v>
      </c>
      <c r="M703" t="str">
        <f t="shared" si="20"/>
        <v>Medium</v>
      </c>
      <c r="N703" t="str">
        <f t="shared" si="21"/>
        <v>Average</v>
      </c>
    </row>
    <row r="704" spans="1:14">
      <c r="A704" t="s">
        <v>38</v>
      </c>
      <c r="B704">
        <v>2022</v>
      </c>
      <c r="C704" t="s">
        <v>1714</v>
      </c>
      <c r="D704" t="s">
        <v>33</v>
      </c>
      <c r="E704" t="s">
        <v>1715</v>
      </c>
      <c r="F704" t="s">
        <v>46</v>
      </c>
      <c r="G704">
        <v>49.16</v>
      </c>
      <c r="H704">
        <v>71</v>
      </c>
      <c r="I704" t="s">
        <v>17</v>
      </c>
      <c r="J704" t="s">
        <v>18</v>
      </c>
      <c r="K704" t="s">
        <v>610</v>
      </c>
      <c r="L704">
        <v>106</v>
      </c>
      <c r="M704" t="str">
        <f t="shared" si="20"/>
        <v>High</v>
      </c>
      <c r="N704" t="str">
        <f t="shared" si="21"/>
        <v>Average</v>
      </c>
    </row>
    <row r="705" spans="1:14">
      <c r="A705" t="s">
        <v>38</v>
      </c>
      <c r="B705">
        <v>2003</v>
      </c>
      <c r="C705" t="s">
        <v>1716</v>
      </c>
      <c r="D705" t="s">
        <v>33</v>
      </c>
      <c r="E705" t="s">
        <v>1717</v>
      </c>
      <c r="F705" t="s">
        <v>42</v>
      </c>
      <c r="G705">
        <v>46.87</v>
      </c>
      <c r="H705">
        <v>56</v>
      </c>
      <c r="I705" t="s">
        <v>17</v>
      </c>
      <c r="J705" t="s">
        <v>24</v>
      </c>
      <c r="K705" t="s">
        <v>20</v>
      </c>
      <c r="L705">
        <v>231</v>
      </c>
      <c r="M705" t="str">
        <f t="shared" si="20"/>
        <v>High</v>
      </c>
      <c r="N705" t="str">
        <f t="shared" si="21"/>
        <v>Average</v>
      </c>
    </row>
    <row r="706" spans="1:14">
      <c r="A706" t="s">
        <v>65</v>
      </c>
      <c r="B706">
        <v>2004</v>
      </c>
      <c r="C706" t="s">
        <v>1718</v>
      </c>
      <c r="D706" t="s">
        <v>14</v>
      </c>
      <c r="E706" t="s">
        <v>1719</v>
      </c>
      <c r="F706" t="s">
        <v>46</v>
      </c>
      <c r="G706">
        <v>39.11</v>
      </c>
      <c r="H706">
        <v>64</v>
      </c>
      <c r="I706" t="s">
        <v>29</v>
      </c>
      <c r="J706" t="s">
        <v>37</v>
      </c>
      <c r="K706" t="s">
        <v>1121</v>
      </c>
      <c r="L706">
        <v>92</v>
      </c>
      <c r="M706" t="str">
        <f t="shared" si="20"/>
        <v>High</v>
      </c>
      <c r="N706" t="str">
        <f t="shared" si="21"/>
        <v>Average</v>
      </c>
    </row>
    <row r="707" spans="1:14">
      <c r="A707" t="s">
        <v>26</v>
      </c>
      <c r="B707">
        <v>2009</v>
      </c>
      <c r="C707" t="s">
        <v>1720</v>
      </c>
      <c r="D707" t="s">
        <v>14</v>
      </c>
      <c r="E707" t="s">
        <v>1721</v>
      </c>
      <c r="F707" t="s">
        <v>35</v>
      </c>
      <c r="G707">
        <v>3.82</v>
      </c>
      <c r="H707">
        <v>63</v>
      </c>
      <c r="I707" t="s">
        <v>61</v>
      </c>
      <c r="J707" t="s">
        <v>18</v>
      </c>
      <c r="K707" t="s">
        <v>323</v>
      </c>
      <c r="L707">
        <v>162</v>
      </c>
      <c r="M707" t="str">
        <f t="shared" ref="M707:M770" si="22">IF(G707&lt;15,"Low",IF(G707&lt;35,"Medium","High"))</f>
        <v>Low</v>
      </c>
      <c r="N707" t="str">
        <f t="shared" ref="N707:N770" si="23">IF(H707&gt;=90,"Excellent",IF(H707&gt;=75,"Good","Average"))</f>
        <v>Average</v>
      </c>
    </row>
    <row r="708" spans="1:14">
      <c r="A708" t="s">
        <v>26</v>
      </c>
      <c r="B708">
        <v>2014</v>
      </c>
      <c r="C708" t="s">
        <v>1722</v>
      </c>
      <c r="D708" t="s">
        <v>14</v>
      </c>
      <c r="E708" t="s">
        <v>1723</v>
      </c>
      <c r="F708" t="s">
        <v>42</v>
      </c>
      <c r="G708">
        <v>6.79</v>
      </c>
      <c r="H708">
        <v>60</v>
      </c>
      <c r="I708" t="s">
        <v>36</v>
      </c>
      <c r="J708" t="s">
        <v>18</v>
      </c>
      <c r="K708" t="s">
        <v>1724</v>
      </c>
      <c r="L708">
        <v>43</v>
      </c>
      <c r="M708" t="str">
        <f t="shared" si="22"/>
        <v>Low</v>
      </c>
      <c r="N708" t="str">
        <f t="shared" si="23"/>
        <v>Average</v>
      </c>
    </row>
    <row r="709" spans="1:14">
      <c r="A709" t="s">
        <v>65</v>
      </c>
      <c r="B709">
        <v>2009</v>
      </c>
      <c r="C709" t="s">
        <v>1725</v>
      </c>
      <c r="D709" t="s">
        <v>14</v>
      </c>
      <c r="E709" t="s">
        <v>1726</v>
      </c>
      <c r="F709" t="s">
        <v>42</v>
      </c>
      <c r="G709">
        <v>40.54</v>
      </c>
      <c r="H709">
        <v>88</v>
      </c>
      <c r="I709" t="s">
        <v>23</v>
      </c>
      <c r="J709" t="s">
        <v>18</v>
      </c>
      <c r="K709" t="s">
        <v>39</v>
      </c>
      <c r="L709">
        <v>128</v>
      </c>
      <c r="M709" t="str">
        <f t="shared" si="22"/>
        <v>High</v>
      </c>
      <c r="N709" t="str">
        <f t="shared" si="23"/>
        <v>Good</v>
      </c>
    </row>
    <row r="710" spans="1:14">
      <c r="A710" t="s">
        <v>65</v>
      </c>
      <c r="B710">
        <v>2019</v>
      </c>
      <c r="C710" t="s">
        <v>1727</v>
      </c>
      <c r="D710" t="s">
        <v>33</v>
      </c>
      <c r="E710" t="s">
        <v>1728</v>
      </c>
      <c r="F710" t="s">
        <v>16</v>
      </c>
      <c r="G710">
        <v>3.25</v>
      </c>
      <c r="H710">
        <v>86</v>
      </c>
      <c r="I710" t="s">
        <v>61</v>
      </c>
      <c r="J710" t="s">
        <v>37</v>
      </c>
      <c r="K710" t="s">
        <v>151</v>
      </c>
      <c r="L710">
        <v>216</v>
      </c>
      <c r="M710" t="str">
        <f t="shared" si="22"/>
        <v>Low</v>
      </c>
      <c r="N710" t="str">
        <f t="shared" si="23"/>
        <v>Good</v>
      </c>
    </row>
    <row r="711" spans="1:14">
      <c r="A711" t="s">
        <v>31</v>
      </c>
      <c r="B711">
        <v>2007</v>
      </c>
      <c r="C711" t="s">
        <v>1729</v>
      </c>
      <c r="D711" t="s">
        <v>33</v>
      </c>
      <c r="E711" t="s">
        <v>1730</v>
      </c>
      <c r="F711" t="s">
        <v>35</v>
      </c>
      <c r="G711">
        <v>9.14</v>
      </c>
      <c r="H711">
        <v>84</v>
      </c>
      <c r="I711" t="s">
        <v>17</v>
      </c>
      <c r="J711" t="s">
        <v>37</v>
      </c>
      <c r="K711" t="s">
        <v>20</v>
      </c>
      <c r="L711">
        <v>173</v>
      </c>
      <c r="M711" t="str">
        <f t="shared" si="22"/>
        <v>Low</v>
      </c>
      <c r="N711" t="str">
        <f t="shared" si="23"/>
        <v>Good</v>
      </c>
    </row>
    <row r="712" spans="1:14">
      <c r="A712" t="s">
        <v>65</v>
      </c>
      <c r="B712">
        <v>2011</v>
      </c>
      <c r="C712" t="s">
        <v>1731</v>
      </c>
      <c r="D712" t="s">
        <v>14</v>
      </c>
      <c r="E712" t="s">
        <v>1732</v>
      </c>
      <c r="F712" t="s">
        <v>57</v>
      </c>
      <c r="G712">
        <v>3.12</v>
      </c>
      <c r="H712">
        <v>66</v>
      </c>
      <c r="I712" t="s">
        <v>17</v>
      </c>
      <c r="J712" t="s">
        <v>24</v>
      </c>
      <c r="K712" t="s">
        <v>48</v>
      </c>
      <c r="L712">
        <v>311</v>
      </c>
      <c r="M712" t="str">
        <f t="shared" si="22"/>
        <v>Low</v>
      </c>
      <c r="N712" t="str">
        <f t="shared" si="23"/>
        <v>Average</v>
      </c>
    </row>
    <row r="713" spans="1:14">
      <c r="A713" t="s">
        <v>12</v>
      </c>
      <c r="B713">
        <v>2017</v>
      </c>
      <c r="C713" t="s">
        <v>1733</v>
      </c>
      <c r="D713" t="s">
        <v>33</v>
      </c>
      <c r="E713" t="s">
        <v>1734</v>
      </c>
      <c r="F713" t="s">
        <v>46</v>
      </c>
      <c r="G713">
        <v>35.89</v>
      </c>
      <c r="H713">
        <v>86</v>
      </c>
      <c r="I713" t="s">
        <v>17</v>
      </c>
      <c r="J713" t="s">
        <v>24</v>
      </c>
      <c r="K713" t="s">
        <v>1312</v>
      </c>
      <c r="L713">
        <v>145</v>
      </c>
      <c r="M713" t="str">
        <f t="shared" si="22"/>
        <v>High</v>
      </c>
      <c r="N713" t="str">
        <f t="shared" si="23"/>
        <v>Good</v>
      </c>
    </row>
    <row r="714" spans="1:14">
      <c r="A714" t="s">
        <v>68</v>
      </c>
      <c r="B714">
        <v>2003</v>
      </c>
      <c r="C714" t="s">
        <v>1735</v>
      </c>
      <c r="D714" t="s">
        <v>33</v>
      </c>
      <c r="E714" t="s">
        <v>1736</v>
      </c>
      <c r="F714" t="s">
        <v>42</v>
      </c>
      <c r="G714">
        <v>11.04</v>
      </c>
      <c r="H714">
        <v>52</v>
      </c>
      <c r="I714" t="s">
        <v>17</v>
      </c>
      <c r="J714" t="s">
        <v>37</v>
      </c>
      <c r="K714" t="s">
        <v>73</v>
      </c>
      <c r="L714">
        <v>276</v>
      </c>
      <c r="M714" t="str">
        <f t="shared" si="22"/>
        <v>Low</v>
      </c>
      <c r="N714" t="str">
        <f t="shared" si="23"/>
        <v>Average</v>
      </c>
    </row>
    <row r="715" spans="1:14">
      <c r="A715" t="s">
        <v>31</v>
      </c>
      <c r="B715">
        <v>2015</v>
      </c>
      <c r="C715" t="s">
        <v>1737</v>
      </c>
      <c r="D715" t="s">
        <v>14</v>
      </c>
      <c r="E715" t="s">
        <v>1738</v>
      </c>
      <c r="F715" t="s">
        <v>35</v>
      </c>
      <c r="G715">
        <v>6.15</v>
      </c>
      <c r="H715">
        <v>96</v>
      </c>
      <c r="I715" t="s">
        <v>36</v>
      </c>
      <c r="J715" t="s">
        <v>37</v>
      </c>
      <c r="K715" t="s">
        <v>819</v>
      </c>
      <c r="L715">
        <v>70</v>
      </c>
      <c r="M715" t="str">
        <f t="shared" si="22"/>
        <v>Low</v>
      </c>
      <c r="N715" t="str">
        <f t="shared" si="23"/>
        <v>Excellent</v>
      </c>
    </row>
    <row r="716" spans="1:14">
      <c r="A716" t="s">
        <v>20</v>
      </c>
      <c r="B716">
        <v>2000</v>
      </c>
      <c r="C716" t="s">
        <v>1739</v>
      </c>
      <c r="D716" t="s">
        <v>33</v>
      </c>
      <c r="E716" t="s">
        <v>1740</v>
      </c>
      <c r="F716" t="s">
        <v>46</v>
      </c>
      <c r="G716">
        <v>38.799999999999997</v>
      </c>
      <c r="H716">
        <v>52</v>
      </c>
      <c r="I716" t="s">
        <v>23</v>
      </c>
      <c r="J716" t="s">
        <v>37</v>
      </c>
      <c r="K716" t="s">
        <v>12</v>
      </c>
      <c r="L716">
        <v>292</v>
      </c>
      <c r="M716" t="str">
        <f t="shared" si="22"/>
        <v>High</v>
      </c>
      <c r="N716" t="str">
        <f t="shared" si="23"/>
        <v>Average</v>
      </c>
    </row>
    <row r="717" spans="1:14">
      <c r="A717" t="s">
        <v>20</v>
      </c>
      <c r="B717">
        <v>2000</v>
      </c>
      <c r="C717" t="s">
        <v>1741</v>
      </c>
      <c r="D717" t="s">
        <v>14</v>
      </c>
      <c r="E717" t="s">
        <v>1742</v>
      </c>
      <c r="F717" t="s">
        <v>42</v>
      </c>
      <c r="G717">
        <v>38.869999999999997</v>
      </c>
      <c r="H717">
        <v>82</v>
      </c>
      <c r="I717" t="s">
        <v>36</v>
      </c>
      <c r="J717" t="s">
        <v>37</v>
      </c>
      <c r="K717" t="s">
        <v>1743</v>
      </c>
      <c r="L717">
        <v>40</v>
      </c>
      <c r="M717" t="str">
        <f t="shared" si="22"/>
        <v>High</v>
      </c>
      <c r="N717" t="str">
        <f t="shared" si="23"/>
        <v>Good</v>
      </c>
    </row>
    <row r="718" spans="1:14">
      <c r="A718" t="s">
        <v>26</v>
      </c>
      <c r="B718">
        <v>2012</v>
      </c>
      <c r="C718" t="s">
        <v>1744</v>
      </c>
      <c r="D718" t="s">
        <v>33</v>
      </c>
      <c r="E718" t="s">
        <v>1745</v>
      </c>
      <c r="F718" t="s">
        <v>16</v>
      </c>
      <c r="G718">
        <v>39.44</v>
      </c>
      <c r="H718">
        <v>91</v>
      </c>
      <c r="I718" t="s">
        <v>61</v>
      </c>
      <c r="J718" t="s">
        <v>18</v>
      </c>
      <c r="K718" t="s">
        <v>1385</v>
      </c>
      <c r="L718">
        <v>97</v>
      </c>
      <c r="M718" t="str">
        <f t="shared" si="22"/>
        <v>High</v>
      </c>
      <c r="N718" t="str">
        <f t="shared" si="23"/>
        <v>Excellent</v>
      </c>
    </row>
    <row r="719" spans="1:14">
      <c r="A719" t="s">
        <v>38</v>
      </c>
      <c r="B719">
        <v>2015</v>
      </c>
      <c r="C719" t="s">
        <v>1746</v>
      </c>
      <c r="D719" t="s">
        <v>33</v>
      </c>
      <c r="E719" t="s">
        <v>1747</v>
      </c>
      <c r="F719" t="s">
        <v>46</v>
      </c>
      <c r="G719">
        <v>1.02</v>
      </c>
      <c r="H719">
        <v>67</v>
      </c>
      <c r="I719" t="s">
        <v>36</v>
      </c>
      <c r="J719" t="s">
        <v>18</v>
      </c>
      <c r="K719" t="s">
        <v>39</v>
      </c>
      <c r="L719">
        <v>260</v>
      </c>
      <c r="M719" t="str">
        <f t="shared" si="22"/>
        <v>Low</v>
      </c>
      <c r="N719" t="str">
        <f t="shared" si="23"/>
        <v>Average</v>
      </c>
    </row>
    <row r="720" spans="1:14">
      <c r="A720" t="s">
        <v>20</v>
      </c>
      <c r="B720">
        <v>2019</v>
      </c>
      <c r="C720" t="s">
        <v>1748</v>
      </c>
      <c r="D720" t="s">
        <v>14</v>
      </c>
      <c r="E720" t="s">
        <v>1749</v>
      </c>
      <c r="F720" t="s">
        <v>35</v>
      </c>
      <c r="G720">
        <v>26.23</v>
      </c>
      <c r="H720">
        <v>66</v>
      </c>
      <c r="I720" t="s">
        <v>29</v>
      </c>
      <c r="J720" t="s">
        <v>18</v>
      </c>
      <c r="K720" t="s">
        <v>38</v>
      </c>
      <c r="L720">
        <v>270</v>
      </c>
      <c r="M720" t="str">
        <f t="shared" si="22"/>
        <v>Medium</v>
      </c>
      <c r="N720" t="str">
        <f t="shared" si="23"/>
        <v>Average</v>
      </c>
    </row>
    <row r="721" spans="1:14">
      <c r="A721" t="s">
        <v>12</v>
      </c>
      <c r="B721">
        <v>2017</v>
      </c>
      <c r="C721" t="s">
        <v>1750</v>
      </c>
      <c r="D721" t="s">
        <v>14</v>
      </c>
      <c r="E721" t="s">
        <v>1751</v>
      </c>
      <c r="F721" t="s">
        <v>57</v>
      </c>
      <c r="G721">
        <v>11.62</v>
      </c>
      <c r="H721">
        <v>89</v>
      </c>
      <c r="I721" t="s">
        <v>23</v>
      </c>
      <c r="J721" t="s">
        <v>37</v>
      </c>
      <c r="K721" t="s">
        <v>323</v>
      </c>
      <c r="L721">
        <v>26</v>
      </c>
      <c r="M721" t="str">
        <f t="shared" si="22"/>
        <v>Low</v>
      </c>
      <c r="N721" t="str">
        <f t="shared" si="23"/>
        <v>Good</v>
      </c>
    </row>
    <row r="722" spans="1:14">
      <c r="A722" t="s">
        <v>12</v>
      </c>
      <c r="B722">
        <v>2000</v>
      </c>
      <c r="C722" t="s">
        <v>1752</v>
      </c>
      <c r="D722" t="s">
        <v>33</v>
      </c>
      <c r="E722" t="s">
        <v>1753</v>
      </c>
      <c r="F722" t="s">
        <v>57</v>
      </c>
      <c r="G722">
        <v>26.49</v>
      </c>
      <c r="H722">
        <v>78</v>
      </c>
      <c r="I722" t="s">
        <v>23</v>
      </c>
      <c r="J722" t="s">
        <v>37</v>
      </c>
      <c r="K722" t="s">
        <v>38</v>
      </c>
      <c r="L722">
        <v>179</v>
      </c>
      <c r="M722" t="str">
        <f t="shared" si="22"/>
        <v>Medium</v>
      </c>
      <c r="N722" t="str">
        <f t="shared" si="23"/>
        <v>Good</v>
      </c>
    </row>
    <row r="723" spans="1:14">
      <c r="A723" t="s">
        <v>38</v>
      </c>
      <c r="B723">
        <v>2020</v>
      </c>
      <c r="C723" t="s">
        <v>1754</v>
      </c>
      <c r="D723" t="s">
        <v>14</v>
      </c>
      <c r="E723" t="s">
        <v>1755</v>
      </c>
      <c r="F723" t="s">
        <v>42</v>
      </c>
      <c r="G723">
        <v>35.229999999999997</v>
      </c>
      <c r="H723">
        <v>98</v>
      </c>
      <c r="I723" t="s">
        <v>29</v>
      </c>
      <c r="J723" t="s">
        <v>18</v>
      </c>
      <c r="K723" t="s">
        <v>39</v>
      </c>
      <c r="L723">
        <v>324</v>
      </c>
      <c r="M723" t="str">
        <f t="shared" si="22"/>
        <v>High</v>
      </c>
      <c r="N723" t="str">
        <f t="shared" si="23"/>
        <v>Excellent</v>
      </c>
    </row>
    <row r="724" spans="1:14">
      <c r="A724" t="s">
        <v>38</v>
      </c>
      <c r="B724">
        <v>2000</v>
      </c>
      <c r="C724" t="s">
        <v>1756</v>
      </c>
      <c r="D724" t="s">
        <v>14</v>
      </c>
      <c r="E724" t="s">
        <v>1757</v>
      </c>
      <c r="F724" t="s">
        <v>46</v>
      </c>
      <c r="G724">
        <v>30.08</v>
      </c>
      <c r="H724">
        <v>99</v>
      </c>
      <c r="I724" t="s">
        <v>29</v>
      </c>
      <c r="J724" t="s">
        <v>18</v>
      </c>
      <c r="K724" t="s">
        <v>398</v>
      </c>
      <c r="L724">
        <v>22</v>
      </c>
      <c r="M724" t="str">
        <f t="shared" si="22"/>
        <v>Medium</v>
      </c>
      <c r="N724" t="str">
        <f t="shared" si="23"/>
        <v>Excellent</v>
      </c>
    </row>
    <row r="725" spans="1:14">
      <c r="A725" t="s">
        <v>12</v>
      </c>
      <c r="B725">
        <v>2012</v>
      </c>
      <c r="C725" t="s">
        <v>1758</v>
      </c>
      <c r="D725" t="s">
        <v>33</v>
      </c>
      <c r="E725" t="s">
        <v>1759</v>
      </c>
      <c r="F725" t="s">
        <v>57</v>
      </c>
      <c r="G725">
        <v>7.7</v>
      </c>
      <c r="H725">
        <v>54</v>
      </c>
      <c r="I725" t="s">
        <v>36</v>
      </c>
      <c r="J725" t="s">
        <v>18</v>
      </c>
      <c r="K725" t="s">
        <v>20</v>
      </c>
      <c r="L725">
        <v>243</v>
      </c>
      <c r="M725" t="str">
        <f t="shared" si="22"/>
        <v>Low</v>
      </c>
      <c r="N725" t="str">
        <f t="shared" si="23"/>
        <v>Average</v>
      </c>
    </row>
    <row r="726" spans="1:14">
      <c r="A726" t="s">
        <v>38</v>
      </c>
      <c r="B726">
        <v>2004</v>
      </c>
      <c r="C726" t="s">
        <v>1760</v>
      </c>
      <c r="D726" t="s">
        <v>33</v>
      </c>
      <c r="E726" t="s">
        <v>1761</v>
      </c>
      <c r="F726" t="s">
        <v>57</v>
      </c>
      <c r="G726">
        <v>12.61</v>
      </c>
      <c r="H726">
        <v>89</v>
      </c>
      <c r="I726" t="s">
        <v>17</v>
      </c>
      <c r="J726" t="s">
        <v>37</v>
      </c>
      <c r="K726" t="s">
        <v>198</v>
      </c>
      <c r="L726">
        <v>215</v>
      </c>
      <c r="M726" t="str">
        <f t="shared" si="22"/>
        <v>Low</v>
      </c>
      <c r="N726" t="str">
        <f t="shared" si="23"/>
        <v>Good</v>
      </c>
    </row>
    <row r="727" spans="1:14">
      <c r="A727" t="s">
        <v>26</v>
      </c>
      <c r="B727">
        <v>2002</v>
      </c>
      <c r="C727" t="s">
        <v>1762</v>
      </c>
      <c r="D727" t="s">
        <v>14</v>
      </c>
      <c r="E727" t="s">
        <v>1589</v>
      </c>
      <c r="F727" t="s">
        <v>16</v>
      </c>
      <c r="G727">
        <v>27.49</v>
      </c>
      <c r="H727">
        <v>51</v>
      </c>
      <c r="I727" t="s">
        <v>17</v>
      </c>
      <c r="J727" t="s">
        <v>37</v>
      </c>
      <c r="K727" t="s">
        <v>1763</v>
      </c>
      <c r="L727">
        <v>164</v>
      </c>
      <c r="M727" t="str">
        <f t="shared" si="22"/>
        <v>Medium</v>
      </c>
      <c r="N727" t="str">
        <f t="shared" si="23"/>
        <v>Average</v>
      </c>
    </row>
    <row r="728" spans="1:14">
      <c r="A728" t="s">
        <v>65</v>
      </c>
      <c r="B728">
        <v>2014</v>
      </c>
      <c r="C728" t="s">
        <v>1764</v>
      </c>
      <c r="D728" t="s">
        <v>14</v>
      </c>
      <c r="E728" t="s">
        <v>1765</v>
      </c>
      <c r="F728" t="s">
        <v>16</v>
      </c>
      <c r="G728">
        <v>30.56</v>
      </c>
      <c r="H728">
        <v>53</v>
      </c>
      <c r="I728" t="s">
        <v>36</v>
      </c>
      <c r="J728" t="s">
        <v>24</v>
      </c>
      <c r="K728" t="s">
        <v>1766</v>
      </c>
      <c r="L728">
        <v>314</v>
      </c>
      <c r="M728" t="str">
        <f t="shared" si="22"/>
        <v>Medium</v>
      </c>
      <c r="N728" t="str">
        <f t="shared" si="23"/>
        <v>Average</v>
      </c>
    </row>
    <row r="729" spans="1:14">
      <c r="A729" t="s">
        <v>65</v>
      </c>
      <c r="B729">
        <v>2001</v>
      </c>
      <c r="C729" t="s">
        <v>1767</v>
      </c>
      <c r="D729" t="s">
        <v>33</v>
      </c>
      <c r="E729" t="s">
        <v>1768</v>
      </c>
      <c r="F729" t="s">
        <v>42</v>
      </c>
      <c r="G729">
        <v>39.74</v>
      </c>
      <c r="H729">
        <v>51</v>
      </c>
      <c r="I729" t="s">
        <v>23</v>
      </c>
      <c r="J729" t="s">
        <v>37</v>
      </c>
      <c r="K729" t="s">
        <v>1769</v>
      </c>
      <c r="L729">
        <v>158</v>
      </c>
      <c r="M729" t="str">
        <f t="shared" si="22"/>
        <v>High</v>
      </c>
      <c r="N729" t="str">
        <f t="shared" si="23"/>
        <v>Average</v>
      </c>
    </row>
    <row r="730" spans="1:14">
      <c r="A730" t="s">
        <v>47</v>
      </c>
      <c r="B730">
        <v>2019</v>
      </c>
      <c r="C730" t="s">
        <v>1770</v>
      </c>
      <c r="D730" t="s">
        <v>33</v>
      </c>
      <c r="E730" t="s">
        <v>1771</v>
      </c>
      <c r="F730" t="s">
        <v>46</v>
      </c>
      <c r="G730">
        <v>19.91</v>
      </c>
      <c r="H730">
        <v>60</v>
      </c>
      <c r="I730" t="s">
        <v>29</v>
      </c>
      <c r="J730" t="s">
        <v>24</v>
      </c>
      <c r="K730" t="s">
        <v>26</v>
      </c>
      <c r="L730">
        <v>138</v>
      </c>
      <c r="M730" t="str">
        <f t="shared" si="22"/>
        <v>Medium</v>
      </c>
      <c r="N730" t="str">
        <f t="shared" si="23"/>
        <v>Average</v>
      </c>
    </row>
    <row r="731" spans="1:14">
      <c r="A731" t="s">
        <v>38</v>
      </c>
      <c r="B731">
        <v>2020</v>
      </c>
      <c r="C731" t="s">
        <v>1772</v>
      </c>
      <c r="D731" t="s">
        <v>33</v>
      </c>
      <c r="E731" t="s">
        <v>1773</v>
      </c>
      <c r="F731" t="s">
        <v>16</v>
      </c>
      <c r="G731">
        <v>9.1999999999999993</v>
      </c>
      <c r="H731">
        <v>56</v>
      </c>
      <c r="I731" t="s">
        <v>23</v>
      </c>
      <c r="J731" t="s">
        <v>37</v>
      </c>
      <c r="K731" t="s">
        <v>1774</v>
      </c>
      <c r="L731">
        <v>255</v>
      </c>
      <c r="M731" t="str">
        <f t="shared" si="22"/>
        <v>Low</v>
      </c>
      <c r="N731" t="str">
        <f t="shared" si="23"/>
        <v>Average</v>
      </c>
    </row>
    <row r="732" spans="1:14">
      <c r="A732" t="s">
        <v>26</v>
      </c>
      <c r="B732">
        <v>2023</v>
      </c>
      <c r="C732" t="s">
        <v>1775</v>
      </c>
      <c r="D732" t="s">
        <v>33</v>
      </c>
      <c r="E732" t="s">
        <v>1776</v>
      </c>
      <c r="F732" t="s">
        <v>35</v>
      </c>
      <c r="G732">
        <v>32.32</v>
      </c>
      <c r="H732">
        <v>94</v>
      </c>
      <c r="I732" t="s">
        <v>61</v>
      </c>
      <c r="J732" t="s">
        <v>37</v>
      </c>
      <c r="K732" t="s">
        <v>81</v>
      </c>
      <c r="L732">
        <v>301</v>
      </c>
      <c r="M732" t="str">
        <f t="shared" si="22"/>
        <v>Medium</v>
      </c>
      <c r="N732" t="str">
        <f t="shared" si="23"/>
        <v>Excellent</v>
      </c>
    </row>
    <row r="733" spans="1:14">
      <c r="A733" t="s">
        <v>47</v>
      </c>
      <c r="B733">
        <v>2022</v>
      </c>
      <c r="C733" t="s">
        <v>1777</v>
      </c>
      <c r="D733" t="s">
        <v>14</v>
      </c>
      <c r="E733" t="s">
        <v>1778</v>
      </c>
      <c r="F733" t="s">
        <v>16</v>
      </c>
      <c r="G733">
        <v>22.57</v>
      </c>
      <c r="H733">
        <v>78</v>
      </c>
      <c r="I733" t="s">
        <v>23</v>
      </c>
      <c r="J733" t="s">
        <v>24</v>
      </c>
      <c r="K733" t="s">
        <v>420</v>
      </c>
      <c r="L733">
        <v>347</v>
      </c>
      <c r="M733" t="str">
        <f t="shared" si="22"/>
        <v>Medium</v>
      </c>
      <c r="N733" t="str">
        <f t="shared" si="23"/>
        <v>Good</v>
      </c>
    </row>
    <row r="734" spans="1:14">
      <c r="A734" t="s">
        <v>20</v>
      </c>
      <c r="B734">
        <v>2022</v>
      </c>
      <c r="C734" t="s">
        <v>1779</v>
      </c>
      <c r="D734" t="s">
        <v>14</v>
      </c>
      <c r="E734" t="s">
        <v>1780</v>
      </c>
      <c r="F734" t="s">
        <v>57</v>
      </c>
      <c r="G734">
        <v>42.19</v>
      </c>
      <c r="H734">
        <v>81</v>
      </c>
      <c r="I734" t="s">
        <v>61</v>
      </c>
      <c r="J734" t="s">
        <v>18</v>
      </c>
      <c r="K734" t="s">
        <v>47</v>
      </c>
      <c r="L734">
        <v>330</v>
      </c>
      <c r="M734" t="str">
        <f t="shared" si="22"/>
        <v>High</v>
      </c>
      <c r="N734" t="str">
        <f t="shared" si="23"/>
        <v>Good</v>
      </c>
    </row>
    <row r="735" spans="1:14">
      <c r="A735" t="s">
        <v>68</v>
      </c>
      <c r="B735">
        <v>2007</v>
      </c>
      <c r="C735" t="s">
        <v>1781</v>
      </c>
      <c r="D735" t="s">
        <v>33</v>
      </c>
      <c r="E735" t="s">
        <v>1782</v>
      </c>
      <c r="F735" t="s">
        <v>57</v>
      </c>
      <c r="G735">
        <v>26.88</v>
      </c>
      <c r="H735">
        <v>94</v>
      </c>
      <c r="I735" t="s">
        <v>29</v>
      </c>
      <c r="J735" t="s">
        <v>18</v>
      </c>
      <c r="K735" t="s">
        <v>26</v>
      </c>
      <c r="L735">
        <v>158</v>
      </c>
      <c r="M735" t="str">
        <f t="shared" si="22"/>
        <v>Medium</v>
      </c>
      <c r="N735" t="str">
        <f t="shared" si="23"/>
        <v>Excellent</v>
      </c>
    </row>
    <row r="736" spans="1:14">
      <c r="A736" t="s">
        <v>26</v>
      </c>
      <c r="B736">
        <v>2010</v>
      </c>
      <c r="C736" t="s">
        <v>1783</v>
      </c>
      <c r="D736" t="s">
        <v>33</v>
      </c>
      <c r="E736" t="s">
        <v>1784</v>
      </c>
      <c r="F736" t="s">
        <v>35</v>
      </c>
      <c r="G736">
        <v>28.19</v>
      </c>
      <c r="H736">
        <v>53</v>
      </c>
      <c r="I736" t="s">
        <v>29</v>
      </c>
      <c r="J736" t="s">
        <v>37</v>
      </c>
      <c r="K736" t="s">
        <v>786</v>
      </c>
      <c r="L736">
        <v>38</v>
      </c>
      <c r="M736" t="str">
        <f t="shared" si="22"/>
        <v>Medium</v>
      </c>
      <c r="N736" t="str">
        <f t="shared" si="23"/>
        <v>Average</v>
      </c>
    </row>
    <row r="737" spans="1:14">
      <c r="A737" t="s">
        <v>26</v>
      </c>
      <c r="B737">
        <v>2011</v>
      </c>
      <c r="C737" t="s">
        <v>1785</v>
      </c>
      <c r="D737" t="s">
        <v>33</v>
      </c>
      <c r="E737" t="s">
        <v>161</v>
      </c>
      <c r="F737" t="s">
        <v>35</v>
      </c>
      <c r="G737">
        <v>33.770000000000003</v>
      </c>
      <c r="H737">
        <v>55</v>
      </c>
      <c r="I737" t="s">
        <v>29</v>
      </c>
      <c r="J737" t="s">
        <v>18</v>
      </c>
      <c r="K737" t="s">
        <v>47</v>
      </c>
      <c r="L737">
        <v>110</v>
      </c>
      <c r="M737" t="str">
        <f t="shared" si="22"/>
        <v>Medium</v>
      </c>
      <c r="N737" t="str">
        <f t="shared" si="23"/>
        <v>Average</v>
      </c>
    </row>
    <row r="738" spans="1:14">
      <c r="A738" t="s">
        <v>26</v>
      </c>
      <c r="B738">
        <v>2014</v>
      </c>
      <c r="C738" t="s">
        <v>1786</v>
      </c>
      <c r="D738" t="s">
        <v>14</v>
      </c>
      <c r="E738" t="s">
        <v>1787</v>
      </c>
      <c r="F738" t="s">
        <v>42</v>
      </c>
      <c r="G738">
        <v>10.51</v>
      </c>
      <c r="H738">
        <v>100</v>
      </c>
      <c r="I738" t="s">
        <v>36</v>
      </c>
      <c r="J738" t="s">
        <v>37</v>
      </c>
      <c r="K738" t="s">
        <v>335</v>
      </c>
      <c r="L738">
        <v>194</v>
      </c>
      <c r="M738" t="str">
        <f t="shared" si="22"/>
        <v>Low</v>
      </c>
      <c r="N738" t="str">
        <f t="shared" si="23"/>
        <v>Excellent</v>
      </c>
    </row>
    <row r="739" spans="1:14">
      <c r="A739" t="s">
        <v>12</v>
      </c>
      <c r="B739">
        <v>2008</v>
      </c>
      <c r="C739" t="s">
        <v>1788</v>
      </c>
      <c r="D739" t="s">
        <v>33</v>
      </c>
      <c r="E739" t="s">
        <v>1789</v>
      </c>
      <c r="F739" t="s">
        <v>42</v>
      </c>
      <c r="G739">
        <v>48.65</v>
      </c>
      <c r="H739">
        <v>88</v>
      </c>
      <c r="I739" t="s">
        <v>36</v>
      </c>
      <c r="J739" t="s">
        <v>24</v>
      </c>
      <c r="K739" t="s">
        <v>12</v>
      </c>
      <c r="L739">
        <v>11</v>
      </c>
      <c r="M739" t="str">
        <f t="shared" si="22"/>
        <v>High</v>
      </c>
      <c r="N739" t="str">
        <f t="shared" si="23"/>
        <v>Good</v>
      </c>
    </row>
    <row r="740" spans="1:14">
      <c r="A740" t="s">
        <v>26</v>
      </c>
      <c r="B740">
        <v>2023</v>
      </c>
      <c r="C740" t="s">
        <v>1790</v>
      </c>
      <c r="D740" t="s">
        <v>14</v>
      </c>
      <c r="E740" t="s">
        <v>1791</v>
      </c>
      <c r="F740" t="s">
        <v>57</v>
      </c>
      <c r="G740">
        <v>5.38</v>
      </c>
      <c r="H740">
        <v>82</v>
      </c>
      <c r="I740" t="s">
        <v>36</v>
      </c>
      <c r="J740" t="s">
        <v>37</v>
      </c>
      <c r="K740" t="s">
        <v>1131</v>
      </c>
      <c r="L740">
        <v>39</v>
      </c>
      <c r="M740" t="str">
        <f t="shared" si="22"/>
        <v>Low</v>
      </c>
      <c r="N740" t="str">
        <f t="shared" si="23"/>
        <v>Good</v>
      </c>
    </row>
    <row r="741" spans="1:14">
      <c r="A741" t="s">
        <v>26</v>
      </c>
      <c r="B741">
        <v>2023</v>
      </c>
      <c r="C741" t="s">
        <v>1792</v>
      </c>
      <c r="D741" t="s">
        <v>33</v>
      </c>
      <c r="E741" t="s">
        <v>1793</v>
      </c>
      <c r="F741" t="s">
        <v>57</v>
      </c>
      <c r="G741">
        <v>30.12</v>
      </c>
      <c r="H741">
        <v>59</v>
      </c>
      <c r="I741" t="s">
        <v>17</v>
      </c>
      <c r="J741" t="s">
        <v>37</v>
      </c>
      <c r="K741" t="s">
        <v>1794</v>
      </c>
      <c r="L741">
        <v>112</v>
      </c>
      <c r="M741" t="str">
        <f t="shared" si="22"/>
        <v>Medium</v>
      </c>
      <c r="N741" t="str">
        <f t="shared" si="23"/>
        <v>Average</v>
      </c>
    </row>
    <row r="742" spans="1:14">
      <c r="A742" t="s">
        <v>39</v>
      </c>
      <c r="B742">
        <v>2006</v>
      </c>
      <c r="C742" t="s">
        <v>1795</v>
      </c>
      <c r="D742" t="s">
        <v>33</v>
      </c>
      <c r="E742" t="s">
        <v>1796</v>
      </c>
      <c r="F742" t="s">
        <v>57</v>
      </c>
      <c r="G742">
        <v>24.58</v>
      </c>
      <c r="H742">
        <v>57</v>
      </c>
      <c r="I742" t="s">
        <v>17</v>
      </c>
      <c r="J742" t="s">
        <v>24</v>
      </c>
      <c r="K742" t="s">
        <v>1604</v>
      </c>
      <c r="L742">
        <v>286</v>
      </c>
      <c r="M742" t="str">
        <f t="shared" si="22"/>
        <v>Medium</v>
      </c>
      <c r="N742" t="str">
        <f t="shared" si="23"/>
        <v>Average</v>
      </c>
    </row>
    <row r="743" spans="1:14">
      <c r="A743" t="s">
        <v>47</v>
      </c>
      <c r="B743">
        <v>2015</v>
      </c>
      <c r="C743" t="s">
        <v>1797</v>
      </c>
      <c r="D743" t="s">
        <v>33</v>
      </c>
      <c r="E743" t="s">
        <v>1798</v>
      </c>
      <c r="F743" t="s">
        <v>46</v>
      </c>
      <c r="G743">
        <v>24.56</v>
      </c>
      <c r="H743">
        <v>54</v>
      </c>
      <c r="I743" t="s">
        <v>17</v>
      </c>
      <c r="J743" t="s">
        <v>18</v>
      </c>
      <c r="K743" t="s">
        <v>1799</v>
      </c>
      <c r="L743">
        <v>214</v>
      </c>
      <c r="M743" t="str">
        <f t="shared" si="22"/>
        <v>Medium</v>
      </c>
      <c r="N743" t="str">
        <f t="shared" si="23"/>
        <v>Average</v>
      </c>
    </row>
    <row r="744" spans="1:14">
      <c r="A744" t="s">
        <v>47</v>
      </c>
      <c r="B744">
        <v>2017</v>
      </c>
      <c r="C744" t="s">
        <v>1800</v>
      </c>
      <c r="D744" t="s">
        <v>14</v>
      </c>
      <c r="E744" t="s">
        <v>1801</v>
      </c>
      <c r="F744" t="s">
        <v>16</v>
      </c>
      <c r="G744">
        <v>15.75</v>
      </c>
      <c r="H744">
        <v>59</v>
      </c>
      <c r="I744" t="s">
        <v>23</v>
      </c>
      <c r="J744" t="s">
        <v>37</v>
      </c>
      <c r="K744" t="s">
        <v>97</v>
      </c>
      <c r="L744">
        <v>238</v>
      </c>
      <c r="M744" t="str">
        <f t="shared" si="22"/>
        <v>Medium</v>
      </c>
      <c r="N744" t="str">
        <f t="shared" si="23"/>
        <v>Average</v>
      </c>
    </row>
    <row r="745" spans="1:14">
      <c r="A745" t="s">
        <v>39</v>
      </c>
      <c r="B745">
        <v>2007</v>
      </c>
      <c r="C745" t="s">
        <v>1802</v>
      </c>
      <c r="D745" t="s">
        <v>14</v>
      </c>
      <c r="E745" t="s">
        <v>1803</v>
      </c>
      <c r="F745" t="s">
        <v>57</v>
      </c>
      <c r="G745">
        <v>36.49</v>
      </c>
      <c r="H745">
        <v>64</v>
      </c>
      <c r="I745" t="s">
        <v>29</v>
      </c>
      <c r="J745" t="s">
        <v>18</v>
      </c>
      <c r="K745" t="s">
        <v>20</v>
      </c>
      <c r="L745">
        <v>232</v>
      </c>
      <c r="M745" t="str">
        <f t="shared" si="22"/>
        <v>High</v>
      </c>
      <c r="N745" t="str">
        <f t="shared" si="23"/>
        <v>Average</v>
      </c>
    </row>
    <row r="746" spans="1:14">
      <c r="A746" t="s">
        <v>26</v>
      </c>
      <c r="B746">
        <v>2012</v>
      </c>
      <c r="C746" t="s">
        <v>1804</v>
      </c>
      <c r="D746" t="s">
        <v>33</v>
      </c>
      <c r="E746" t="s">
        <v>1368</v>
      </c>
      <c r="F746" t="s">
        <v>16</v>
      </c>
      <c r="G746">
        <v>34.49</v>
      </c>
      <c r="H746">
        <v>65</v>
      </c>
      <c r="I746" t="s">
        <v>36</v>
      </c>
      <c r="J746" t="s">
        <v>37</v>
      </c>
      <c r="K746" t="s">
        <v>1633</v>
      </c>
      <c r="L746">
        <v>27</v>
      </c>
      <c r="M746" t="str">
        <f t="shared" si="22"/>
        <v>Medium</v>
      </c>
      <c r="N746" t="str">
        <f t="shared" si="23"/>
        <v>Average</v>
      </c>
    </row>
    <row r="747" spans="1:14">
      <c r="A747" t="s">
        <v>12</v>
      </c>
      <c r="B747">
        <v>2016</v>
      </c>
      <c r="C747" t="s">
        <v>1805</v>
      </c>
      <c r="D747" t="s">
        <v>14</v>
      </c>
      <c r="E747" t="s">
        <v>1806</v>
      </c>
      <c r="F747" t="s">
        <v>42</v>
      </c>
      <c r="G747">
        <v>8.61</v>
      </c>
      <c r="H747">
        <v>84</v>
      </c>
      <c r="I747" t="s">
        <v>36</v>
      </c>
      <c r="J747" t="s">
        <v>18</v>
      </c>
      <c r="K747" t="s">
        <v>38</v>
      </c>
      <c r="L747">
        <v>333</v>
      </c>
      <c r="M747" t="str">
        <f t="shared" si="22"/>
        <v>Low</v>
      </c>
      <c r="N747" t="str">
        <f t="shared" si="23"/>
        <v>Good</v>
      </c>
    </row>
    <row r="748" spans="1:14">
      <c r="A748" t="s">
        <v>26</v>
      </c>
      <c r="B748">
        <v>2005</v>
      </c>
      <c r="C748" t="s">
        <v>1807</v>
      </c>
      <c r="D748" t="s">
        <v>14</v>
      </c>
      <c r="E748" t="s">
        <v>1808</v>
      </c>
      <c r="F748" t="s">
        <v>42</v>
      </c>
      <c r="G748">
        <v>7.61</v>
      </c>
      <c r="H748">
        <v>59</v>
      </c>
      <c r="I748" t="s">
        <v>17</v>
      </c>
      <c r="J748" t="s">
        <v>24</v>
      </c>
      <c r="K748" t="s">
        <v>1809</v>
      </c>
      <c r="L748">
        <v>112</v>
      </c>
      <c r="M748" t="str">
        <f t="shared" si="22"/>
        <v>Low</v>
      </c>
      <c r="N748" t="str">
        <f t="shared" si="23"/>
        <v>Average</v>
      </c>
    </row>
    <row r="749" spans="1:14">
      <c r="A749" t="s">
        <v>68</v>
      </c>
      <c r="B749">
        <v>2019</v>
      </c>
      <c r="C749" t="s">
        <v>1810</v>
      </c>
      <c r="D749" t="s">
        <v>14</v>
      </c>
      <c r="E749" t="s">
        <v>1811</v>
      </c>
      <c r="F749" t="s">
        <v>46</v>
      </c>
      <c r="G749">
        <v>29.88</v>
      </c>
      <c r="H749">
        <v>63</v>
      </c>
      <c r="I749" t="s">
        <v>36</v>
      </c>
      <c r="J749" t="s">
        <v>24</v>
      </c>
      <c r="K749" t="s">
        <v>1172</v>
      </c>
      <c r="L749">
        <v>257</v>
      </c>
      <c r="M749" t="str">
        <f t="shared" si="22"/>
        <v>Medium</v>
      </c>
      <c r="N749" t="str">
        <f t="shared" si="23"/>
        <v>Average</v>
      </c>
    </row>
    <row r="750" spans="1:14">
      <c r="A750" t="s">
        <v>39</v>
      </c>
      <c r="B750">
        <v>2024</v>
      </c>
      <c r="C750" t="s">
        <v>1812</v>
      </c>
      <c r="D750" t="s">
        <v>33</v>
      </c>
      <c r="E750" t="s">
        <v>1813</v>
      </c>
      <c r="F750" t="s">
        <v>35</v>
      </c>
      <c r="G750">
        <v>7.01</v>
      </c>
      <c r="H750">
        <v>77</v>
      </c>
      <c r="I750" t="s">
        <v>61</v>
      </c>
      <c r="J750" t="s">
        <v>18</v>
      </c>
      <c r="K750" t="s">
        <v>26</v>
      </c>
      <c r="L750">
        <v>188</v>
      </c>
      <c r="M750" t="str">
        <f t="shared" si="22"/>
        <v>Low</v>
      </c>
      <c r="N750" t="str">
        <f t="shared" si="23"/>
        <v>Good</v>
      </c>
    </row>
    <row r="751" spans="1:14">
      <c r="A751" t="s">
        <v>12</v>
      </c>
      <c r="B751">
        <v>2025</v>
      </c>
      <c r="C751" t="s">
        <v>1814</v>
      </c>
      <c r="D751" t="s">
        <v>33</v>
      </c>
      <c r="E751" t="s">
        <v>1815</v>
      </c>
      <c r="F751" t="s">
        <v>16</v>
      </c>
      <c r="G751">
        <v>49.54</v>
      </c>
      <c r="H751">
        <v>67</v>
      </c>
      <c r="I751" t="s">
        <v>29</v>
      </c>
      <c r="J751" t="s">
        <v>24</v>
      </c>
      <c r="K751" t="s">
        <v>1816</v>
      </c>
      <c r="L751">
        <v>312</v>
      </c>
      <c r="M751" t="str">
        <f t="shared" si="22"/>
        <v>High</v>
      </c>
      <c r="N751" t="str">
        <f t="shared" si="23"/>
        <v>Average</v>
      </c>
    </row>
    <row r="752" spans="1:14">
      <c r="A752" t="s">
        <v>20</v>
      </c>
      <c r="B752">
        <v>2002</v>
      </c>
      <c r="C752" t="s">
        <v>1817</v>
      </c>
      <c r="D752" t="s">
        <v>33</v>
      </c>
      <c r="E752" t="s">
        <v>1818</v>
      </c>
      <c r="F752" t="s">
        <v>46</v>
      </c>
      <c r="G752">
        <v>43.48</v>
      </c>
      <c r="H752">
        <v>57</v>
      </c>
      <c r="I752" t="s">
        <v>17</v>
      </c>
      <c r="J752" t="s">
        <v>37</v>
      </c>
      <c r="K752" t="s">
        <v>12</v>
      </c>
      <c r="L752">
        <v>184</v>
      </c>
      <c r="M752" t="str">
        <f t="shared" si="22"/>
        <v>High</v>
      </c>
      <c r="N752" t="str">
        <f t="shared" si="23"/>
        <v>Average</v>
      </c>
    </row>
    <row r="753" spans="1:14">
      <c r="A753" t="s">
        <v>12</v>
      </c>
      <c r="B753">
        <v>2009</v>
      </c>
      <c r="C753" t="s">
        <v>1819</v>
      </c>
      <c r="D753" t="s">
        <v>14</v>
      </c>
      <c r="E753" t="s">
        <v>1820</v>
      </c>
      <c r="F753" t="s">
        <v>42</v>
      </c>
      <c r="G753">
        <v>48.76</v>
      </c>
      <c r="H753">
        <v>70</v>
      </c>
      <c r="I753" t="s">
        <v>29</v>
      </c>
      <c r="J753" t="s">
        <v>24</v>
      </c>
      <c r="K753" t="s">
        <v>1821</v>
      </c>
      <c r="L753">
        <v>301</v>
      </c>
      <c r="M753" t="str">
        <f t="shared" si="22"/>
        <v>High</v>
      </c>
      <c r="N753" t="str">
        <f t="shared" si="23"/>
        <v>Average</v>
      </c>
    </row>
    <row r="754" spans="1:14">
      <c r="A754" t="s">
        <v>68</v>
      </c>
      <c r="B754">
        <v>2009</v>
      </c>
      <c r="C754" t="s">
        <v>1822</v>
      </c>
      <c r="D754" t="s">
        <v>33</v>
      </c>
      <c r="E754" t="s">
        <v>1823</v>
      </c>
      <c r="F754" t="s">
        <v>35</v>
      </c>
      <c r="G754">
        <v>31.18</v>
      </c>
      <c r="H754">
        <v>81</v>
      </c>
      <c r="I754" t="s">
        <v>17</v>
      </c>
      <c r="J754" t="s">
        <v>18</v>
      </c>
      <c r="K754" t="s">
        <v>560</v>
      </c>
      <c r="L754">
        <v>34</v>
      </c>
      <c r="M754" t="str">
        <f t="shared" si="22"/>
        <v>Medium</v>
      </c>
      <c r="N754" t="str">
        <f t="shared" si="23"/>
        <v>Good</v>
      </c>
    </row>
    <row r="755" spans="1:14">
      <c r="A755" t="s">
        <v>12</v>
      </c>
      <c r="B755">
        <v>2019</v>
      </c>
      <c r="C755" t="s">
        <v>1824</v>
      </c>
      <c r="D755" t="s">
        <v>33</v>
      </c>
      <c r="E755" t="s">
        <v>1825</v>
      </c>
      <c r="F755" t="s">
        <v>46</v>
      </c>
      <c r="G755">
        <v>19.78</v>
      </c>
      <c r="H755">
        <v>82</v>
      </c>
      <c r="I755" t="s">
        <v>17</v>
      </c>
      <c r="J755" t="s">
        <v>37</v>
      </c>
      <c r="K755" t="s">
        <v>1826</v>
      </c>
      <c r="L755">
        <v>12</v>
      </c>
      <c r="M755" t="str">
        <f t="shared" si="22"/>
        <v>Medium</v>
      </c>
      <c r="N755" t="str">
        <f t="shared" si="23"/>
        <v>Good</v>
      </c>
    </row>
    <row r="756" spans="1:14">
      <c r="A756" t="s">
        <v>26</v>
      </c>
      <c r="B756">
        <v>2000</v>
      </c>
      <c r="C756" t="s">
        <v>1827</v>
      </c>
      <c r="D756" t="s">
        <v>14</v>
      </c>
      <c r="E756" t="s">
        <v>1828</v>
      </c>
      <c r="F756" t="s">
        <v>57</v>
      </c>
      <c r="G756">
        <v>48.38</v>
      </c>
      <c r="H756">
        <v>94</v>
      </c>
      <c r="I756" t="s">
        <v>29</v>
      </c>
      <c r="J756" t="s">
        <v>18</v>
      </c>
      <c r="K756" t="s">
        <v>201</v>
      </c>
      <c r="L756">
        <v>189</v>
      </c>
      <c r="M756" t="str">
        <f t="shared" si="22"/>
        <v>High</v>
      </c>
      <c r="N756" t="str">
        <f t="shared" si="23"/>
        <v>Excellent</v>
      </c>
    </row>
    <row r="757" spans="1:14">
      <c r="A757" t="s">
        <v>31</v>
      </c>
      <c r="B757">
        <v>2020</v>
      </c>
      <c r="C757" t="s">
        <v>1829</v>
      </c>
      <c r="D757" t="s">
        <v>14</v>
      </c>
      <c r="E757" t="s">
        <v>1830</v>
      </c>
      <c r="F757" t="s">
        <v>46</v>
      </c>
      <c r="G757">
        <v>15.15</v>
      </c>
      <c r="H757">
        <v>55</v>
      </c>
      <c r="I757" t="s">
        <v>36</v>
      </c>
      <c r="J757" t="s">
        <v>37</v>
      </c>
      <c r="K757" t="s">
        <v>320</v>
      </c>
      <c r="L757">
        <v>170</v>
      </c>
      <c r="M757" t="str">
        <f t="shared" si="22"/>
        <v>Medium</v>
      </c>
      <c r="N757" t="str">
        <f t="shared" si="23"/>
        <v>Average</v>
      </c>
    </row>
    <row r="758" spans="1:14">
      <c r="A758" t="s">
        <v>20</v>
      </c>
      <c r="B758">
        <v>2003</v>
      </c>
      <c r="C758" t="s">
        <v>1831</v>
      </c>
      <c r="D758" t="s">
        <v>14</v>
      </c>
      <c r="E758" t="s">
        <v>1832</v>
      </c>
      <c r="F758" t="s">
        <v>42</v>
      </c>
      <c r="G758">
        <v>6.82</v>
      </c>
      <c r="H758">
        <v>65</v>
      </c>
      <c r="I758" t="s">
        <v>36</v>
      </c>
      <c r="J758" t="s">
        <v>18</v>
      </c>
      <c r="K758" t="s">
        <v>659</v>
      </c>
      <c r="L758">
        <v>363</v>
      </c>
      <c r="M758" t="str">
        <f t="shared" si="22"/>
        <v>Low</v>
      </c>
      <c r="N758" t="str">
        <f t="shared" si="23"/>
        <v>Average</v>
      </c>
    </row>
    <row r="759" spans="1:14">
      <c r="A759" t="s">
        <v>65</v>
      </c>
      <c r="B759">
        <v>2014</v>
      </c>
      <c r="C759" t="s">
        <v>1833</v>
      </c>
      <c r="D759" t="s">
        <v>14</v>
      </c>
      <c r="E759" t="s">
        <v>1834</v>
      </c>
      <c r="F759" t="s">
        <v>46</v>
      </c>
      <c r="G759">
        <v>49.48</v>
      </c>
      <c r="H759">
        <v>84</v>
      </c>
      <c r="I759" t="s">
        <v>61</v>
      </c>
      <c r="J759" t="s">
        <v>37</v>
      </c>
      <c r="K759" t="s">
        <v>1835</v>
      </c>
      <c r="L759">
        <v>1</v>
      </c>
      <c r="M759" t="str">
        <f t="shared" si="22"/>
        <v>High</v>
      </c>
      <c r="N759" t="str">
        <f t="shared" si="23"/>
        <v>Good</v>
      </c>
    </row>
    <row r="760" spans="1:14">
      <c r="A760" t="s">
        <v>39</v>
      </c>
      <c r="B760">
        <v>2010</v>
      </c>
      <c r="C760" t="s">
        <v>1836</v>
      </c>
      <c r="D760" t="s">
        <v>33</v>
      </c>
      <c r="E760" t="s">
        <v>1837</v>
      </c>
      <c r="F760" t="s">
        <v>42</v>
      </c>
      <c r="G760">
        <v>5.77</v>
      </c>
      <c r="H760">
        <v>50</v>
      </c>
      <c r="I760" t="s">
        <v>29</v>
      </c>
      <c r="J760" t="s">
        <v>37</v>
      </c>
      <c r="K760" t="s">
        <v>26</v>
      </c>
      <c r="L760">
        <v>145</v>
      </c>
      <c r="M760" t="str">
        <f t="shared" si="22"/>
        <v>Low</v>
      </c>
      <c r="N760" t="str">
        <f t="shared" si="23"/>
        <v>Average</v>
      </c>
    </row>
    <row r="761" spans="1:14">
      <c r="A761" t="s">
        <v>38</v>
      </c>
      <c r="B761">
        <v>2019</v>
      </c>
      <c r="C761" t="s">
        <v>1838</v>
      </c>
      <c r="D761" t="s">
        <v>33</v>
      </c>
      <c r="E761" t="s">
        <v>1839</v>
      </c>
      <c r="F761" t="s">
        <v>16</v>
      </c>
      <c r="G761">
        <v>38.49</v>
      </c>
      <c r="H761">
        <v>77</v>
      </c>
      <c r="I761" t="s">
        <v>29</v>
      </c>
      <c r="J761" t="s">
        <v>24</v>
      </c>
      <c r="K761" t="s">
        <v>38</v>
      </c>
      <c r="L761">
        <v>147</v>
      </c>
      <c r="M761" t="str">
        <f t="shared" si="22"/>
        <v>High</v>
      </c>
      <c r="N761" t="str">
        <f t="shared" si="23"/>
        <v>Good</v>
      </c>
    </row>
    <row r="762" spans="1:14">
      <c r="A762" t="s">
        <v>20</v>
      </c>
      <c r="B762">
        <v>2011</v>
      </c>
      <c r="C762" t="s">
        <v>1840</v>
      </c>
      <c r="D762" t="s">
        <v>14</v>
      </c>
      <c r="E762" t="s">
        <v>1841</v>
      </c>
      <c r="F762" t="s">
        <v>46</v>
      </c>
      <c r="G762">
        <v>27.97</v>
      </c>
      <c r="H762">
        <v>74</v>
      </c>
      <c r="I762" t="s">
        <v>36</v>
      </c>
      <c r="J762" t="s">
        <v>24</v>
      </c>
      <c r="K762" t="s">
        <v>1032</v>
      </c>
      <c r="L762">
        <v>156</v>
      </c>
      <c r="M762" t="str">
        <f t="shared" si="22"/>
        <v>Medium</v>
      </c>
      <c r="N762" t="str">
        <f t="shared" si="23"/>
        <v>Average</v>
      </c>
    </row>
    <row r="763" spans="1:14">
      <c r="A763" t="s">
        <v>47</v>
      </c>
      <c r="B763">
        <v>2000</v>
      </c>
      <c r="C763" t="s">
        <v>1842</v>
      </c>
      <c r="D763" t="s">
        <v>33</v>
      </c>
      <c r="E763" t="s">
        <v>1186</v>
      </c>
      <c r="F763" t="s">
        <v>35</v>
      </c>
      <c r="G763">
        <v>2.62</v>
      </c>
      <c r="H763">
        <v>90</v>
      </c>
      <c r="I763" t="s">
        <v>17</v>
      </c>
      <c r="J763" t="s">
        <v>18</v>
      </c>
      <c r="K763" t="s">
        <v>39</v>
      </c>
      <c r="L763">
        <v>209</v>
      </c>
      <c r="M763" t="str">
        <f t="shared" si="22"/>
        <v>Low</v>
      </c>
      <c r="N763" t="str">
        <f t="shared" si="23"/>
        <v>Excellent</v>
      </c>
    </row>
    <row r="764" spans="1:14">
      <c r="A764" t="s">
        <v>12</v>
      </c>
      <c r="B764">
        <v>2005</v>
      </c>
      <c r="C764" t="s">
        <v>1843</v>
      </c>
      <c r="D764" t="s">
        <v>33</v>
      </c>
      <c r="E764" t="s">
        <v>1844</v>
      </c>
      <c r="F764" t="s">
        <v>42</v>
      </c>
      <c r="G764">
        <v>41.56</v>
      </c>
      <c r="H764">
        <v>53</v>
      </c>
      <c r="I764" t="s">
        <v>29</v>
      </c>
      <c r="J764" t="s">
        <v>18</v>
      </c>
      <c r="K764" t="s">
        <v>1585</v>
      </c>
      <c r="L764">
        <v>157</v>
      </c>
      <c r="M764" t="str">
        <f t="shared" si="22"/>
        <v>High</v>
      </c>
      <c r="N764" t="str">
        <f t="shared" si="23"/>
        <v>Average</v>
      </c>
    </row>
    <row r="765" spans="1:14">
      <c r="A765" t="s">
        <v>39</v>
      </c>
      <c r="B765">
        <v>2009</v>
      </c>
      <c r="C765" t="s">
        <v>1845</v>
      </c>
      <c r="D765" t="s">
        <v>14</v>
      </c>
      <c r="E765" t="s">
        <v>1846</v>
      </c>
      <c r="F765" t="s">
        <v>46</v>
      </c>
      <c r="G765">
        <v>33.21</v>
      </c>
      <c r="H765">
        <v>94</v>
      </c>
      <c r="I765" t="s">
        <v>36</v>
      </c>
      <c r="J765" t="s">
        <v>18</v>
      </c>
      <c r="K765" t="s">
        <v>47</v>
      </c>
      <c r="L765">
        <v>282</v>
      </c>
      <c r="M765" t="str">
        <f t="shared" si="22"/>
        <v>Medium</v>
      </c>
      <c r="N765" t="str">
        <f t="shared" si="23"/>
        <v>Excellent</v>
      </c>
    </row>
    <row r="766" spans="1:14">
      <c r="A766" t="s">
        <v>31</v>
      </c>
      <c r="B766">
        <v>2021</v>
      </c>
      <c r="C766" t="s">
        <v>1847</v>
      </c>
      <c r="D766" t="s">
        <v>14</v>
      </c>
      <c r="E766" t="s">
        <v>1848</v>
      </c>
      <c r="F766" t="s">
        <v>46</v>
      </c>
      <c r="G766">
        <v>42.42</v>
      </c>
      <c r="H766">
        <v>84</v>
      </c>
      <c r="I766" t="s">
        <v>17</v>
      </c>
      <c r="J766" t="s">
        <v>37</v>
      </c>
      <c r="K766" t="s">
        <v>47</v>
      </c>
      <c r="L766">
        <v>215</v>
      </c>
      <c r="M766" t="str">
        <f t="shared" si="22"/>
        <v>High</v>
      </c>
      <c r="N766" t="str">
        <f t="shared" si="23"/>
        <v>Good</v>
      </c>
    </row>
    <row r="767" spans="1:14">
      <c r="A767" t="s">
        <v>68</v>
      </c>
      <c r="B767">
        <v>2019</v>
      </c>
      <c r="C767" t="s">
        <v>1849</v>
      </c>
      <c r="D767" t="s">
        <v>14</v>
      </c>
      <c r="E767" t="s">
        <v>1850</v>
      </c>
      <c r="F767" t="s">
        <v>42</v>
      </c>
      <c r="G767">
        <v>23.09</v>
      </c>
      <c r="H767">
        <v>56</v>
      </c>
      <c r="I767" t="s">
        <v>36</v>
      </c>
      <c r="J767" t="s">
        <v>18</v>
      </c>
      <c r="K767" t="s">
        <v>65</v>
      </c>
      <c r="L767">
        <v>248</v>
      </c>
      <c r="M767" t="str">
        <f t="shared" si="22"/>
        <v>Medium</v>
      </c>
      <c r="N767" t="str">
        <f t="shared" si="23"/>
        <v>Average</v>
      </c>
    </row>
    <row r="768" spans="1:14">
      <c r="A768" t="s">
        <v>39</v>
      </c>
      <c r="B768">
        <v>2019</v>
      </c>
      <c r="C768" t="s">
        <v>1851</v>
      </c>
      <c r="D768" t="s">
        <v>33</v>
      </c>
      <c r="E768" t="s">
        <v>1852</v>
      </c>
      <c r="F768" t="s">
        <v>35</v>
      </c>
      <c r="G768">
        <v>32.229999999999997</v>
      </c>
      <c r="H768">
        <v>54</v>
      </c>
      <c r="I768" t="s">
        <v>61</v>
      </c>
      <c r="J768" t="s">
        <v>18</v>
      </c>
      <c r="K768" t="s">
        <v>1853</v>
      </c>
      <c r="L768">
        <v>1</v>
      </c>
      <c r="M768" t="str">
        <f t="shared" si="22"/>
        <v>Medium</v>
      </c>
      <c r="N768" t="str">
        <f t="shared" si="23"/>
        <v>Average</v>
      </c>
    </row>
    <row r="769" spans="1:14">
      <c r="A769" t="s">
        <v>68</v>
      </c>
      <c r="B769">
        <v>2006</v>
      </c>
      <c r="C769" t="s">
        <v>1854</v>
      </c>
      <c r="D769" t="s">
        <v>33</v>
      </c>
      <c r="E769" t="s">
        <v>1855</v>
      </c>
      <c r="F769" t="s">
        <v>57</v>
      </c>
      <c r="G769">
        <v>16.940000000000001</v>
      </c>
      <c r="H769">
        <v>68</v>
      </c>
      <c r="I769" t="s">
        <v>36</v>
      </c>
      <c r="J769" t="s">
        <v>37</v>
      </c>
      <c r="K769" t="s">
        <v>926</v>
      </c>
      <c r="L769">
        <v>131</v>
      </c>
      <c r="M769" t="str">
        <f t="shared" si="22"/>
        <v>Medium</v>
      </c>
      <c r="N769" t="str">
        <f t="shared" si="23"/>
        <v>Average</v>
      </c>
    </row>
    <row r="770" spans="1:14">
      <c r="A770" t="s">
        <v>38</v>
      </c>
      <c r="B770">
        <v>2019</v>
      </c>
      <c r="C770" t="s">
        <v>1856</v>
      </c>
      <c r="D770" t="s">
        <v>14</v>
      </c>
      <c r="E770" t="s">
        <v>1857</v>
      </c>
      <c r="F770" t="s">
        <v>46</v>
      </c>
      <c r="G770">
        <v>11.69</v>
      </c>
      <c r="H770">
        <v>69</v>
      </c>
      <c r="I770" t="s">
        <v>29</v>
      </c>
      <c r="J770" t="s">
        <v>24</v>
      </c>
      <c r="K770" t="s">
        <v>12</v>
      </c>
      <c r="L770">
        <v>262</v>
      </c>
      <c r="M770" t="str">
        <f t="shared" si="22"/>
        <v>Low</v>
      </c>
      <c r="N770" t="str">
        <f t="shared" si="23"/>
        <v>Average</v>
      </c>
    </row>
    <row r="771" spans="1:14">
      <c r="A771" t="s">
        <v>38</v>
      </c>
      <c r="B771">
        <v>2020</v>
      </c>
      <c r="C771" t="s">
        <v>1858</v>
      </c>
      <c r="D771" t="s">
        <v>14</v>
      </c>
      <c r="E771" t="s">
        <v>1859</v>
      </c>
      <c r="F771" t="s">
        <v>16</v>
      </c>
      <c r="G771">
        <v>36.299999999999997</v>
      </c>
      <c r="H771">
        <v>73</v>
      </c>
      <c r="I771" t="s">
        <v>29</v>
      </c>
      <c r="J771" t="s">
        <v>18</v>
      </c>
      <c r="K771" t="s">
        <v>12</v>
      </c>
      <c r="L771">
        <v>337</v>
      </c>
      <c r="M771" t="str">
        <f t="shared" ref="M771:M834" si="24">IF(G771&lt;15,"Low",IF(G771&lt;35,"Medium","High"))</f>
        <v>High</v>
      </c>
      <c r="N771" t="str">
        <f t="shared" ref="N771:N834" si="25">IF(H771&gt;=90,"Excellent",IF(H771&gt;=75,"Good","Average"))</f>
        <v>Average</v>
      </c>
    </row>
    <row r="772" spans="1:14">
      <c r="A772" t="s">
        <v>12</v>
      </c>
      <c r="B772">
        <v>2018</v>
      </c>
      <c r="C772" t="s">
        <v>1860</v>
      </c>
      <c r="D772" t="s">
        <v>33</v>
      </c>
      <c r="E772" t="s">
        <v>1861</v>
      </c>
      <c r="F772" t="s">
        <v>57</v>
      </c>
      <c r="G772">
        <v>31.64</v>
      </c>
      <c r="H772">
        <v>90</v>
      </c>
      <c r="I772" t="s">
        <v>36</v>
      </c>
      <c r="J772" t="s">
        <v>37</v>
      </c>
      <c r="K772" t="s">
        <v>1172</v>
      </c>
      <c r="L772">
        <v>260</v>
      </c>
      <c r="M772" t="str">
        <f t="shared" si="24"/>
        <v>Medium</v>
      </c>
      <c r="N772" t="str">
        <f t="shared" si="25"/>
        <v>Excellent</v>
      </c>
    </row>
    <row r="773" spans="1:14">
      <c r="A773" t="s">
        <v>26</v>
      </c>
      <c r="B773">
        <v>2002</v>
      </c>
      <c r="C773" t="s">
        <v>1862</v>
      </c>
      <c r="D773" t="s">
        <v>14</v>
      </c>
      <c r="E773" t="s">
        <v>1863</v>
      </c>
      <c r="F773" t="s">
        <v>46</v>
      </c>
      <c r="G773">
        <v>29.51</v>
      </c>
      <c r="H773">
        <v>64</v>
      </c>
      <c r="I773" t="s">
        <v>61</v>
      </c>
      <c r="J773" t="s">
        <v>24</v>
      </c>
      <c r="K773" t="s">
        <v>259</v>
      </c>
      <c r="L773">
        <v>302</v>
      </c>
      <c r="M773" t="str">
        <f t="shared" si="24"/>
        <v>Medium</v>
      </c>
      <c r="N773" t="str">
        <f t="shared" si="25"/>
        <v>Average</v>
      </c>
    </row>
    <row r="774" spans="1:14">
      <c r="A774" t="s">
        <v>68</v>
      </c>
      <c r="B774">
        <v>2005</v>
      </c>
      <c r="C774" t="s">
        <v>1864</v>
      </c>
      <c r="D774" t="s">
        <v>14</v>
      </c>
      <c r="E774" t="s">
        <v>1865</v>
      </c>
      <c r="F774" t="s">
        <v>57</v>
      </c>
      <c r="G774">
        <v>7.85</v>
      </c>
      <c r="H774">
        <v>67</v>
      </c>
      <c r="I774" t="s">
        <v>23</v>
      </c>
      <c r="J774" t="s">
        <v>24</v>
      </c>
      <c r="K774" t="s">
        <v>31</v>
      </c>
      <c r="L774">
        <v>1</v>
      </c>
      <c r="M774" t="str">
        <f t="shared" si="24"/>
        <v>Low</v>
      </c>
      <c r="N774" t="str">
        <f t="shared" si="25"/>
        <v>Average</v>
      </c>
    </row>
    <row r="775" spans="1:14">
      <c r="A775" t="s">
        <v>12</v>
      </c>
      <c r="B775">
        <v>2003</v>
      </c>
      <c r="C775" t="s">
        <v>1866</v>
      </c>
      <c r="D775" t="s">
        <v>14</v>
      </c>
      <c r="E775" t="s">
        <v>1867</v>
      </c>
      <c r="F775" t="s">
        <v>35</v>
      </c>
      <c r="G775">
        <v>16.850000000000001</v>
      </c>
      <c r="H775">
        <v>77</v>
      </c>
      <c r="I775" t="s">
        <v>23</v>
      </c>
      <c r="J775" t="s">
        <v>18</v>
      </c>
      <c r="K775" t="s">
        <v>48</v>
      </c>
      <c r="L775">
        <v>234</v>
      </c>
      <c r="M775" t="str">
        <f t="shared" si="24"/>
        <v>Medium</v>
      </c>
      <c r="N775" t="str">
        <f t="shared" si="25"/>
        <v>Good</v>
      </c>
    </row>
    <row r="776" spans="1:14">
      <c r="A776" t="s">
        <v>12</v>
      </c>
      <c r="B776">
        <v>2018</v>
      </c>
      <c r="C776" t="s">
        <v>1868</v>
      </c>
      <c r="D776" t="s">
        <v>33</v>
      </c>
      <c r="E776" t="s">
        <v>1869</v>
      </c>
      <c r="F776" t="s">
        <v>57</v>
      </c>
      <c r="G776">
        <v>37.81</v>
      </c>
      <c r="H776">
        <v>68</v>
      </c>
      <c r="I776" t="s">
        <v>29</v>
      </c>
      <c r="J776" t="s">
        <v>37</v>
      </c>
      <c r="K776" t="s">
        <v>1870</v>
      </c>
      <c r="L776">
        <v>293</v>
      </c>
      <c r="M776" t="str">
        <f t="shared" si="24"/>
        <v>High</v>
      </c>
      <c r="N776" t="str">
        <f t="shared" si="25"/>
        <v>Average</v>
      </c>
    </row>
    <row r="777" spans="1:14">
      <c r="A777" t="s">
        <v>31</v>
      </c>
      <c r="B777">
        <v>2015</v>
      </c>
      <c r="C777" t="s">
        <v>1871</v>
      </c>
      <c r="D777" t="s">
        <v>14</v>
      </c>
      <c r="E777" t="s">
        <v>1872</v>
      </c>
      <c r="F777" t="s">
        <v>57</v>
      </c>
      <c r="G777">
        <v>20.59</v>
      </c>
      <c r="H777">
        <v>73</v>
      </c>
      <c r="I777" t="s">
        <v>17</v>
      </c>
      <c r="J777" t="s">
        <v>18</v>
      </c>
      <c r="K777" t="s">
        <v>1873</v>
      </c>
      <c r="L777">
        <v>180</v>
      </c>
      <c r="M777" t="str">
        <f t="shared" si="24"/>
        <v>Medium</v>
      </c>
      <c r="N777" t="str">
        <f t="shared" si="25"/>
        <v>Average</v>
      </c>
    </row>
    <row r="778" spans="1:14">
      <c r="A778" t="s">
        <v>26</v>
      </c>
      <c r="B778">
        <v>2018</v>
      </c>
      <c r="C778" t="s">
        <v>1874</v>
      </c>
      <c r="D778" t="s">
        <v>14</v>
      </c>
      <c r="E778" t="s">
        <v>1875</v>
      </c>
      <c r="F778" t="s">
        <v>42</v>
      </c>
      <c r="G778">
        <v>42.07</v>
      </c>
      <c r="H778">
        <v>98</v>
      </c>
      <c r="I778" t="s">
        <v>61</v>
      </c>
      <c r="J778" t="s">
        <v>18</v>
      </c>
      <c r="K778" t="s">
        <v>1189</v>
      </c>
      <c r="L778">
        <v>18</v>
      </c>
      <c r="M778" t="str">
        <f t="shared" si="24"/>
        <v>High</v>
      </c>
      <c r="N778" t="str">
        <f t="shared" si="25"/>
        <v>Excellent</v>
      </c>
    </row>
    <row r="779" spans="1:14">
      <c r="A779" t="s">
        <v>38</v>
      </c>
      <c r="B779">
        <v>2017</v>
      </c>
      <c r="C779" t="s">
        <v>1876</v>
      </c>
      <c r="D779" t="s">
        <v>14</v>
      </c>
      <c r="E779" t="s">
        <v>1877</v>
      </c>
      <c r="F779" t="s">
        <v>46</v>
      </c>
      <c r="G779">
        <v>2.0699999999999998</v>
      </c>
      <c r="H779">
        <v>81</v>
      </c>
      <c r="I779" t="s">
        <v>17</v>
      </c>
      <c r="J779" t="s">
        <v>24</v>
      </c>
      <c r="K779" t="s">
        <v>454</v>
      </c>
      <c r="L779">
        <v>175</v>
      </c>
      <c r="M779" t="str">
        <f t="shared" si="24"/>
        <v>Low</v>
      </c>
      <c r="N779" t="str">
        <f t="shared" si="25"/>
        <v>Good</v>
      </c>
    </row>
    <row r="780" spans="1:14">
      <c r="A780" t="s">
        <v>26</v>
      </c>
      <c r="B780">
        <v>2012</v>
      </c>
      <c r="C780" t="s">
        <v>1878</v>
      </c>
      <c r="D780" t="s">
        <v>14</v>
      </c>
      <c r="E780" t="s">
        <v>1879</v>
      </c>
      <c r="F780" t="s">
        <v>16</v>
      </c>
      <c r="G780">
        <v>24.71</v>
      </c>
      <c r="H780">
        <v>79</v>
      </c>
      <c r="I780" t="s">
        <v>23</v>
      </c>
      <c r="J780" t="s">
        <v>24</v>
      </c>
      <c r="K780" t="s">
        <v>505</v>
      </c>
      <c r="L780">
        <v>196</v>
      </c>
      <c r="M780" t="str">
        <f t="shared" si="24"/>
        <v>Medium</v>
      </c>
      <c r="N780" t="str">
        <f t="shared" si="25"/>
        <v>Good</v>
      </c>
    </row>
    <row r="781" spans="1:14">
      <c r="A781" t="s">
        <v>47</v>
      </c>
      <c r="B781">
        <v>2019</v>
      </c>
      <c r="C781" t="s">
        <v>1880</v>
      </c>
      <c r="D781" t="s">
        <v>14</v>
      </c>
      <c r="E781" t="s">
        <v>1881</v>
      </c>
      <c r="F781" t="s">
        <v>35</v>
      </c>
      <c r="G781">
        <v>4.2300000000000004</v>
      </c>
      <c r="H781">
        <v>74</v>
      </c>
      <c r="I781" t="s">
        <v>61</v>
      </c>
      <c r="J781" t="s">
        <v>24</v>
      </c>
      <c r="K781" t="s">
        <v>433</v>
      </c>
      <c r="L781">
        <v>54</v>
      </c>
      <c r="M781" t="str">
        <f t="shared" si="24"/>
        <v>Low</v>
      </c>
      <c r="N781" t="str">
        <f t="shared" si="25"/>
        <v>Average</v>
      </c>
    </row>
    <row r="782" spans="1:14">
      <c r="A782" t="s">
        <v>38</v>
      </c>
      <c r="B782">
        <v>2001</v>
      </c>
      <c r="C782" t="s">
        <v>1882</v>
      </c>
      <c r="D782" t="s">
        <v>33</v>
      </c>
      <c r="E782" t="s">
        <v>1883</v>
      </c>
      <c r="F782" t="s">
        <v>42</v>
      </c>
      <c r="G782">
        <v>15.45</v>
      </c>
      <c r="H782">
        <v>87</v>
      </c>
      <c r="I782" t="s">
        <v>17</v>
      </c>
      <c r="J782" t="s">
        <v>18</v>
      </c>
      <c r="K782" t="s">
        <v>1884</v>
      </c>
      <c r="L782">
        <v>146</v>
      </c>
      <c r="M782" t="str">
        <f t="shared" si="24"/>
        <v>Medium</v>
      </c>
      <c r="N782" t="str">
        <f t="shared" si="25"/>
        <v>Good</v>
      </c>
    </row>
    <row r="783" spans="1:14">
      <c r="A783" t="s">
        <v>31</v>
      </c>
      <c r="B783">
        <v>2002</v>
      </c>
      <c r="C783" t="s">
        <v>1885</v>
      </c>
      <c r="D783" t="s">
        <v>14</v>
      </c>
      <c r="E783" t="s">
        <v>1886</v>
      </c>
      <c r="F783" t="s">
        <v>42</v>
      </c>
      <c r="G783">
        <v>18.72</v>
      </c>
      <c r="H783">
        <v>82</v>
      </c>
      <c r="I783" t="s">
        <v>36</v>
      </c>
      <c r="J783" t="s">
        <v>37</v>
      </c>
      <c r="K783" t="s">
        <v>20</v>
      </c>
      <c r="L783">
        <v>266</v>
      </c>
      <c r="M783" t="str">
        <f t="shared" si="24"/>
        <v>Medium</v>
      </c>
      <c r="N783" t="str">
        <f t="shared" si="25"/>
        <v>Good</v>
      </c>
    </row>
    <row r="784" spans="1:14">
      <c r="A784" t="s">
        <v>65</v>
      </c>
      <c r="B784">
        <v>2019</v>
      </c>
      <c r="C784" t="s">
        <v>1887</v>
      </c>
      <c r="D784" t="s">
        <v>33</v>
      </c>
      <c r="E784" t="s">
        <v>1888</v>
      </c>
      <c r="F784" t="s">
        <v>16</v>
      </c>
      <c r="G784">
        <v>27.17</v>
      </c>
      <c r="H784">
        <v>97</v>
      </c>
      <c r="I784" t="s">
        <v>61</v>
      </c>
      <c r="J784" t="s">
        <v>18</v>
      </c>
      <c r="K784" t="s">
        <v>323</v>
      </c>
      <c r="L784">
        <v>137</v>
      </c>
      <c r="M784" t="str">
        <f t="shared" si="24"/>
        <v>Medium</v>
      </c>
      <c r="N784" t="str">
        <f t="shared" si="25"/>
        <v>Excellent</v>
      </c>
    </row>
    <row r="785" spans="1:14">
      <c r="A785" t="s">
        <v>65</v>
      </c>
      <c r="B785">
        <v>2012</v>
      </c>
      <c r="C785" t="s">
        <v>1889</v>
      </c>
      <c r="D785" t="s">
        <v>33</v>
      </c>
      <c r="E785" t="s">
        <v>1890</v>
      </c>
      <c r="F785" t="s">
        <v>16</v>
      </c>
      <c r="G785">
        <v>27.86</v>
      </c>
      <c r="H785">
        <v>65</v>
      </c>
      <c r="I785" t="s">
        <v>29</v>
      </c>
      <c r="J785" t="s">
        <v>37</v>
      </c>
      <c r="K785" t="s">
        <v>173</v>
      </c>
      <c r="L785">
        <v>351</v>
      </c>
      <c r="M785" t="str">
        <f t="shared" si="24"/>
        <v>Medium</v>
      </c>
      <c r="N785" t="str">
        <f t="shared" si="25"/>
        <v>Average</v>
      </c>
    </row>
    <row r="786" spans="1:14">
      <c r="A786" t="s">
        <v>12</v>
      </c>
      <c r="B786">
        <v>2011</v>
      </c>
      <c r="C786" t="s">
        <v>1891</v>
      </c>
      <c r="D786" t="s">
        <v>14</v>
      </c>
      <c r="E786" t="s">
        <v>1892</v>
      </c>
      <c r="F786" t="s">
        <v>46</v>
      </c>
      <c r="G786">
        <v>43.81</v>
      </c>
      <c r="H786">
        <v>64</v>
      </c>
      <c r="I786" t="s">
        <v>61</v>
      </c>
      <c r="J786" t="s">
        <v>24</v>
      </c>
      <c r="K786" t="s">
        <v>330</v>
      </c>
      <c r="L786">
        <v>155</v>
      </c>
      <c r="M786" t="str">
        <f t="shared" si="24"/>
        <v>High</v>
      </c>
      <c r="N786" t="str">
        <f t="shared" si="25"/>
        <v>Average</v>
      </c>
    </row>
    <row r="787" spans="1:14">
      <c r="A787" t="s">
        <v>26</v>
      </c>
      <c r="B787">
        <v>2015</v>
      </c>
      <c r="C787" t="s">
        <v>1893</v>
      </c>
      <c r="D787" t="s">
        <v>14</v>
      </c>
      <c r="E787" t="s">
        <v>1894</v>
      </c>
      <c r="F787" t="s">
        <v>57</v>
      </c>
      <c r="G787">
        <v>28.57</v>
      </c>
      <c r="H787">
        <v>61</v>
      </c>
      <c r="I787" t="s">
        <v>36</v>
      </c>
      <c r="J787" t="s">
        <v>24</v>
      </c>
      <c r="K787" t="s">
        <v>31</v>
      </c>
      <c r="L787">
        <v>175</v>
      </c>
      <c r="M787" t="str">
        <f t="shared" si="24"/>
        <v>Medium</v>
      </c>
      <c r="N787" t="str">
        <f t="shared" si="25"/>
        <v>Average</v>
      </c>
    </row>
    <row r="788" spans="1:14">
      <c r="A788" t="s">
        <v>65</v>
      </c>
      <c r="B788">
        <v>2004</v>
      </c>
      <c r="C788" t="s">
        <v>1895</v>
      </c>
      <c r="D788" t="s">
        <v>14</v>
      </c>
      <c r="E788" t="s">
        <v>1896</v>
      </c>
      <c r="F788" t="s">
        <v>16</v>
      </c>
      <c r="G788">
        <v>48.65</v>
      </c>
      <c r="H788">
        <v>94</v>
      </c>
      <c r="I788" t="s">
        <v>29</v>
      </c>
      <c r="J788" t="s">
        <v>24</v>
      </c>
      <c r="K788" t="s">
        <v>1853</v>
      </c>
      <c r="L788">
        <v>178</v>
      </c>
      <c r="M788" t="str">
        <f t="shared" si="24"/>
        <v>High</v>
      </c>
      <c r="N788" t="str">
        <f t="shared" si="25"/>
        <v>Excellent</v>
      </c>
    </row>
    <row r="789" spans="1:14">
      <c r="A789" t="s">
        <v>31</v>
      </c>
      <c r="B789">
        <v>2003</v>
      </c>
      <c r="C789" t="s">
        <v>1897</v>
      </c>
      <c r="D789" t="s">
        <v>33</v>
      </c>
      <c r="E789" t="s">
        <v>1896</v>
      </c>
      <c r="F789" t="s">
        <v>42</v>
      </c>
      <c r="G789">
        <v>45.73</v>
      </c>
      <c r="H789">
        <v>57</v>
      </c>
      <c r="I789" t="s">
        <v>36</v>
      </c>
      <c r="J789" t="s">
        <v>18</v>
      </c>
      <c r="K789" t="s">
        <v>31</v>
      </c>
      <c r="L789">
        <v>51</v>
      </c>
      <c r="M789" t="str">
        <f t="shared" si="24"/>
        <v>High</v>
      </c>
      <c r="N789" t="str">
        <f t="shared" si="25"/>
        <v>Average</v>
      </c>
    </row>
    <row r="790" spans="1:14">
      <c r="A790" t="s">
        <v>65</v>
      </c>
      <c r="B790">
        <v>2013</v>
      </c>
      <c r="C790" t="s">
        <v>1898</v>
      </c>
      <c r="D790" t="s">
        <v>14</v>
      </c>
      <c r="E790" t="s">
        <v>1899</v>
      </c>
      <c r="F790" t="s">
        <v>16</v>
      </c>
      <c r="G790">
        <v>13.04</v>
      </c>
      <c r="H790">
        <v>85</v>
      </c>
      <c r="I790" t="s">
        <v>17</v>
      </c>
      <c r="J790" t="s">
        <v>24</v>
      </c>
      <c r="K790" t="s">
        <v>1900</v>
      </c>
      <c r="L790">
        <v>177</v>
      </c>
      <c r="M790" t="str">
        <f t="shared" si="24"/>
        <v>Low</v>
      </c>
      <c r="N790" t="str">
        <f t="shared" si="25"/>
        <v>Good</v>
      </c>
    </row>
    <row r="791" spans="1:14">
      <c r="A791" t="s">
        <v>68</v>
      </c>
      <c r="B791">
        <v>2001</v>
      </c>
      <c r="C791" t="s">
        <v>1901</v>
      </c>
      <c r="D791" t="s">
        <v>33</v>
      </c>
      <c r="E791" t="s">
        <v>1902</v>
      </c>
      <c r="F791" t="s">
        <v>42</v>
      </c>
      <c r="G791">
        <v>40.14</v>
      </c>
      <c r="H791">
        <v>90</v>
      </c>
      <c r="I791" t="s">
        <v>23</v>
      </c>
      <c r="J791" t="s">
        <v>18</v>
      </c>
      <c r="K791" t="s">
        <v>1545</v>
      </c>
      <c r="L791">
        <v>119</v>
      </c>
      <c r="M791" t="str">
        <f t="shared" si="24"/>
        <v>High</v>
      </c>
      <c r="N791" t="str">
        <f t="shared" si="25"/>
        <v>Excellent</v>
      </c>
    </row>
    <row r="792" spans="1:14">
      <c r="A792" t="s">
        <v>65</v>
      </c>
      <c r="B792">
        <v>2011</v>
      </c>
      <c r="C792" t="s">
        <v>1903</v>
      </c>
      <c r="D792" t="s">
        <v>14</v>
      </c>
      <c r="E792" t="s">
        <v>1904</v>
      </c>
      <c r="F792" t="s">
        <v>42</v>
      </c>
      <c r="G792">
        <v>35.020000000000003</v>
      </c>
      <c r="H792">
        <v>76</v>
      </c>
      <c r="I792" t="s">
        <v>61</v>
      </c>
      <c r="J792" t="s">
        <v>18</v>
      </c>
      <c r="K792" t="s">
        <v>81</v>
      </c>
      <c r="L792">
        <v>181</v>
      </c>
      <c r="M792" t="str">
        <f t="shared" si="24"/>
        <v>High</v>
      </c>
      <c r="N792" t="str">
        <f t="shared" si="25"/>
        <v>Good</v>
      </c>
    </row>
    <row r="793" spans="1:14">
      <c r="A793" t="s">
        <v>39</v>
      </c>
      <c r="B793">
        <v>2015</v>
      </c>
      <c r="C793" t="s">
        <v>1905</v>
      </c>
      <c r="D793" t="s">
        <v>14</v>
      </c>
      <c r="E793" t="s">
        <v>1906</v>
      </c>
      <c r="F793" t="s">
        <v>16</v>
      </c>
      <c r="G793">
        <v>4.4000000000000004</v>
      </c>
      <c r="H793">
        <v>59</v>
      </c>
      <c r="I793" t="s">
        <v>23</v>
      </c>
      <c r="J793" t="s">
        <v>37</v>
      </c>
      <c r="K793" t="s">
        <v>65</v>
      </c>
      <c r="L793">
        <v>30</v>
      </c>
      <c r="M793" t="str">
        <f t="shared" si="24"/>
        <v>Low</v>
      </c>
      <c r="N793" t="str">
        <f t="shared" si="25"/>
        <v>Average</v>
      </c>
    </row>
    <row r="794" spans="1:14">
      <c r="A794" t="s">
        <v>65</v>
      </c>
      <c r="B794">
        <v>2011</v>
      </c>
      <c r="C794" t="s">
        <v>1907</v>
      </c>
      <c r="D794" t="s">
        <v>14</v>
      </c>
      <c r="E794" t="s">
        <v>1908</v>
      </c>
      <c r="F794" t="s">
        <v>16</v>
      </c>
      <c r="G794">
        <v>17.510000000000002</v>
      </c>
      <c r="H794">
        <v>65</v>
      </c>
      <c r="I794" t="s">
        <v>29</v>
      </c>
      <c r="J794" t="s">
        <v>24</v>
      </c>
      <c r="K794" t="s">
        <v>39</v>
      </c>
      <c r="L794">
        <v>328</v>
      </c>
      <c r="M794" t="str">
        <f t="shared" si="24"/>
        <v>Medium</v>
      </c>
      <c r="N794" t="str">
        <f t="shared" si="25"/>
        <v>Average</v>
      </c>
    </row>
    <row r="795" spans="1:14">
      <c r="A795" t="s">
        <v>26</v>
      </c>
      <c r="B795">
        <v>2024</v>
      </c>
      <c r="C795" t="s">
        <v>1909</v>
      </c>
      <c r="D795" t="s">
        <v>14</v>
      </c>
      <c r="E795" t="s">
        <v>1910</v>
      </c>
      <c r="F795" t="s">
        <v>57</v>
      </c>
      <c r="G795">
        <v>40.42</v>
      </c>
      <c r="H795">
        <v>71</v>
      </c>
      <c r="I795" t="s">
        <v>36</v>
      </c>
      <c r="J795" t="s">
        <v>37</v>
      </c>
      <c r="K795" t="s">
        <v>571</v>
      </c>
      <c r="L795">
        <v>346</v>
      </c>
      <c r="M795" t="str">
        <f t="shared" si="24"/>
        <v>High</v>
      </c>
      <c r="N795" t="str">
        <f t="shared" si="25"/>
        <v>Average</v>
      </c>
    </row>
    <row r="796" spans="1:14">
      <c r="A796" t="s">
        <v>48</v>
      </c>
      <c r="B796">
        <v>2013</v>
      </c>
      <c r="C796" t="s">
        <v>1911</v>
      </c>
      <c r="D796" t="s">
        <v>14</v>
      </c>
      <c r="E796" t="s">
        <v>1912</v>
      </c>
      <c r="F796" t="s">
        <v>42</v>
      </c>
      <c r="G796">
        <v>48.49</v>
      </c>
      <c r="H796">
        <v>59</v>
      </c>
      <c r="I796" t="s">
        <v>36</v>
      </c>
      <c r="J796" t="s">
        <v>24</v>
      </c>
      <c r="K796" t="s">
        <v>1470</v>
      </c>
      <c r="L796">
        <v>192</v>
      </c>
      <c r="M796" t="str">
        <f t="shared" si="24"/>
        <v>High</v>
      </c>
      <c r="N796" t="str">
        <f t="shared" si="25"/>
        <v>Average</v>
      </c>
    </row>
    <row r="797" spans="1:14">
      <c r="A797" t="s">
        <v>48</v>
      </c>
      <c r="B797">
        <v>2009</v>
      </c>
      <c r="C797" t="s">
        <v>1913</v>
      </c>
      <c r="D797" t="s">
        <v>33</v>
      </c>
      <c r="E797" t="s">
        <v>1914</v>
      </c>
      <c r="F797" t="s">
        <v>16</v>
      </c>
      <c r="G797">
        <v>13.76</v>
      </c>
      <c r="H797">
        <v>98</v>
      </c>
      <c r="I797" t="s">
        <v>36</v>
      </c>
      <c r="J797" t="s">
        <v>37</v>
      </c>
      <c r="K797" t="s">
        <v>26</v>
      </c>
      <c r="L797">
        <v>102</v>
      </c>
      <c r="M797" t="str">
        <f t="shared" si="24"/>
        <v>Low</v>
      </c>
      <c r="N797" t="str">
        <f t="shared" si="25"/>
        <v>Excellent</v>
      </c>
    </row>
    <row r="798" spans="1:14">
      <c r="A798" t="s">
        <v>68</v>
      </c>
      <c r="B798">
        <v>2008</v>
      </c>
      <c r="C798" t="s">
        <v>1915</v>
      </c>
      <c r="D798" t="s">
        <v>33</v>
      </c>
      <c r="E798" t="s">
        <v>1916</v>
      </c>
      <c r="F798" t="s">
        <v>42</v>
      </c>
      <c r="G798">
        <v>7.41</v>
      </c>
      <c r="H798">
        <v>56</v>
      </c>
      <c r="I798" t="s">
        <v>36</v>
      </c>
      <c r="J798" t="s">
        <v>37</v>
      </c>
      <c r="K798" t="s">
        <v>20</v>
      </c>
      <c r="L798">
        <v>199</v>
      </c>
      <c r="M798" t="str">
        <f t="shared" si="24"/>
        <v>Low</v>
      </c>
      <c r="N798" t="str">
        <f t="shared" si="25"/>
        <v>Average</v>
      </c>
    </row>
    <row r="799" spans="1:14">
      <c r="A799" t="s">
        <v>20</v>
      </c>
      <c r="B799">
        <v>2005</v>
      </c>
      <c r="C799" t="s">
        <v>1917</v>
      </c>
      <c r="D799" t="s">
        <v>14</v>
      </c>
      <c r="E799" t="s">
        <v>1918</v>
      </c>
      <c r="F799" t="s">
        <v>16</v>
      </c>
      <c r="G799">
        <v>25.47</v>
      </c>
      <c r="H799">
        <v>86</v>
      </c>
      <c r="I799" t="s">
        <v>36</v>
      </c>
      <c r="J799" t="s">
        <v>24</v>
      </c>
      <c r="K799" t="s">
        <v>956</v>
      </c>
      <c r="L799">
        <v>194</v>
      </c>
      <c r="M799" t="str">
        <f t="shared" si="24"/>
        <v>Medium</v>
      </c>
      <c r="N799" t="str">
        <f t="shared" si="25"/>
        <v>Good</v>
      </c>
    </row>
    <row r="800" spans="1:14">
      <c r="A800" t="s">
        <v>39</v>
      </c>
      <c r="B800">
        <v>2011</v>
      </c>
      <c r="C800" t="s">
        <v>1919</v>
      </c>
      <c r="D800" t="s">
        <v>33</v>
      </c>
      <c r="E800" t="s">
        <v>1920</v>
      </c>
      <c r="F800" t="s">
        <v>57</v>
      </c>
      <c r="G800">
        <v>3.48</v>
      </c>
      <c r="H800">
        <v>81</v>
      </c>
      <c r="I800" t="s">
        <v>36</v>
      </c>
      <c r="J800" t="s">
        <v>24</v>
      </c>
      <c r="K800" t="s">
        <v>38</v>
      </c>
      <c r="L800">
        <v>273</v>
      </c>
      <c r="M800" t="str">
        <f t="shared" si="24"/>
        <v>Low</v>
      </c>
      <c r="N800" t="str">
        <f t="shared" si="25"/>
        <v>Good</v>
      </c>
    </row>
    <row r="801" spans="1:14">
      <c r="A801" t="s">
        <v>47</v>
      </c>
      <c r="B801">
        <v>2021</v>
      </c>
      <c r="C801" t="s">
        <v>1921</v>
      </c>
      <c r="D801" t="s">
        <v>33</v>
      </c>
      <c r="E801" t="s">
        <v>1922</v>
      </c>
      <c r="F801" t="s">
        <v>42</v>
      </c>
      <c r="G801">
        <v>26.03</v>
      </c>
      <c r="H801">
        <v>94</v>
      </c>
      <c r="I801" t="s">
        <v>23</v>
      </c>
      <c r="J801" t="s">
        <v>37</v>
      </c>
      <c r="K801" t="s">
        <v>259</v>
      </c>
      <c r="L801">
        <v>47</v>
      </c>
      <c r="M801" t="str">
        <f t="shared" si="24"/>
        <v>Medium</v>
      </c>
      <c r="N801" t="str">
        <f t="shared" si="25"/>
        <v>Excellent</v>
      </c>
    </row>
    <row r="802" spans="1:14">
      <c r="A802" t="s">
        <v>26</v>
      </c>
      <c r="B802">
        <v>2000</v>
      </c>
      <c r="C802" t="s">
        <v>1923</v>
      </c>
      <c r="D802" t="s">
        <v>33</v>
      </c>
      <c r="E802" t="s">
        <v>1924</v>
      </c>
      <c r="F802" t="s">
        <v>35</v>
      </c>
      <c r="G802">
        <v>25.31</v>
      </c>
      <c r="H802">
        <v>61</v>
      </c>
      <c r="I802" t="s">
        <v>17</v>
      </c>
      <c r="J802" t="s">
        <v>37</v>
      </c>
      <c r="K802" t="s">
        <v>78</v>
      </c>
      <c r="L802">
        <v>251</v>
      </c>
      <c r="M802" t="str">
        <f t="shared" si="24"/>
        <v>Medium</v>
      </c>
      <c r="N802" t="str">
        <f t="shared" si="25"/>
        <v>Average</v>
      </c>
    </row>
    <row r="803" spans="1:14">
      <c r="A803" t="s">
        <v>38</v>
      </c>
      <c r="B803">
        <v>2011</v>
      </c>
      <c r="C803" t="s">
        <v>1925</v>
      </c>
      <c r="D803" t="s">
        <v>14</v>
      </c>
      <c r="E803" t="s">
        <v>1926</v>
      </c>
      <c r="F803" t="s">
        <v>35</v>
      </c>
      <c r="G803">
        <v>14.29</v>
      </c>
      <c r="H803">
        <v>68</v>
      </c>
      <c r="I803" t="s">
        <v>61</v>
      </c>
      <c r="J803" t="s">
        <v>24</v>
      </c>
      <c r="K803" t="s">
        <v>39</v>
      </c>
      <c r="L803">
        <v>362</v>
      </c>
      <c r="M803" t="str">
        <f t="shared" si="24"/>
        <v>Low</v>
      </c>
      <c r="N803" t="str">
        <f t="shared" si="25"/>
        <v>Average</v>
      </c>
    </row>
    <row r="804" spans="1:14">
      <c r="A804" t="s">
        <v>65</v>
      </c>
      <c r="B804">
        <v>2015</v>
      </c>
      <c r="C804" t="s">
        <v>1927</v>
      </c>
      <c r="D804" t="s">
        <v>14</v>
      </c>
      <c r="E804" t="s">
        <v>1928</v>
      </c>
      <c r="F804" t="s">
        <v>57</v>
      </c>
      <c r="G804">
        <v>21.08</v>
      </c>
      <c r="H804">
        <v>74</v>
      </c>
      <c r="I804" t="s">
        <v>61</v>
      </c>
      <c r="J804" t="s">
        <v>24</v>
      </c>
      <c r="K804" t="s">
        <v>48</v>
      </c>
      <c r="L804">
        <v>88</v>
      </c>
      <c r="M804" t="str">
        <f t="shared" si="24"/>
        <v>Medium</v>
      </c>
      <c r="N804" t="str">
        <f t="shared" si="25"/>
        <v>Average</v>
      </c>
    </row>
    <row r="805" spans="1:14">
      <c r="A805" t="s">
        <v>20</v>
      </c>
      <c r="B805">
        <v>2017</v>
      </c>
      <c r="C805" t="s">
        <v>1929</v>
      </c>
      <c r="D805" t="s">
        <v>14</v>
      </c>
      <c r="E805" t="s">
        <v>1930</v>
      </c>
      <c r="F805" t="s">
        <v>35</v>
      </c>
      <c r="G805">
        <v>9.7200000000000006</v>
      </c>
      <c r="H805">
        <v>88</v>
      </c>
      <c r="I805" t="s">
        <v>36</v>
      </c>
      <c r="J805" t="s">
        <v>37</v>
      </c>
      <c r="K805" t="s">
        <v>624</v>
      </c>
      <c r="L805">
        <v>136</v>
      </c>
      <c r="M805" t="str">
        <f t="shared" si="24"/>
        <v>Low</v>
      </c>
      <c r="N805" t="str">
        <f t="shared" si="25"/>
        <v>Good</v>
      </c>
    </row>
    <row r="806" spans="1:14">
      <c r="A806" t="s">
        <v>31</v>
      </c>
      <c r="B806">
        <v>2008</v>
      </c>
      <c r="C806" t="s">
        <v>1931</v>
      </c>
      <c r="D806" t="s">
        <v>14</v>
      </c>
      <c r="E806" t="s">
        <v>1932</v>
      </c>
      <c r="F806" t="s">
        <v>57</v>
      </c>
      <c r="G806">
        <v>3.06</v>
      </c>
      <c r="H806">
        <v>74</v>
      </c>
      <c r="I806" t="s">
        <v>17</v>
      </c>
      <c r="J806" t="s">
        <v>37</v>
      </c>
      <c r="K806" t="s">
        <v>68</v>
      </c>
      <c r="L806">
        <v>127</v>
      </c>
      <c r="M806" t="str">
        <f t="shared" si="24"/>
        <v>Low</v>
      </c>
      <c r="N806" t="str">
        <f t="shared" si="25"/>
        <v>Average</v>
      </c>
    </row>
    <row r="807" spans="1:14">
      <c r="A807" t="s">
        <v>65</v>
      </c>
      <c r="B807">
        <v>2001</v>
      </c>
      <c r="C807" t="s">
        <v>1933</v>
      </c>
      <c r="D807" t="s">
        <v>33</v>
      </c>
      <c r="E807" t="s">
        <v>1934</v>
      </c>
      <c r="F807" t="s">
        <v>16</v>
      </c>
      <c r="G807">
        <v>3.75</v>
      </c>
      <c r="H807">
        <v>93</v>
      </c>
      <c r="I807" t="s">
        <v>17</v>
      </c>
      <c r="J807" t="s">
        <v>18</v>
      </c>
      <c r="K807" t="s">
        <v>667</v>
      </c>
      <c r="L807">
        <v>358</v>
      </c>
      <c r="M807" t="str">
        <f t="shared" si="24"/>
        <v>Low</v>
      </c>
      <c r="N807" t="str">
        <f t="shared" si="25"/>
        <v>Excellent</v>
      </c>
    </row>
    <row r="808" spans="1:14">
      <c r="A808" t="s">
        <v>20</v>
      </c>
      <c r="B808">
        <v>2015</v>
      </c>
      <c r="C808" t="s">
        <v>1935</v>
      </c>
      <c r="D808" t="s">
        <v>33</v>
      </c>
      <c r="E808" t="s">
        <v>1936</v>
      </c>
      <c r="F808" t="s">
        <v>35</v>
      </c>
      <c r="G808">
        <v>42.87</v>
      </c>
      <c r="H808">
        <v>91</v>
      </c>
      <c r="I808" t="s">
        <v>23</v>
      </c>
      <c r="J808" t="s">
        <v>37</v>
      </c>
      <c r="K808" t="s">
        <v>68</v>
      </c>
      <c r="L808">
        <v>227</v>
      </c>
      <c r="M808" t="str">
        <f t="shared" si="24"/>
        <v>High</v>
      </c>
      <c r="N808" t="str">
        <f t="shared" si="25"/>
        <v>Excellent</v>
      </c>
    </row>
    <row r="809" spans="1:14">
      <c r="A809" t="s">
        <v>39</v>
      </c>
      <c r="B809">
        <v>2010</v>
      </c>
      <c r="C809" t="s">
        <v>1937</v>
      </c>
      <c r="D809" t="s">
        <v>14</v>
      </c>
      <c r="E809" t="s">
        <v>1938</v>
      </c>
      <c r="F809" t="s">
        <v>57</v>
      </c>
      <c r="G809">
        <v>24.58</v>
      </c>
      <c r="H809">
        <v>57</v>
      </c>
      <c r="I809" t="s">
        <v>29</v>
      </c>
      <c r="J809" t="s">
        <v>37</v>
      </c>
      <c r="K809" t="s">
        <v>1939</v>
      </c>
      <c r="L809">
        <v>82</v>
      </c>
      <c r="M809" t="str">
        <f t="shared" si="24"/>
        <v>Medium</v>
      </c>
      <c r="N809" t="str">
        <f t="shared" si="25"/>
        <v>Average</v>
      </c>
    </row>
    <row r="810" spans="1:14">
      <c r="A810" t="s">
        <v>68</v>
      </c>
      <c r="B810">
        <v>2013</v>
      </c>
      <c r="C810" t="s">
        <v>1940</v>
      </c>
      <c r="D810" t="s">
        <v>14</v>
      </c>
      <c r="E810" t="s">
        <v>1941</v>
      </c>
      <c r="F810" t="s">
        <v>16</v>
      </c>
      <c r="G810">
        <v>42.19</v>
      </c>
      <c r="H810">
        <v>81</v>
      </c>
      <c r="I810" t="s">
        <v>36</v>
      </c>
      <c r="J810" t="s">
        <v>18</v>
      </c>
      <c r="K810" t="s">
        <v>580</v>
      </c>
      <c r="L810">
        <v>167</v>
      </c>
      <c r="M810" t="str">
        <f t="shared" si="24"/>
        <v>High</v>
      </c>
      <c r="N810" t="str">
        <f t="shared" si="25"/>
        <v>Good</v>
      </c>
    </row>
    <row r="811" spans="1:14">
      <c r="A811" t="s">
        <v>47</v>
      </c>
      <c r="B811">
        <v>2002</v>
      </c>
      <c r="C811" t="s">
        <v>1942</v>
      </c>
      <c r="D811" t="s">
        <v>33</v>
      </c>
      <c r="E811" t="s">
        <v>1943</v>
      </c>
      <c r="F811" t="s">
        <v>16</v>
      </c>
      <c r="G811">
        <v>2.2200000000000002</v>
      </c>
      <c r="H811">
        <v>75</v>
      </c>
      <c r="I811" t="s">
        <v>17</v>
      </c>
      <c r="J811" t="s">
        <v>18</v>
      </c>
      <c r="K811" t="s">
        <v>1944</v>
      </c>
      <c r="L811">
        <v>172</v>
      </c>
      <c r="M811" t="str">
        <f t="shared" si="24"/>
        <v>Low</v>
      </c>
      <c r="N811" t="str">
        <f t="shared" si="25"/>
        <v>Good</v>
      </c>
    </row>
    <row r="812" spans="1:14">
      <c r="A812" t="s">
        <v>65</v>
      </c>
      <c r="B812">
        <v>2005</v>
      </c>
      <c r="C812" t="s">
        <v>1945</v>
      </c>
      <c r="D812" t="s">
        <v>14</v>
      </c>
      <c r="E812" t="s">
        <v>1946</v>
      </c>
      <c r="F812" t="s">
        <v>46</v>
      </c>
      <c r="G812">
        <v>12.31</v>
      </c>
      <c r="H812">
        <v>96</v>
      </c>
      <c r="I812" t="s">
        <v>23</v>
      </c>
      <c r="J812" t="s">
        <v>37</v>
      </c>
      <c r="K812" t="s">
        <v>47</v>
      </c>
      <c r="L812">
        <v>51</v>
      </c>
      <c r="M812" t="str">
        <f t="shared" si="24"/>
        <v>Low</v>
      </c>
      <c r="N812" t="str">
        <f t="shared" si="25"/>
        <v>Excellent</v>
      </c>
    </row>
    <row r="813" spans="1:14">
      <c r="A813" t="s">
        <v>48</v>
      </c>
      <c r="B813">
        <v>2011</v>
      </c>
      <c r="C813" t="s">
        <v>1947</v>
      </c>
      <c r="D813" t="s">
        <v>33</v>
      </c>
      <c r="E813" t="s">
        <v>1948</v>
      </c>
      <c r="F813" t="s">
        <v>35</v>
      </c>
      <c r="G813">
        <v>10.49</v>
      </c>
      <c r="H813">
        <v>90</v>
      </c>
      <c r="I813" t="s">
        <v>29</v>
      </c>
      <c r="J813" t="s">
        <v>37</v>
      </c>
      <c r="K813" t="s">
        <v>1484</v>
      </c>
      <c r="L813">
        <v>215</v>
      </c>
      <c r="M813" t="str">
        <f t="shared" si="24"/>
        <v>Low</v>
      </c>
      <c r="N813" t="str">
        <f t="shared" si="25"/>
        <v>Excellent</v>
      </c>
    </row>
    <row r="814" spans="1:14">
      <c r="A814" t="s">
        <v>68</v>
      </c>
      <c r="B814">
        <v>2024</v>
      </c>
      <c r="C814" t="s">
        <v>1949</v>
      </c>
      <c r="D814" t="s">
        <v>33</v>
      </c>
      <c r="E814" t="s">
        <v>1950</v>
      </c>
      <c r="F814" t="s">
        <v>16</v>
      </c>
      <c r="G814">
        <v>25.46</v>
      </c>
      <c r="H814">
        <v>92</v>
      </c>
      <c r="I814" t="s">
        <v>36</v>
      </c>
      <c r="J814" t="s">
        <v>24</v>
      </c>
      <c r="K814" t="s">
        <v>20</v>
      </c>
      <c r="L814">
        <v>64</v>
      </c>
      <c r="M814" t="str">
        <f t="shared" si="24"/>
        <v>Medium</v>
      </c>
      <c r="N814" t="str">
        <f t="shared" si="25"/>
        <v>Excellent</v>
      </c>
    </row>
    <row r="815" spans="1:14">
      <c r="A815" t="s">
        <v>31</v>
      </c>
      <c r="B815">
        <v>2013</v>
      </c>
      <c r="C815" t="s">
        <v>1951</v>
      </c>
      <c r="D815" t="s">
        <v>33</v>
      </c>
      <c r="E815" t="s">
        <v>1780</v>
      </c>
      <c r="F815" t="s">
        <v>35</v>
      </c>
      <c r="G815">
        <v>6.98</v>
      </c>
      <c r="H815">
        <v>87</v>
      </c>
      <c r="I815" t="s">
        <v>23</v>
      </c>
      <c r="J815" t="s">
        <v>37</v>
      </c>
      <c r="K815" t="s">
        <v>20</v>
      </c>
      <c r="L815">
        <v>356</v>
      </c>
      <c r="M815" t="str">
        <f t="shared" si="24"/>
        <v>Low</v>
      </c>
      <c r="N815" t="str">
        <f t="shared" si="25"/>
        <v>Good</v>
      </c>
    </row>
    <row r="816" spans="1:14">
      <c r="A816" t="s">
        <v>26</v>
      </c>
      <c r="B816">
        <v>2012</v>
      </c>
      <c r="C816" t="s">
        <v>1952</v>
      </c>
      <c r="D816" t="s">
        <v>33</v>
      </c>
      <c r="E816" t="s">
        <v>1953</v>
      </c>
      <c r="F816" t="s">
        <v>42</v>
      </c>
      <c r="G816">
        <v>6.43</v>
      </c>
      <c r="H816">
        <v>79</v>
      </c>
      <c r="I816" t="s">
        <v>23</v>
      </c>
      <c r="J816" t="s">
        <v>37</v>
      </c>
      <c r="K816" t="s">
        <v>298</v>
      </c>
      <c r="L816">
        <v>103</v>
      </c>
      <c r="M816" t="str">
        <f t="shared" si="24"/>
        <v>Low</v>
      </c>
      <c r="N816" t="str">
        <f t="shared" si="25"/>
        <v>Good</v>
      </c>
    </row>
    <row r="817" spans="1:14">
      <c r="A817" t="s">
        <v>68</v>
      </c>
      <c r="B817">
        <v>2023</v>
      </c>
      <c r="C817" t="s">
        <v>1954</v>
      </c>
      <c r="D817" t="s">
        <v>33</v>
      </c>
      <c r="E817" t="s">
        <v>1955</v>
      </c>
      <c r="F817" t="s">
        <v>42</v>
      </c>
      <c r="G817">
        <v>34.840000000000003</v>
      </c>
      <c r="H817">
        <v>50</v>
      </c>
      <c r="I817" t="s">
        <v>36</v>
      </c>
      <c r="J817" t="s">
        <v>24</v>
      </c>
      <c r="K817" t="s">
        <v>31</v>
      </c>
      <c r="L817">
        <v>299</v>
      </c>
      <c r="M817" t="str">
        <f t="shared" si="24"/>
        <v>Medium</v>
      </c>
      <c r="N817" t="str">
        <f t="shared" si="25"/>
        <v>Average</v>
      </c>
    </row>
    <row r="818" spans="1:14">
      <c r="A818" t="s">
        <v>26</v>
      </c>
      <c r="B818">
        <v>2022</v>
      </c>
      <c r="C818" t="s">
        <v>1956</v>
      </c>
      <c r="D818" t="s">
        <v>14</v>
      </c>
      <c r="E818" t="s">
        <v>1957</v>
      </c>
      <c r="F818" t="s">
        <v>46</v>
      </c>
      <c r="G818">
        <v>47.95</v>
      </c>
      <c r="H818">
        <v>92</v>
      </c>
      <c r="I818" t="s">
        <v>29</v>
      </c>
      <c r="J818" t="s">
        <v>37</v>
      </c>
      <c r="K818" t="s">
        <v>320</v>
      </c>
      <c r="L818">
        <v>128</v>
      </c>
      <c r="M818" t="str">
        <f t="shared" si="24"/>
        <v>High</v>
      </c>
      <c r="N818" t="str">
        <f t="shared" si="25"/>
        <v>Excellent</v>
      </c>
    </row>
    <row r="819" spans="1:14">
      <c r="A819" t="s">
        <v>20</v>
      </c>
      <c r="B819">
        <v>2000</v>
      </c>
      <c r="C819" t="s">
        <v>1958</v>
      </c>
      <c r="D819" t="s">
        <v>14</v>
      </c>
      <c r="E819" t="s">
        <v>1959</v>
      </c>
      <c r="F819" t="s">
        <v>35</v>
      </c>
      <c r="G819">
        <v>38.57</v>
      </c>
      <c r="H819">
        <v>63</v>
      </c>
      <c r="I819" t="s">
        <v>23</v>
      </c>
      <c r="J819" t="s">
        <v>24</v>
      </c>
      <c r="K819" t="s">
        <v>48</v>
      </c>
      <c r="L819">
        <v>122</v>
      </c>
      <c r="M819" t="str">
        <f t="shared" si="24"/>
        <v>High</v>
      </c>
      <c r="N819" t="str">
        <f t="shared" si="25"/>
        <v>Average</v>
      </c>
    </row>
    <row r="820" spans="1:14">
      <c r="A820" t="s">
        <v>31</v>
      </c>
      <c r="B820">
        <v>2002</v>
      </c>
      <c r="C820" t="s">
        <v>1960</v>
      </c>
      <c r="D820" t="s">
        <v>33</v>
      </c>
      <c r="E820" t="s">
        <v>1961</v>
      </c>
      <c r="F820" t="s">
        <v>42</v>
      </c>
      <c r="G820">
        <v>5.97</v>
      </c>
      <c r="H820">
        <v>59</v>
      </c>
      <c r="I820" t="s">
        <v>23</v>
      </c>
      <c r="J820" t="s">
        <v>24</v>
      </c>
      <c r="K820" t="s">
        <v>926</v>
      </c>
      <c r="L820">
        <v>333</v>
      </c>
      <c r="M820" t="str">
        <f t="shared" si="24"/>
        <v>Low</v>
      </c>
      <c r="N820" t="str">
        <f t="shared" si="25"/>
        <v>Average</v>
      </c>
    </row>
    <row r="821" spans="1:14">
      <c r="A821" t="s">
        <v>38</v>
      </c>
      <c r="B821">
        <v>2011</v>
      </c>
      <c r="C821" t="s">
        <v>1962</v>
      </c>
      <c r="D821" t="s">
        <v>14</v>
      </c>
      <c r="E821" t="s">
        <v>1963</v>
      </c>
      <c r="F821" t="s">
        <v>57</v>
      </c>
      <c r="G821">
        <v>11.47</v>
      </c>
      <c r="H821">
        <v>65</v>
      </c>
      <c r="I821" t="s">
        <v>36</v>
      </c>
      <c r="J821" t="s">
        <v>37</v>
      </c>
      <c r="K821" t="s">
        <v>624</v>
      </c>
      <c r="L821">
        <v>166</v>
      </c>
      <c r="M821" t="str">
        <f t="shared" si="24"/>
        <v>Low</v>
      </c>
      <c r="N821" t="str">
        <f t="shared" si="25"/>
        <v>Average</v>
      </c>
    </row>
    <row r="822" spans="1:14">
      <c r="A822" t="s">
        <v>26</v>
      </c>
      <c r="B822">
        <v>2016</v>
      </c>
      <c r="C822" t="s">
        <v>1964</v>
      </c>
      <c r="D822" t="s">
        <v>14</v>
      </c>
      <c r="E822" t="s">
        <v>1965</v>
      </c>
      <c r="F822" t="s">
        <v>57</v>
      </c>
      <c r="G822">
        <v>19.329999999999998</v>
      </c>
      <c r="H822">
        <v>80</v>
      </c>
      <c r="I822" t="s">
        <v>29</v>
      </c>
      <c r="J822" t="s">
        <v>37</v>
      </c>
      <c r="K822" t="s">
        <v>114</v>
      </c>
      <c r="L822">
        <v>277</v>
      </c>
      <c r="M822" t="str">
        <f t="shared" si="24"/>
        <v>Medium</v>
      </c>
      <c r="N822" t="str">
        <f t="shared" si="25"/>
        <v>Good</v>
      </c>
    </row>
    <row r="823" spans="1:14">
      <c r="A823" t="s">
        <v>47</v>
      </c>
      <c r="B823">
        <v>2012</v>
      </c>
      <c r="C823" t="s">
        <v>1966</v>
      </c>
      <c r="D823" t="s">
        <v>14</v>
      </c>
      <c r="E823" t="s">
        <v>1967</v>
      </c>
      <c r="F823" t="s">
        <v>42</v>
      </c>
      <c r="G823">
        <v>40.6</v>
      </c>
      <c r="H823">
        <v>78</v>
      </c>
      <c r="I823" t="s">
        <v>36</v>
      </c>
      <c r="J823" t="s">
        <v>37</v>
      </c>
      <c r="K823" t="s">
        <v>308</v>
      </c>
      <c r="L823">
        <v>149</v>
      </c>
      <c r="M823" t="str">
        <f t="shared" si="24"/>
        <v>High</v>
      </c>
      <c r="N823" t="str">
        <f t="shared" si="25"/>
        <v>Good</v>
      </c>
    </row>
    <row r="824" spans="1:14">
      <c r="A824" t="s">
        <v>68</v>
      </c>
      <c r="B824">
        <v>2002</v>
      </c>
      <c r="C824" t="s">
        <v>1968</v>
      </c>
      <c r="D824" t="s">
        <v>33</v>
      </c>
      <c r="E824" t="s">
        <v>1969</v>
      </c>
      <c r="F824" t="s">
        <v>46</v>
      </c>
      <c r="G824">
        <v>33.869999999999997</v>
      </c>
      <c r="H824">
        <v>77</v>
      </c>
      <c r="I824" t="s">
        <v>29</v>
      </c>
      <c r="J824" t="s">
        <v>37</v>
      </c>
      <c r="K824" t="s">
        <v>615</v>
      </c>
      <c r="L824">
        <v>40</v>
      </c>
      <c r="M824" t="str">
        <f t="shared" si="24"/>
        <v>Medium</v>
      </c>
      <c r="N824" t="str">
        <f t="shared" si="25"/>
        <v>Good</v>
      </c>
    </row>
    <row r="825" spans="1:14">
      <c r="A825" t="s">
        <v>31</v>
      </c>
      <c r="B825">
        <v>2000</v>
      </c>
      <c r="C825" t="s">
        <v>1970</v>
      </c>
      <c r="D825" t="s">
        <v>33</v>
      </c>
      <c r="E825" t="s">
        <v>1971</v>
      </c>
      <c r="F825" t="s">
        <v>42</v>
      </c>
      <c r="G825">
        <v>18.059999999999999</v>
      </c>
      <c r="H825">
        <v>97</v>
      </c>
      <c r="I825" t="s">
        <v>36</v>
      </c>
      <c r="J825" t="s">
        <v>18</v>
      </c>
      <c r="K825" t="s">
        <v>97</v>
      </c>
      <c r="L825">
        <v>249</v>
      </c>
      <c r="M825" t="str">
        <f t="shared" si="24"/>
        <v>Medium</v>
      </c>
      <c r="N825" t="str">
        <f t="shared" si="25"/>
        <v>Excellent</v>
      </c>
    </row>
    <row r="826" spans="1:14">
      <c r="A826" t="s">
        <v>31</v>
      </c>
      <c r="B826">
        <v>2011</v>
      </c>
      <c r="C826" t="s">
        <v>1972</v>
      </c>
      <c r="D826" t="s">
        <v>33</v>
      </c>
      <c r="E826" t="s">
        <v>1973</v>
      </c>
      <c r="F826" t="s">
        <v>16</v>
      </c>
      <c r="G826">
        <v>6.72</v>
      </c>
      <c r="H826">
        <v>86</v>
      </c>
      <c r="I826" t="s">
        <v>23</v>
      </c>
      <c r="J826" t="s">
        <v>18</v>
      </c>
      <c r="K826" t="s">
        <v>615</v>
      </c>
      <c r="L826">
        <v>65</v>
      </c>
      <c r="M826" t="str">
        <f t="shared" si="24"/>
        <v>Low</v>
      </c>
      <c r="N826" t="str">
        <f t="shared" si="25"/>
        <v>Good</v>
      </c>
    </row>
    <row r="827" spans="1:14">
      <c r="A827" t="s">
        <v>31</v>
      </c>
      <c r="B827">
        <v>2022</v>
      </c>
      <c r="C827" t="s">
        <v>1974</v>
      </c>
      <c r="D827" t="s">
        <v>14</v>
      </c>
      <c r="E827" t="s">
        <v>1975</v>
      </c>
      <c r="F827" t="s">
        <v>57</v>
      </c>
      <c r="G827">
        <v>43.91</v>
      </c>
      <c r="H827">
        <v>89</v>
      </c>
      <c r="I827" t="s">
        <v>36</v>
      </c>
      <c r="J827" t="s">
        <v>24</v>
      </c>
      <c r="K827" t="s">
        <v>1976</v>
      </c>
      <c r="L827">
        <v>152</v>
      </c>
      <c r="M827" t="str">
        <f t="shared" si="24"/>
        <v>High</v>
      </c>
      <c r="N827" t="str">
        <f t="shared" si="25"/>
        <v>Good</v>
      </c>
    </row>
    <row r="828" spans="1:14">
      <c r="A828" t="s">
        <v>26</v>
      </c>
      <c r="B828">
        <v>2017</v>
      </c>
      <c r="C828" t="s">
        <v>1977</v>
      </c>
      <c r="D828" t="s">
        <v>33</v>
      </c>
      <c r="E828" t="s">
        <v>1978</v>
      </c>
      <c r="F828" t="s">
        <v>42</v>
      </c>
      <c r="G828">
        <v>34.39</v>
      </c>
      <c r="H828">
        <v>54</v>
      </c>
      <c r="I828" t="s">
        <v>17</v>
      </c>
      <c r="J828" t="s">
        <v>24</v>
      </c>
      <c r="K828" t="s">
        <v>1979</v>
      </c>
      <c r="L828">
        <v>334</v>
      </c>
      <c r="M828" t="str">
        <f t="shared" si="24"/>
        <v>Medium</v>
      </c>
      <c r="N828" t="str">
        <f t="shared" si="25"/>
        <v>Average</v>
      </c>
    </row>
    <row r="829" spans="1:14">
      <c r="A829" t="s">
        <v>12</v>
      </c>
      <c r="B829">
        <v>2009</v>
      </c>
      <c r="C829" t="s">
        <v>1980</v>
      </c>
      <c r="D829" t="s">
        <v>14</v>
      </c>
      <c r="E829" t="s">
        <v>1981</v>
      </c>
      <c r="F829" t="s">
        <v>35</v>
      </c>
      <c r="G829">
        <v>12.49</v>
      </c>
      <c r="H829">
        <v>88</v>
      </c>
      <c r="I829" t="s">
        <v>23</v>
      </c>
      <c r="J829" t="s">
        <v>24</v>
      </c>
      <c r="K829" t="s">
        <v>123</v>
      </c>
      <c r="L829">
        <v>244</v>
      </c>
      <c r="M829" t="str">
        <f t="shared" si="24"/>
        <v>Low</v>
      </c>
      <c r="N829" t="str">
        <f t="shared" si="25"/>
        <v>Good</v>
      </c>
    </row>
    <row r="830" spans="1:14">
      <c r="A830" t="s">
        <v>26</v>
      </c>
      <c r="B830">
        <v>2024</v>
      </c>
      <c r="C830" t="s">
        <v>1982</v>
      </c>
      <c r="D830" t="s">
        <v>33</v>
      </c>
      <c r="E830" t="s">
        <v>1983</v>
      </c>
      <c r="F830" t="s">
        <v>57</v>
      </c>
      <c r="G830">
        <v>48.48</v>
      </c>
      <c r="H830">
        <v>99</v>
      </c>
      <c r="I830" t="s">
        <v>29</v>
      </c>
      <c r="J830" t="s">
        <v>37</v>
      </c>
      <c r="K830" t="s">
        <v>209</v>
      </c>
      <c r="L830">
        <v>345</v>
      </c>
      <c r="M830" t="str">
        <f t="shared" si="24"/>
        <v>High</v>
      </c>
      <c r="N830" t="str">
        <f t="shared" si="25"/>
        <v>Excellent</v>
      </c>
    </row>
    <row r="831" spans="1:14">
      <c r="A831" t="s">
        <v>26</v>
      </c>
      <c r="B831">
        <v>2010</v>
      </c>
      <c r="C831" t="s">
        <v>1984</v>
      </c>
      <c r="D831" t="s">
        <v>33</v>
      </c>
      <c r="E831" t="s">
        <v>1985</v>
      </c>
      <c r="F831" t="s">
        <v>46</v>
      </c>
      <c r="G831">
        <v>31.12</v>
      </c>
      <c r="H831">
        <v>53</v>
      </c>
      <c r="I831" t="s">
        <v>23</v>
      </c>
      <c r="J831" t="s">
        <v>37</v>
      </c>
      <c r="K831" t="s">
        <v>1986</v>
      </c>
      <c r="L831">
        <v>222</v>
      </c>
      <c r="M831" t="str">
        <f t="shared" si="24"/>
        <v>Medium</v>
      </c>
      <c r="N831" t="str">
        <f t="shared" si="25"/>
        <v>Average</v>
      </c>
    </row>
    <row r="832" spans="1:14">
      <c r="A832" t="s">
        <v>39</v>
      </c>
      <c r="B832">
        <v>2015</v>
      </c>
      <c r="C832" t="s">
        <v>1987</v>
      </c>
      <c r="D832" t="s">
        <v>14</v>
      </c>
      <c r="E832" t="s">
        <v>1988</v>
      </c>
      <c r="F832" t="s">
        <v>16</v>
      </c>
      <c r="G832">
        <v>0.82</v>
      </c>
      <c r="H832">
        <v>94</v>
      </c>
      <c r="I832" t="s">
        <v>23</v>
      </c>
      <c r="J832" t="s">
        <v>18</v>
      </c>
      <c r="K832" t="s">
        <v>1427</v>
      </c>
      <c r="L832">
        <v>124</v>
      </c>
      <c r="M832" t="str">
        <f t="shared" si="24"/>
        <v>Low</v>
      </c>
      <c r="N832" t="str">
        <f t="shared" si="25"/>
        <v>Excellent</v>
      </c>
    </row>
    <row r="833" spans="1:14">
      <c r="A833" t="s">
        <v>20</v>
      </c>
      <c r="B833">
        <v>2008</v>
      </c>
      <c r="C833" t="s">
        <v>1989</v>
      </c>
      <c r="D833" t="s">
        <v>33</v>
      </c>
      <c r="E833" t="s">
        <v>1990</v>
      </c>
      <c r="F833" t="s">
        <v>16</v>
      </c>
      <c r="G833">
        <v>20.89</v>
      </c>
      <c r="H833">
        <v>99</v>
      </c>
      <c r="I833" t="s">
        <v>29</v>
      </c>
      <c r="J833" t="s">
        <v>24</v>
      </c>
      <c r="K833" t="s">
        <v>1991</v>
      </c>
      <c r="L833">
        <v>287</v>
      </c>
      <c r="M833" t="str">
        <f t="shared" si="24"/>
        <v>Medium</v>
      </c>
      <c r="N833" t="str">
        <f t="shared" si="25"/>
        <v>Excellent</v>
      </c>
    </row>
    <row r="834" spans="1:14">
      <c r="A834" t="s">
        <v>38</v>
      </c>
      <c r="B834">
        <v>2016</v>
      </c>
      <c r="C834" t="s">
        <v>1992</v>
      </c>
      <c r="D834" t="s">
        <v>14</v>
      </c>
      <c r="E834" t="s">
        <v>1993</v>
      </c>
      <c r="F834" t="s">
        <v>16</v>
      </c>
      <c r="G834">
        <v>29.44</v>
      </c>
      <c r="H834">
        <v>93</v>
      </c>
      <c r="I834" t="s">
        <v>61</v>
      </c>
      <c r="J834" t="s">
        <v>24</v>
      </c>
      <c r="K834" t="s">
        <v>607</v>
      </c>
      <c r="L834">
        <v>295</v>
      </c>
      <c r="M834" t="str">
        <f t="shared" si="24"/>
        <v>Medium</v>
      </c>
      <c r="N834" t="str">
        <f t="shared" si="25"/>
        <v>Excellent</v>
      </c>
    </row>
    <row r="835" spans="1:14">
      <c r="A835" t="s">
        <v>39</v>
      </c>
      <c r="B835">
        <v>2015</v>
      </c>
      <c r="C835" t="s">
        <v>1994</v>
      </c>
      <c r="D835" t="s">
        <v>14</v>
      </c>
      <c r="E835" t="s">
        <v>1995</v>
      </c>
      <c r="F835" t="s">
        <v>16</v>
      </c>
      <c r="G835">
        <v>20.7</v>
      </c>
      <c r="H835">
        <v>91</v>
      </c>
      <c r="I835" t="s">
        <v>23</v>
      </c>
      <c r="J835" t="s">
        <v>37</v>
      </c>
      <c r="K835" t="s">
        <v>31</v>
      </c>
      <c r="L835">
        <v>125</v>
      </c>
      <c r="M835" t="str">
        <f t="shared" ref="M835:M898" si="26">IF(G835&lt;15,"Low",IF(G835&lt;35,"Medium","High"))</f>
        <v>Medium</v>
      </c>
      <c r="N835" t="str">
        <f t="shared" ref="N835:N898" si="27">IF(H835&gt;=90,"Excellent",IF(H835&gt;=75,"Good","Average"))</f>
        <v>Excellent</v>
      </c>
    </row>
    <row r="836" spans="1:14">
      <c r="A836" t="s">
        <v>47</v>
      </c>
      <c r="B836">
        <v>2010</v>
      </c>
      <c r="C836" t="s">
        <v>1996</v>
      </c>
      <c r="D836" t="s">
        <v>14</v>
      </c>
      <c r="E836" t="s">
        <v>1997</v>
      </c>
      <c r="F836" t="s">
        <v>42</v>
      </c>
      <c r="G836">
        <v>17.05</v>
      </c>
      <c r="H836">
        <v>76</v>
      </c>
      <c r="I836" t="s">
        <v>17</v>
      </c>
      <c r="J836" t="s">
        <v>37</v>
      </c>
      <c r="K836" t="s">
        <v>1998</v>
      </c>
      <c r="L836">
        <v>172</v>
      </c>
      <c r="M836" t="str">
        <f t="shared" si="26"/>
        <v>Medium</v>
      </c>
      <c r="N836" t="str">
        <f t="shared" si="27"/>
        <v>Good</v>
      </c>
    </row>
    <row r="837" spans="1:14">
      <c r="A837" t="s">
        <v>39</v>
      </c>
      <c r="B837">
        <v>2001</v>
      </c>
      <c r="C837" t="s">
        <v>1999</v>
      </c>
      <c r="D837" t="s">
        <v>33</v>
      </c>
      <c r="E837" t="s">
        <v>2000</v>
      </c>
      <c r="F837" t="s">
        <v>35</v>
      </c>
      <c r="G837">
        <v>8.44</v>
      </c>
      <c r="H837">
        <v>85</v>
      </c>
      <c r="I837" t="s">
        <v>29</v>
      </c>
      <c r="J837" t="s">
        <v>24</v>
      </c>
      <c r="K837" t="s">
        <v>47</v>
      </c>
      <c r="L837">
        <v>175</v>
      </c>
      <c r="M837" t="str">
        <f t="shared" si="26"/>
        <v>Low</v>
      </c>
      <c r="N837" t="str">
        <f t="shared" si="27"/>
        <v>Good</v>
      </c>
    </row>
    <row r="838" spans="1:14">
      <c r="A838" t="s">
        <v>12</v>
      </c>
      <c r="B838">
        <v>2007</v>
      </c>
      <c r="C838" t="s">
        <v>2001</v>
      </c>
      <c r="D838" t="s">
        <v>33</v>
      </c>
      <c r="E838" t="s">
        <v>2002</v>
      </c>
      <c r="F838" t="s">
        <v>35</v>
      </c>
      <c r="G838">
        <v>24.79</v>
      </c>
      <c r="H838">
        <v>52</v>
      </c>
      <c r="I838" t="s">
        <v>36</v>
      </c>
      <c r="J838" t="s">
        <v>37</v>
      </c>
      <c r="K838" t="s">
        <v>1172</v>
      </c>
      <c r="L838">
        <v>251</v>
      </c>
      <c r="M838" t="str">
        <f t="shared" si="26"/>
        <v>Medium</v>
      </c>
      <c r="N838" t="str">
        <f t="shared" si="27"/>
        <v>Average</v>
      </c>
    </row>
    <row r="839" spans="1:14">
      <c r="A839" t="s">
        <v>65</v>
      </c>
      <c r="B839">
        <v>2021</v>
      </c>
      <c r="C839" t="s">
        <v>2003</v>
      </c>
      <c r="D839" t="s">
        <v>33</v>
      </c>
      <c r="E839" t="s">
        <v>2004</v>
      </c>
      <c r="F839" t="s">
        <v>16</v>
      </c>
      <c r="G839">
        <v>29.77</v>
      </c>
      <c r="H839">
        <v>79</v>
      </c>
      <c r="I839" t="s">
        <v>36</v>
      </c>
      <c r="J839" t="s">
        <v>24</v>
      </c>
      <c r="K839" t="s">
        <v>47</v>
      </c>
      <c r="L839">
        <v>339</v>
      </c>
      <c r="M839" t="str">
        <f t="shared" si="26"/>
        <v>Medium</v>
      </c>
      <c r="N839" t="str">
        <f t="shared" si="27"/>
        <v>Good</v>
      </c>
    </row>
    <row r="840" spans="1:14">
      <c r="A840" t="s">
        <v>12</v>
      </c>
      <c r="B840">
        <v>2024</v>
      </c>
      <c r="C840" t="s">
        <v>2005</v>
      </c>
      <c r="D840" t="s">
        <v>33</v>
      </c>
      <c r="E840" t="s">
        <v>2006</v>
      </c>
      <c r="F840" t="s">
        <v>42</v>
      </c>
      <c r="G840">
        <v>26.97</v>
      </c>
      <c r="H840">
        <v>96</v>
      </c>
      <c r="I840" t="s">
        <v>61</v>
      </c>
      <c r="J840" t="s">
        <v>24</v>
      </c>
      <c r="K840" t="s">
        <v>1604</v>
      </c>
      <c r="L840">
        <v>250</v>
      </c>
      <c r="M840" t="str">
        <f t="shared" si="26"/>
        <v>Medium</v>
      </c>
      <c r="N840" t="str">
        <f t="shared" si="27"/>
        <v>Excellent</v>
      </c>
    </row>
    <row r="841" spans="1:14">
      <c r="A841" t="s">
        <v>31</v>
      </c>
      <c r="B841">
        <v>2010</v>
      </c>
      <c r="C841" t="s">
        <v>2007</v>
      </c>
      <c r="D841" t="s">
        <v>33</v>
      </c>
      <c r="E841" t="s">
        <v>2008</v>
      </c>
      <c r="F841" t="s">
        <v>46</v>
      </c>
      <c r="G841">
        <v>30.43</v>
      </c>
      <c r="H841">
        <v>60</v>
      </c>
      <c r="I841" t="s">
        <v>23</v>
      </c>
      <c r="J841" t="s">
        <v>37</v>
      </c>
      <c r="K841" t="s">
        <v>209</v>
      </c>
      <c r="L841">
        <v>75</v>
      </c>
      <c r="M841" t="str">
        <f t="shared" si="26"/>
        <v>Medium</v>
      </c>
      <c r="N841" t="str">
        <f t="shared" si="27"/>
        <v>Average</v>
      </c>
    </row>
    <row r="842" spans="1:14">
      <c r="A842" t="s">
        <v>20</v>
      </c>
      <c r="B842">
        <v>2001</v>
      </c>
      <c r="C842" t="s">
        <v>2009</v>
      </c>
      <c r="D842" t="s">
        <v>14</v>
      </c>
      <c r="E842" t="s">
        <v>2010</v>
      </c>
      <c r="F842" t="s">
        <v>42</v>
      </c>
      <c r="G842">
        <v>22.1</v>
      </c>
      <c r="H842">
        <v>66</v>
      </c>
      <c r="I842" t="s">
        <v>61</v>
      </c>
      <c r="J842" t="s">
        <v>37</v>
      </c>
      <c r="K842" t="s">
        <v>48</v>
      </c>
      <c r="L842">
        <v>149</v>
      </c>
      <c r="M842" t="str">
        <f t="shared" si="26"/>
        <v>Medium</v>
      </c>
      <c r="N842" t="str">
        <f t="shared" si="27"/>
        <v>Average</v>
      </c>
    </row>
    <row r="843" spans="1:14">
      <c r="A843" t="s">
        <v>39</v>
      </c>
      <c r="B843">
        <v>2005</v>
      </c>
      <c r="C843" t="s">
        <v>2011</v>
      </c>
      <c r="D843" t="s">
        <v>33</v>
      </c>
      <c r="E843" t="s">
        <v>2012</v>
      </c>
      <c r="F843" t="s">
        <v>16</v>
      </c>
      <c r="G843">
        <v>13.45</v>
      </c>
      <c r="H843">
        <v>84</v>
      </c>
      <c r="I843" t="s">
        <v>23</v>
      </c>
      <c r="J843" t="s">
        <v>37</v>
      </c>
      <c r="K843" t="s">
        <v>749</v>
      </c>
      <c r="L843">
        <v>139</v>
      </c>
      <c r="M843" t="str">
        <f t="shared" si="26"/>
        <v>Low</v>
      </c>
      <c r="N843" t="str">
        <f t="shared" si="27"/>
        <v>Good</v>
      </c>
    </row>
    <row r="844" spans="1:14">
      <c r="A844" t="s">
        <v>48</v>
      </c>
      <c r="B844">
        <v>2001</v>
      </c>
      <c r="C844" t="s">
        <v>2013</v>
      </c>
      <c r="D844" t="s">
        <v>33</v>
      </c>
      <c r="E844" t="s">
        <v>2014</v>
      </c>
      <c r="F844" t="s">
        <v>57</v>
      </c>
      <c r="G844">
        <v>30.5</v>
      </c>
      <c r="H844">
        <v>51</v>
      </c>
      <c r="I844" t="s">
        <v>17</v>
      </c>
      <c r="J844" t="s">
        <v>18</v>
      </c>
      <c r="K844" t="s">
        <v>1385</v>
      </c>
      <c r="L844">
        <v>356</v>
      </c>
      <c r="M844" t="str">
        <f t="shared" si="26"/>
        <v>Medium</v>
      </c>
      <c r="N844" t="str">
        <f t="shared" si="27"/>
        <v>Average</v>
      </c>
    </row>
    <row r="845" spans="1:14">
      <c r="A845" t="s">
        <v>26</v>
      </c>
      <c r="B845">
        <v>2009</v>
      </c>
      <c r="C845" t="s">
        <v>2015</v>
      </c>
      <c r="D845" t="s">
        <v>14</v>
      </c>
      <c r="E845" t="s">
        <v>2016</v>
      </c>
      <c r="F845" t="s">
        <v>57</v>
      </c>
      <c r="G845">
        <v>41.64</v>
      </c>
      <c r="H845">
        <v>86</v>
      </c>
      <c r="I845" t="s">
        <v>17</v>
      </c>
      <c r="J845" t="s">
        <v>24</v>
      </c>
      <c r="K845" t="s">
        <v>2017</v>
      </c>
      <c r="L845">
        <v>78</v>
      </c>
      <c r="M845" t="str">
        <f t="shared" si="26"/>
        <v>High</v>
      </c>
      <c r="N845" t="str">
        <f t="shared" si="27"/>
        <v>Good</v>
      </c>
    </row>
    <row r="846" spans="1:14">
      <c r="A846" t="s">
        <v>65</v>
      </c>
      <c r="B846">
        <v>2013</v>
      </c>
      <c r="C846" t="s">
        <v>2018</v>
      </c>
      <c r="D846" t="s">
        <v>33</v>
      </c>
      <c r="E846" t="s">
        <v>2019</v>
      </c>
      <c r="F846" t="s">
        <v>46</v>
      </c>
      <c r="G846">
        <v>10.31</v>
      </c>
      <c r="H846">
        <v>58</v>
      </c>
      <c r="I846" t="s">
        <v>29</v>
      </c>
      <c r="J846" t="s">
        <v>24</v>
      </c>
      <c r="K846" t="s">
        <v>2020</v>
      </c>
      <c r="L846">
        <v>356</v>
      </c>
      <c r="M846" t="str">
        <f t="shared" si="26"/>
        <v>Low</v>
      </c>
      <c r="N846" t="str">
        <f t="shared" si="27"/>
        <v>Average</v>
      </c>
    </row>
    <row r="847" spans="1:14">
      <c r="A847" t="s">
        <v>26</v>
      </c>
      <c r="B847">
        <v>2020</v>
      </c>
      <c r="C847" t="s">
        <v>2021</v>
      </c>
      <c r="D847" t="s">
        <v>14</v>
      </c>
      <c r="E847" t="s">
        <v>2022</v>
      </c>
      <c r="F847" t="s">
        <v>16</v>
      </c>
      <c r="G847">
        <v>40.729999999999997</v>
      </c>
      <c r="H847">
        <v>99</v>
      </c>
      <c r="I847" t="s">
        <v>29</v>
      </c>
      <c r="J847" t="s">
        <v>18</v>
      </c>
      <c r="K847" t="s">
        <v>31</v>
      </c>
      <c r="L847">
        <v>72</v>
      </c>
      <c r="M847" t="str">
        <f t="shared" si="26"/>
        <v>High</v>
      </c>
      <c r="N847" t="str">
        <f t="shared" si="27"/>
        <v>Excellent</v>
      </c>
    </row>
    <row r="848" spans="1:14">
      <c r="A848" t="s">
        <v>12</v>
      </c>
      <c r="B848">
        <v>2003</v>
      </c>
      <c r="C848" t="s">
        <v>2023</v>
      </c>
      <c r="D848" t="s">
        <v>14</v>
      </c>
      <c r="E848" t="s">
        <v>2024</v>
      </c>
      <c r="F848" t="s">
        <v>57</v>
      </c>
      <c r="G848">
        <v>22.79</v>
      </c>
      <c r="H848">
        <v>67</v>
      </c>
      <c r="I848" t="s">
        <v>23</v>
      </c>
      <c r="J848" t="s">
        <v>37</v>
      </c>
      <c r="K848" t="s">
        <v>12</v>
      </c>
      <c r="L848">
        <v>145</v>
      </c>
      <c r="M848" t="str">
        <f t="shared" si="26"/>
        <v>Medium</v>
      </c>
      <c r="N848" t="str">
        <f t="shared" si="27"/>
        <v>Average</v>
      </c>
    </row>
    <row r="849" spans="1:14">
      <c r="A849" t="s">
        <v>26</v>
      </c>
      <c r="B849">
        <v>2017</v>
      </c>
      <c r="C849" t="s">
        <v>2025</v>
      </c>
      <c r="D849" t="s">
        <v>14</v>
      </c>
      <c r="E849" t="s">
        <v>2026</v>
      </c>
      <c r="F849" t="s">
        <v>42</v>
      </c>
      <c r="G849">
        <v>36.020000000000003</v>
      </c>
      <c r="H849">
        <v>99</v>
      </c>
      <c r="I849" t="s">
        <v>61</v>
      </c>
      <c r="J849" t="s">
        <v>18</v>
      </c>
      <c r="K849" t="s">
        <v>12</v>
      </c>
      <c r="L849">
        <v>337</v>
      </c>
      <c r="M849" t="str">
        <f t="shared" si="26"/>
        <v>High</v>
      </c>
      <c r="N849" t="str">
        <f t="shared" si="27"/>
        <v>Excellent</v>
      </c>
    </row>
    <row r="850" spans="1:14">
      <c r="A850" t="s">
        <v>39</v>
      </c>
      <c r="B850">
        <v>2010</v>
      </c>
      <c r="C850" t="s">
        <v>2027</v>
      </c>
      <c r="D850" t="s">
        <v>33</v>
      </c>
      <c r="E850" t="s">
        <v>2028</v>
      </c>
      <c r="F850" t="s">
        <v>42</v>
      </c>
      <c r="G850">
        <v>34.76</v>
      </c>
      <c r="H850">
        <v>81</v>
      </c>
      <c r="I850" t="s">
        <v>17</v>
      </c>
      <c r="J850" t="s">
        <v>18</v>
      </c>
      <c r="K850" t="s">
        <v>2029</v>
      </c>
      <c r="L850">
        <v>350</v>
      </c>
      <c r="M850" t="str">
        <f t="shared" si="26"/>
        <v>Medium</v>
      </c>
      <c r="N850" t="str">
        <f t="shared" si="27"/>
        <v>Good</v>
      </c>
    </row>
    <row r="851" spans="1:14">
      <c r="A851" t="s">
        <v>65</v>
      </c>
      <c r="B851">
        <v>2020</v>
      </c>
      <c r="C851" t="s">
        <v>2030</v>
      </c>
      <c r="D851" t="s">
        <v>14</v>
      </c>
      <c r="E851" t="s">
        <v>2031</v>
      </c>
      <c r="F851" t="s">
        <v>57</v>
      </c>
      <c r="G851">
        <v>12.54</v>
      </c>
      <c r="H851">
        <v>54</v>
      </c>
      <c r="I851" t="s">
        <v>23</v>
      </c>
      <c r="J851" t="s">
        <v>24</v>
      </c>
      <c r="K851" t="s">
        <v>2032</v>
      </c>
      <c r="L851">
        <v>307</v>
      </c>
      <c r="M851" t="str">
        <f t="shared" si="26"/>
        <v>Low</v>
      </c>
      <c r="N851" t="str">
        <f t="shared" si="27"/>
        <v>Average</v>
      </c>
    </row>
    <row r="852" spans="1:14">
      <c r="A852" t="s">
        <v>31</v>
      </c>
      <c r="B852">
        <v>2006</v>
      </c>
      <c r="C852" t="s">
        <v>2033</v>
      </c>
      <c r="D852" t="s">
        <v>33</v>
      </c>
      <c r="E852" t="s">
        <v>2034</v>
      </c>
      <c r="F852" t="s">
        <v>35</v>
      </c>
      <c r="G852">
        <v>37.18</v>
      </c>
      <c r="H852">
        <v>64</v>
      </c>
      <c r="I852" t="s">
        <v>36</v>
      </c>
      <c r="J852" t="s">
        <v>18</v>
      </c>
      <c r="K852" t="s">
        <v>38</v>
      </c>
      <c r="L852">
        <v>216</v>
      </c>
      <c r="M852" t="str">
        <f t="shared" si="26"/>
        <v>High</v>
      </c>
      <c r="N852" t="str">
        <f t="shared" si="27"/>
        <v>Average</v>
      </c>
    </row>
    <row r="853" spans="1:14">
      <c r="A853" t="s">
        <v>47</v>
      </c>
      <c r="B853">
        <v>2017</v>
      </c>
      <c r="C853" t="s">
        <v>2035</v>
      </c>
      <c r="D853" t="s">
        <v>14</v>
      </c>
      <c r="E853" t="s">
        <v>2036</v>
      </c>
      <c r="F853" t="s">
        <v>42</v>
      </c>
      <c r="G853">
        <v>40.42</v>
      </c>
      <c r="H853">
        <v>91</v>
      </c>
      <c r="I853" t="s">
        <v>17</v>
      </c>
      <c r="J853" t="s">
        <v>18</v>
      </c>
      <c r="K853" t="s">
        <v>20</v>
      </c>
      <c r="L853">
        <v>70</v>
      </c>
      <c r="M853" t="str">
        <f t="shared" si="26"/>
        <v>High</v>
      </c>
      <c r="N853" t="str">
        <f t="shared" si="27"/>
        <v>Excellent</v>
      </c>
    </row>
    <row r="854" spans="1:14">
      <c r="A854" t="s">
        <v>48</v>
      </c>
      <c r="B854">
        <v>2004</v>
      </c>
      <c r="C854" t="s">
        <v>2037</v>
      </c>
      <c r="D854" t="s">
        <v>33</v>
      </c>
      <c r="E854" t="s">
        <v>2038</v>
      </c>
      <c r="F854" t="s">
        <v>35</v>
      </c>
      <c r="G854">
        <v>3.79</v>
      </c>
      <c r="H854">
        <v>70</v>
      </c>
      <c r="I854" t="s">
        <v>29</v>
      </c>
      <c r="J854" t="s">
        <v>18</v>
      </c>
      <c r="K854" t="s">
        <v>1283</v>
      </c>
      <c r="L854">
        <v>66</v>
      </c>
      <c r="M854" t="str">
        <f t="shared" si="26"/>
        <v>Low</v>
      </c>
      <c r="N854" t="str">
        <f t="shared" si="27"/>
        <v>Average</v>
      </c>
    </row>
    <row r="855" spans="1:14">
      <c r="A855" t="s">
        <v>20</v>
      </c>
      <c r="B855">
        <v>2007</v>
      </c>
      <c r="C855" t="s">
        <v>2039</v>
      </c>
      <c r="D855" t="s">
        <v>33</v>
      </c>
      <c r="E855" t="s">
        <v>2040</v>
      </c>
      <c r="F855" t="s">
        <v>35</v>
      </c>
      <c r="G855">
        <v>6.06</v>
      </c>
      <c r="H855">
        <v>61</v>
      </c>
      <c r="I855" t="s">
        <v>29</v>
      </c>
      <c r="J855" t="s">
        <v>37</v>
      </c>
      <c r="K855" t="s">
        <v>298</v>
      </c>
      <c r="L855">
        <v>50</v>
      </c>
      <c r="M855" t="str">
        <f t="shared" si="26"/>
        <v>Low</v>
      </c>
      <c r="N855" t="str">
        <f t="shared" si="27"/>
        <v>Average</v>
      </c>
    </row>
    <row r="856" spans="1:14">
      <c r="A856" t="s">
        <v>38</v>
      </c>
      <c r="B856">
        <v>2013</v>
      </c>
      <c r="C856" t="s">
        <v>2041</v>
      </c>
      <c r="D856" t="s">
        <v>33</v>
      </c>
      <c r="E856" t="s">
        <v>2042</v>
      </c>
      <c r="F856" t="s">
        <v>35</v>
      </c>
      <c r="G856">
        <v>35.67</v>
      </c>
      <c r="H856">
        <v>78</v>
      </c>
      <c r="I856" t="s">
        <v>23</v>
      </c>
      <c r="J856" t="s">
        <v>18</v>
      </c>
      <c r="K856" t="s">
        <v>323</v>
      </c>
      <c r="L856">
        <v>143</v>
      </c>
      <c r="M856" t="str">
        <f t="shared" si="26"/>
        <v>High</v>
      </c>
      <c r="N856" t="str">
        <f t="shared" si="27"/>
        <v>Good</v>
      </c>
    </row>
    <row r="857" spans="1:14">
      <c r="A857" t="s">
        <v>39</v>
      </c>
      <c r="B857">
        <v>2008</v>
      </c>
      <c r="C857" t="s">
        <v>2043</v>
      </c>
      <c r="D857" t="s">
        <v>14</v>
      </c>
      <c r="E857" t="s">
        <v>2044</v>
      </c>
      <c r="F857" t="s">
        <v>35</v>
      </c>
      <c r="G857">
        <v>29.11</v>
      </c>
      <c r="H857">
        <v>80</v>
      </c>
      <c r="I857" t="s">
        <v>29</v>
      </c>
      <c r="J857" t="s">
        <v>18</v>
      </c>
      <c r="K857" t="s">
        <v>624</v>
      </c>
      <c r="L857">
        <v>160</v>
      </c>
      <c r="M857" t="str">
        <f t="shared" si="26"/>
        <v>Medium</v>
      </c>
      <c r="N857" t="str">
        <f t="shared" si="27"/>
        <v>Good</v>
      </c>
    </row>
    <row r="858" spans="1:14">
      <c r="A858" t="s">
        <v>39</v>
      </c>
      <c r="B858">
        <v>2016</v>
      </c>
      <c r="C858" t="s">
        <v>2045</v>
      </c>
      <c r="D858" t="s">
        <v>14</v>
      </c>
      <c r="E858" t="s">
        <v>1356</v>
      </c>
      <c r="F858" t="s">
        <v>35</v>
      </c>
      <c r="G858">
        <v>44.75</v>
      </c>
      <c r="H858">
        <v>62</v>
      </c>
      <c r="I858" t="s">
        <v>36</v>
      </c>
      <c r="J858" t="s">
        <v>24</v>
      </c>
      <c r="K858" t="s">
        <v>81</v>
      </c>
      <c r="L858">
        <v>248</v>
      </c>
      <c r="M858" t="str">
        <f t="shared" si="26"/>
        <v>High</v>
      </c>
      <c r="N858" t="str">
        <f t="shared" si="27"/>
        <v>Average</v>
      </c>
    </row>
    <row r="859" spans="1:14">
      <c r="A859" t="s">
        <v>26</v>
      </c>
      <c r="B859">
        <v>2022</v>
      </c>
      <c r="C859" t="s">
        <v>2046</v>
      </c>
      <c r="D859" t="s">
        <v>14</v>
      </c>
      <c r="E859" t="s">
        <v>2047</v>
      </c>
      <c r="F859" t="s">
        <v>35</v>
      </c>
      <c r="G859">
        <v>4.37</v>
      </c>
      <c r="H859">
        <v>60</v>
      </c>
      <c r="I859" t="s">
        <v>61</v>
      </c>
      <c r="J859" t="s">
        <v>24</v>
      </c>
      <c r="K859" t="s">
        <v>2048</v>
      </c>
      <c r="L859">
        <v>231</v>
      </c>
      <c r="M859" t="str">
        <f t="shared" si="26"/>
        <v>Low</v>
      </c>
      <c r="N859" t="str">
        <f t="shared" si="27"/>
        <v>Average</v>
      </c>
    </row>
    <row r="860" spans="1:14">
      <c r="A860" t="s">
        <v>12</v>
      </c>
      <c r="B860">
        <v>2020</v>
      </c>
      <c r="C860" t="s">
        <v>2049</v>
      </c>
      <c r="D860" t="s">
        <v>33</v>
      </c>
      <c r="E860" t="s">
        <v>2050</v>
      </c>
      <c r="F860" t="s">
        <v>46</v>
      </c>
      <c r="G860">
        <v>6.48</v>
      </c>
      <c r="H860">
        <v>50</v>
      </c>
      <c r="I860" t="s">
        <v>36</v>
      </c>
      <c r="J860" t="s">
        <v>24</v>
      </c>
      <c r="K860" t="s">
        <v>2051</v>
      </c>
      <c r="L860">
        <v>263</v>
      </c>
      <c r="M860" t="str">
        <f t="shared" si="26"/>
        <v>Low</v>
      </c>
      <c r="N860" t="str">
        <f t="shared" si="27"/>
        <v>Average</v>
      </c>
    </row>
    <row r="861" spans="1:14">
      <c r="A861" t="s">
        <v>68</v>
      </c>
      <c r="B861">
        <v>2015</v>
      </c>
      <c r="C861" t="s">
        <v>2052</v>
      </c>
      <c r="D861" t="s">
        <v>14</v>
      </c>
      <c r="E861" t="s">
        <v>2053</v>
      </c>
      <c r="F861" t="s">
        <v>46</v>
      </c>
      <c r="G861">
        <v>12.24</v>
      </c>
      <c r="H861">
        <v>98</v>
      </c>
      <c r="I861" t="s">
        <v>36</v>
      </c>
      <c r="J861" t="s">
        <v>37</v>
      </c>
      <c r="K861" t="s">
        <v>1131</v>
      </c>
      <c r="L861">
        <v>77</v>
      </c>
      <c r="M861" t="str">
        <f t="shared" si="26"/>
        <v>Low</v>
      </c>
      <c r="N861" t="str">
        <f t="shared" si="27"/>
        <v>Excellent</v>
      </c>
    </row>
    <row r="862" spans="1:14">
      <c r="A862" t="s">
        <v>20</v>
      </c>
      <c r="B862">
        <v>2022</v>
      </c>
      <c r="C862" t="s">
        <v>2054</v>
      </c>
      <c r="D862" t="s">
        <v>14</v>
      </c>
      <c r="E862" t="s">
        <v>2055</v>
      </c>
      <c r="F862" t="s">
        <v>46</v>
      </c>
      <c r="G862">
        <v>34.619999999999997</v>
      </c>
      <c r="H862">
        <v>52</v>
      </c>
      <c r="I862" t="s">
        <v>17</v>
      </c>
      <c r="J862" t="s">
        <v>18</v>
      </c>
      <c r="K862" t="s">
        <v>2056</v>
      </c>
      <c r="L862">
        <v>58</v>
      </c>
      <c r="M862" t="str">
        <f t="shared" si="26"/>
        <v>Medium</v>
      </c>
      <c r="N862" t="str">
        <f t="shared" si="27"/>
        <v>Average</v>
      </c>
    </row>
    <row r="863" spans="1:14">
      <c r="A863" t="s">
        <v>26</v>
      </c>
      <c r="B863">
        <v>2008</v>
      </c>
      <c r="C863" t="s">
        <v>2057</v>
      </c>
      <c r="D863" t="s">
        <v>33</v>
      </c>
      <c r="E863" t="s">
        <v>2058</v>
      </c>
      <c r="F863" t="s">
        <v>16</v>
      </c>
      <c r="G863">
        <v>24.79</v>
      </c>
      <c r="H863">
        <v>71</v>
      </c>
      <c r="I863" t="s">
        <v>61</v>
      </c>
      <c r="J863" t="s">
        <v>37</v>
      </c>
      <c r="K863" t="s">
        <v>26</v>
      </c>
      <c r="L863">
        <v>41</v>
      </c>
      <c r="M863" t="str">
        <f t="shared" si="26"/>
        <v>Medium</v>
      </c>
      <c r="N863" t="str">
        <f t="shared" si="27"/>
        <v>Average</v>
      </c>
    </row>
    <row r="864" spans="1:14">
      <c r="A864" t="s">
        <v>12</v>
      </c>
      <c r="B864">
        <v>2004</v>
      </c>
      <c r="C864" t="s">
        <v>2059</v>
      </c>
      <c r="D864" t="s">
        <v>14</v>
      </c>
      <c r="E864" t="s">
        <v>2060</v>
      </c>
      <c r="F864" t="s">
        <v>46</v>
      </c>
      <c r="G864">
        <v>23.85</v>
      </c>
      <c r="H864">
        <v>57</v>
      </c>
      <c r="I864" t="s">
        <v>29</v>
      </c>
      <c r="J864" t="s">
        <v>18</v>
      </c>
      <c r="K864" t="s">
        <v>1437</v>
      </c>
      <c r="L864">
        <v>146</v>
      </c>
      <c r="M864" t="str">
        <f t="shared" si="26"/>
        <v>Medium</v>
      </c>
      <c r="N864" t="str">
        <f t="shared" si="27"/>
        <v>Average</v>
      </c>
    </row>
    <row r="865" spans="1:14">
      <c r="A865" t="s">
        <v>31</v>
      </c>
      <c r="B865">
        <v>2009</v>
      </c>
      <c r="C865" t="s">
        <v>2061</v>
      </c>
      <c r="D865" t="s">
        <v>14</v>
      </c>
      <c r="E865" t="s">
        <v>2062</v>
      </c>
      <c r="F865" t="s">
        <v>57</v>
      </c>
      <c r="G865">
        <v>12.84</v>
      </c>
      <c r="H865">
        <v>76</v>
      </c>
      <c r="I865" t="s">
        <v>23</v>
      </c>
      <c r="J865" t="s">
        <v>18</v>
      </c>
      <c r="K865" t="s">
        <v>2063</v>
      </c>
      <c r="L865">
        <v>282</v>
      </c>
      <c r="M865" t="str">
        <f t="shared" si="26"/>
        <v>Low</v>
      </c>
      <c r="N865" t="str">
        <f t="shared" si="27"/>
        <v>Good</v>
      </c>
    </row>
    <row r="866" spans="1:14">
      <c r="A866" t="s">
        <v>68</v>
      </c>
      <c r="B866">
        <v>2017</v>
      </c>
      <c r="C866" t="s">
        <v>2064</v>
      </c>
      <c r="D866" t="s">
        <v>33</v>
      </c>
      <c r="E866" t="s">
        <v>2065</v>
      </c>
      <c r="F866" t="s">
        <v>16</v>
      </c>
      <c r="G866">
        <v>36.380000000000003</v>
      </c>
      <c r="H866">
        <v>84</v>
      </c>
      <c r="I866" t="s">
        <v>61</v>
      </c>
      <c r="J866" t="s">
        <v>18</v>
      </c>
      <c r="K866" t="s">
        <v>2066</v>
      </c>
      <c r="L866">
        <v>111</v>
      </c>
      <c r="M866" t="str">
        <f t="shared" si="26"/>
        <v>High</v>
      </c>
      <c r="N866" t="str">
        <f t="shared" si="27"/>
        <v>Good</v>
      </c>
    </row>
    <row r="867" spans="1:14">
      <c r="A867" t="s">
        <v>20</v>
      </c>
      <c r="B867">
        <v>2022</v>
      </c>
      <c r="C867" t="s">
        <v>2067</v>
      </c>
      <c r="D867" t="s">
        <v>33</v>
      </c>
      <c r="E867" t="s">
        <v>2068</v>
      </c>
      <c r="F867" t="s">
        <v>57</v>
      </c>
      <c r="G867">
        <v>41.28</v>
      </c>
      <c r="H867">
        <v>51</v>
      </c>
      <c r="I867" t="s">
        <v>36</v>
      </c>
      <c r="J867" t="s">
        <v>18</v>
      </c>
      <c r="K867" t="s">
        <v>39</v>
      </c>
      <c r="L867">
        <v>17</v>
      </c>
      <c r="M867" t="str">
        <f t="shared" si="26"/>
        <v>High</v>
      </c>
      <c r="N867" t="str">
        <f t="shared" si="27"/>
        <v>Average</v>
      </c>
    </row>
    <row r="868" spans="1:14">
      <c r="A868" t="s">
        <v>39</v>
      </c>
      <c r="B868">
        <v>2015</v>
      </c>
      <c r="C868" t="s">
        <v>2069</v>
      </c>
      <c r="D868" t="s">
        <v>33</v>
      </c>
      <c r="E868" t="s">
        <v>2070</v>
      </c>
      <c r="F868" t="s">
        <v>57</v>
      </c>
      <c r="G868">
        <v>23.52</v>
      </c>
      <c r="H868">
        <v>70</v>
      </c>
      <c r="I868" t="s">
        <v>23</v>
      </c>
      <c r="J868" t="s">
        <v>24</v>
      </c>
      <c r="K868" t="s">
        <v>279</v>
      </c>
      <c r="L868">
        <v>255</v>
      </c>
      <c r="M868" t="str">
        <f t="shared" si="26"/>
        <v>Medium</v>
      </c>
      <c r="N868" t="str">
        <f t="shared" si="27"/>
        <v>Average</v>
      </c>
    </row>
    <row r="869" spans="1:14">
      <c r="A869" t="s">
        <v>68</v>
      </c>
      <c r="B869">
        <v>2009</v>
      </c>
      <c r="C869" t="s">
        <v>2071</v>
      </c>
      <c r="D869" t="s">
        <v>14</v>
      </c>
      <c r="E869" t="s">
        <v>2072</v>
      </c>
      <c r="F869" t="s">
        <v>46</v>
      </c>
      <c r="G869">
        <v>33.18</v>
      </c>
      <c r="H869">
        <v>99</v>
      </c>
      <c r="I869" t="s">
        <v>17</v>
      </c>
      <c r="J869" t="s">
        <v>24</v>
      </c>
      <c r="K869" t="s">
        <v>12</v>
      </c>
      <c r="L869">
        <v>135</v>
      </c>
      <c r="M869" t="str">
        <f t="shared" si="26"/>
        <v>Medium</v>
      </c>
      <c r="N869" t="str">
        <f t="shared" si="27"/>
        <v>Excellent</v>
      </c>
    </row>
    <row r="870" spans="1:14">
      <c r="A870" t="s">
        <v>68</v>
      </c>
      <c r="B870">
        <v>2001</v>
      </c>
      <c r="C870" t="s">
        <v>2073</v>
      </c>
      <c r="D870" t="s">
        <v>14</v>
      </c>
      <c r="E870" t="s">
        <v>2074</v>
      </c>
      <c r="F870" t="s">
        <v>46</v>
      </c>
      <c r="G870">
        <v>2.62</v>
      </c>
      <c r="H870">
        <v>97</v>
      </c>
      <c r="I870" t="s">
        <v>29</v>
      </c>
      <c r="J870" t="s">
        <v>18</v>
      </c>
      <c r="K870" t="s">
        <v>1292</v>
      </c>
      <c r="L870">
        <v>57</v>
      </c>
      <c r="M870" t="str">
        <f t="shared" si="26"/>
        <v>Low</v>
      </c>
      <c r="N870" t="str">
        <f t="shared" si="27"/>
        <v>Excellent</v>
      </c>
    </row>
    <row r="871" spans="1:14">
      <c r="A871" t="s">
        <v>12</v>
      </c>
      <c r="B871">
        <v>2016</v>
      </c>
      <c r="C871" t="s">
        <v>2075</v>
      </c>
      <c r="D871" t="s">
        <v>33</v>
      </c>
      <c r="E871" t="s">
        <v>2076</v>
      </c>
      <c r="F871" t="s">
        <v>35</v>
      </c>
      <c r="G871">
        <v>39.68</v>
      </c>
      <c r="H871">
        <v>84</v>
      </c>
      <c r="I871" t="s">
        <v>61</v>
      </c>
      <c r="J871" t="s">
        <v>37</v>
      </c>
      <c r="K871" t="s">
        <v>1979</v>
      </c>
      <c r="L871">
        <v>258</v>
      </c>
      <c r="M871" t="str">
        <f t="shared" si="26"/>
        <v>High</v>
      </c>
      <c r="N871" t="str">
        <f t="shared" si="27"/>
        <v>Good</v>
      </c>
    </row>
    <row r="872" spans="1:14">
      <c r="A872" t="s">
        <v>65</v>
      </c>
      <c r="B872">
        <v>2019</v>
      </c>
      <c r="C872" t="s">
        <v>2077</v>
      </c>
      <c r="D872" t="s">
        <v>33</v>
      </c>
      <c r="E872" t="s">
        <v>2078</v>
      </c>
      <c r="F872" t="s">
        <v>16</v>
      </c>
      <c r="G872">
        <v>11.37</v>
      </c>
      <c r="H872">
        <v>92</v>
      </c>
      <c r="I872" t="s">
        <v>36</v>
      </c>
      <c r="J872" t="s">
        <v>18</v>
      </c>
      <c r="K872" t="s">
        <v>25</v>
      </c>
      <c r="L872">
        <v>203</v>
      </c>
      <c r="M872" t="str">
        <f t="shared" si="26"/>
        <v>Low</v>
      </c>
      <c r="N872" t="str">
        <f t="shared" si="27"/>
        <v>Excellent</v>
      </c>
    </row>
    <row r="873" spans="1:14">
      <c r="A873" t="s">
        <v>47</v>
      </c>
      <c r="B873">
        <v>2009</v>
      </c>
      <c r="C873" t="s">
        <v>2079</v>
      </c>
      <c r="D873" t="s">
        <v>33</v>
      </c>
      <c r="E873" t="s">
        <v>2080</v>
      </c>
      <c r="F873" t="s">
        <v>46</v>
      </c>
      <c r="G873">
        <v>48.67</v>
      </c>
      <c r="H873">
        <v>88</v>
      </c>
      <c r="I873" t="s">
        <v>36</v>
      </c>
      <c r="J873" t="s">
        <v>18</v>
      </c>
      <c r="K873" t="s">
        <v>2081</v>
      </c>
      <c r="L873">
        <v>347</v>
      </c>
      <c r="M873" t="str">
        <f t="shared" si="26"/>
        <v>High</v>
      </c>
      <c r="N873" t="str">
        <f t="shared" si="27"/>
        <v>Good</v>
      </c>
    </row>
    <row r="874" spans="1:14">
      <c r="A874" t="s">
        <v>12</v>
      </c>
      <c r="B874">
        <v>2002</v>
      </c>
      <c r="C874" t="s">
        <v>2082</v>
      </c>
      <c r="D874" t="s">
        <v>33</v>
      </c>
      <c r="E874" t="s">
        <v>2083</v>
      </c>
      <c r="F874" t="s">
        <v>35</v>
      </c>
      <c r="G874">
        <v>17.54</v>
      </c>
      <c r="H874">
        <v>82</v>
      </c>
      <c r="I874" t="s">
        <v>61</v>
      </c>
      <c r="J874" t="s">
        <v>37</v>
      </c>
      <c r="K874" t="s">
        <v>48</v>
      </c>
      <c r="L874">
        <v>42</v>
      </c>
      <c r="M874" t="str">
        <f t="shared" si="26"/>
        <v>Medium</v>
      </c>
      <c r="N874" t="str">
        <f t="shared" si="27"/>
        <v>Good</v>
      </c>
    </row>
    <row r="875" spans="1:14">
      <c r="A875" t="s">
        <v>20</v>
      </c>
      <c r="B875">
        <v>2012</v>
      </c>
      <c r="C875" t="s">
        <v>2084</v>
      </c>
      <c r="D875" t="s">
        <v>33</v>
      </c>
      <c r="E875" t="s">
        <v>2085</v>
      </c>
      <c r="F875" t="s">
        <v>16</v>
      </c>
      <c r="G875">
        <v>24.96</v>
      </c>
      <c r="H875">
        <v>67</v>
      </c>
      <c r="I875" t="s">
        <v>29</v>
      </c>
      <c r="J875" t="s">
        <v>18</v>
      </c>
      <c r="K875" t="s">
        <v>39</v>
      </c>
      <c r="L875">
        <v>88</v>
      </c>
      <c r="M875" t="str">
        <f t="shared" si="26"/>
        <v>Medium</v>
      </c>
      <c r="N875" t="str">
        <f t="shared" si="27"/>
        <v>Average</v>
      </c>
    </row>
    <row r="876" spans="1:14">
      <c r="A876" t="s">
        <v>26</v>
      </c>
      <c r="B876">
        <v>2005</v>
      </c>
      <c r="C876" t="s">
        <v>2086</v>
      </c>
      <c r="D876" t="s">
        <v>33</v>
      </c>
      <c r="E876" t="s">
        <v>2087</v>
      </c>
      <c r="F876" t="s">
        <v>42</v>
      </c>
      <c r="G876">
        <v>0.8</v>
      </c>
      <c r="H876">
        <v>81</v>
      </c>
      <c r="I876" t="s">
        <v>61</v>
      </c>
      <c r="J876" t="s">
        <v>37</v>
      </c>
      <c r="K876" t="s">
        <v>1320</v>
      </c>
      <c r="L876">
        <v>76</v>
      </c>
      <c r="M876" t="str">
        <f t="shared" si="26"/>
        <v>Low</v>
      </c>
      <c r="N876" t="str">
        <f t="shared" si="27"/>
        <v>Good</v>
      </c>
    </row>
    <row r="877" spans="1:14">
      <c r="A877" t="s">
        <v>48</v>
      </c>
      <c r="B877">
        <v>2010</v>
      </c>
      <c r="C877" t="s">
        <v>2088</v>
      </c>
      <c r="D877" t="s">
        <v>33</v>
      </c>
      <c r="E877" t="s">
        <v>2089</v>
      </c>
      <c r="F877" t="s">
        <v>57</v>
      </c>
      <c r="G877">
        <v>28.21</v>
      </c>
      <c r="H877">
        <v>70</v>
      </c>
      <c r="I877" t="s">
        <v>29</v>
      </c>
      <c r="J877" t="s">
        <v>24</v>
      </c>
      <c r="K877" t="s">
        <v>31</v>
      </c>
      <c r="L877">
        <v>328</v>
      </c>
      <c r="M877" t="str">
        <f t="shared" si="26"/>
        <v>Medium</v>
      </c>
      <c r="N877" t="str">
        <f t="shared" si="27"/>
        <v>Average</v>
      </c>
    </row>
    <row r="878" spans="1:14">
      <c r="A878" t="s">
        <v>39</v>
      </c>
      <c r="B878">
        <v>2012</v>
      </c>
      <c r="C878" t="s">
        <v>2090</v>
      </c>
      <c r="D878" t="s">
        <v>14</v>
      </c>
      <c r="E878" t="s">
        <v>2091</v>
      </c>
      <c r="F878" t="s">
        <v>35</v>
      </c>
      <c r="G878">
        <v>8.34</v>
      </c>
      <c r="H878">
        <v>100</v>
      </c>
      <c r="I878" t="s">
        <v>61</v>
      </c>
      <c r="J878" t="s">
        <v>24</v>
      </c>
      <c r="K878" t="s">
        <v>249</v>
      </c>
      <c r="L878">
        <v>265</v>
      </c>
      <c r="M878" t="str">
        <f t="shared" si="26"/>
        <v>Low</v>
      </c>
      <c r="N878" t="str">
        <f t="shared" si="27"/>
        <v>Excellent</v>
      </c>
    </row>
    <row r="879" spans="1:14">
      <c r="A879" t="s">
        <v>12</v>
      </c>
      <c r="B879">
        <v>2013</v>
      </c>
      <c r="C879" t="s">
        <v>2092</v>
      </c>
      <c r="D879" t="s">
        <v>14</v>
      </c>
      <c r="E879" t="s">
        <v>2093</v>
      </c>
      <c r="F879" t="s">
        <v>46</v>
      </c>
      <c r="G879">
        <v>33.83</v>
      </c>
      <c r="H879">
        <v>83</v>
      </c>
      <c r="I879" t="s">
        <v>29</v>
      </c>
      <c r="J879" t="s">
        <v>24</v>
      </c>
      <c r="K879" t="s">
        <v>2094</v>
      </c>
      <c r="L879">
        <v>53</v>
      </c>
      <c r="M879" t="str">
        <f t="shared" si="26"/>
        <v>Medium</v>
      </c>
      <c r="N879" t="str">
        <f t="shared" si="27"/>
        <v>Good</v>
      </c>
    </row>
    <row r="880" spans="1:14">
      <c r="A880" t="s">
        <v>20</v>
      </c>
      <c r="B880">
        <v>2015</v>
      </c>
      <c r="C880" t="s">
        <v>2095</v>
      </c>
      <c r="D880" t="s">
        <v>14</v>
      </c>
      <c r="E880" t="s">
        <v>2096</v>
      </c>
      <c r="F880" t="s">
        <v>46</v>
      </c>
      <c r="G880">
        <v>40.44</v>
      </c>
      <c r="H880">
        <v>99</v>
      </c>
      <c r="I880" t="s">
        <v>61</v>
      </c>
      <c r="J880" t="s">
        <v>18</v>
      </c>
      <c r="K880" t="s">
        <v>2097</v>
      </c>
      <c r="L880">
        <v>203</v>
      </c>
      <c r="M880" t="str">
        <f t="shared" si="26"/>
        <v>High</v>
      </c>
      <c r="N880" t="str">
        <f t="shared" si="27"/>
        <v>Excellent</v>
      </c>
    </row>
    <row r="881" spans="1:14">
      <c r="A881" t="s">
        <v>48</v>
      </c>
      <c r="B881">
        <v>2013</v>
      </c>
      <c r="C881" t="s">
        <v>2098</v>
      </c>
      <c r="D881" t="s">
        <v>33</v>
      </c>
      <c r="E881" t="s">
        <v>2099</v>
      </c>
      <c r="F881" t="s">
        <v>16</v>
      </c>
      <c r="G881">
        <v>14.64</v>
      </c>
      <c r="H881">
        <v>65</v>
      </c>
      <c r="I881" t="s">
        <v>29</v>
      </c>
      <c r="J881" t="s">
        <v>18</v>
      </c>
      <c r="K881" t="s">
        <v>2100</v>
      </c>
      <c r="L881">
        <v>93</v>
      </c>
      <c r="M881" t="str">
        <f t="shared" si="26"/>
        <v>Low</v>
      </c>
      <c r="N881" t="str">
        <f t="shared" si="27"/>
        <v>Average</v>
      </c>
    </row>
    <row r="882" spans="1:14">
      <c r="A882" t="s">
        <v>20</v>
      </c>
      <c r="B882">
        <v>2013</v>
      </c>
      <c r="C882" t="s">
        <v>2101</v>
      </c>
      <c r="D882" t="s">
        <v>14</v>
      </c>
      <c r="E882" t="s">
        <v>2102</v>
      </c>
      <c r="F882" t="s">
        <v>35</v>
      </c>
      <c r="G882">
        <v>14.82</v>
      </c>
      <c r="H882">
        <v>96</v>
      </c>
      <c r="I882" t="s">
        <v>36</v>
      </c>
      <c r="J882" t="s">
        <v>24</v>
      </c>
      <c r="K882" t="s">
        <v>31</v>
      </c>
      <c r="L882">
        <v>195</v>
      </c>
      <c r="M882" t="str">
        <f t="shared" si="26"/>
        <v>Low</v>
      </c>
      <c r="N882" t="str">
        <f t="shared" si="27"/>
        <v>Excellent</v>
      </c>
    </row>
    <row r="883" spans="1:14">
      <c r="A883" t="s">
        <v>31</v>
      </c>
      <c r="B883">
        <v>2019</v>
      </c>
      <c r="C883" t="s">
        <v>2103</v>
      </c>
      <c r="D883" t="s">
        <v>14</v>
      </c>
      <c r="E883" t="s">
        <v>2104</v>
      </c>
      <c r="F883" t="s">
        <v>46</v>
      </c>
      <c r="G883">
        <v>20.84</v>
      </c>
      <c r="H883">
        <v>76</v>
      </c>
      <c r="I883" t="s">
        <v>29</v>
      </c>
      <c r="J883" t="s">
        <v>24</v>
      </c>
      <c r="K883" t="s">
        <v>38</v>
      </c>
      <c r="L883">
        <v>144</v>
      </c>
      <c r="M883" t="str">
        <f t="shared" si="26"/>
        <v>Medium</v>
      </c>
      <c r="N883" t="str">
        <f t="shared" si="27"/>
        <v>Good</v>
      </c>
    </row>
    <row r="884" spans="1:14">
      <c r="A884" t="s">
        <v>68</v>
      </c>
      <c r="B884">
        <v>2000</v>
      </c>
      <c r="C884" t="s">
        <v>2105</v>
      </c>
      <c r="D884" t="s">
        <v>14</v>
      </c>
      <c r="E884" t="s">
        <v>1687</v>
      </c>
      <c r="F884" t="s">
        <v>46</v>
      </c>
      <c r="G884">
        <v>21.25</v>
      </c>
      <c r="H884">
        <v>61</v>
      </c>
      <c r="I884" t="s">
        <v>17</v>
      </c>
      <c r="J884" t="s">
        <v>18</v>
      </c>
      <c r="K884" t="s">
        <v>2106</v>
      </c>
      <c r="L884">
        <v>268</v>
      </c>
      <c r="M884" t="str">
        <f t="shared" si="26"/>
        <v>Medium</v>
      </c>
      <c r="N884" t="str">
        <f t="shared" si="27"/>
        <v>Average</v>
      </c>
    </row>
    <row r="885" spans="1:14">
      <c r="A885" t="s">
        <v>47</v>
      </c>
      <c r="B885">
        <v>2010</v>
      </c>
      <c r="C885" t="s">
        <v>2107</v>
      </c>
      <c r="D885" t="s">
        <v>14</v>
      </c>
      <c r="E885" t="s">
        <v>2108</v>
      </c>
      <c r="F885" t="s">
        <v>35</v>
      </c>
      <c r="G885">
        <v>20.98</v>
      </c>
      <c r="H885">
        <v>54</v>
      </c>
      <c r="I885" t="s">
        <v>29</v>
      </c>
      <c r="J885" t="s">
        <v>18</v>
      </c>
      <c r="K885" t="s">
        <v>65</v>
      </c>
      <c r="L885">
        <v>83</v>
      </c>
      <c r="M885" t="str">
        <f t="shared" si="26"/>
        <v>Medium</v>
      </c>
      <c r="N885" t="str">
        <f t="shared" si="27"/>
        <v>Average</v>
      </c>
    </row>
    <row r="886" spans="1:14">
      <c r="A886" t="s">
        <v>47</v>
      </c>
      <c r="B886">
        <v>2023</v>
      </c>
      <c r="C886" t="s">
        <v>2109</v>
      </c>
      <c r="D886" t="s">
        <v>14</v>
      </c>
      <c r="E886" t="s">
        <v>1865</v>
      </c>
      <c r="F886" t="s">
        <v>46</v>
      </c>
      <c r="G886">
        <v>41.27</v>
      </c>
      <c r="H886">
        <v>69</v>
      </c>
      <c r="I886" t="s">
        <v>36</v>
      </c>
      <c r="J886" t="s">
        <v>24</v>
      </c>
      <c r="K886" t="s">
        <v>2110</v>
      </c>
      <c r="L886">
        <v>317</v>
      </c>
      <c r="M886" t="str">
        <f t="shared" si="26"/>
        <v>High</v>
      </c>
      <c r="N886" t="str">
        <f t="shared" si="27"/>
        <v>Average</v>
      </c>
    </row>
    <row r="887" spans="1:14">
      <c r="A887" t="s">
        <v>68</v>
      </c>
      <c r="B887">
        <v>2008</v>
      </c>
      <c r="C887" t="s">
        <v>2111</v>
      </c>
      <c r="D887" t="s">
        <v>14</v>
      </c>
      <c r="E887" t="s">
        <v>2112</v>
      </c>
      <c r="F887" t="s">
        <v>46</v>
      </c>
      <c r="G887">
        <v>42.85</v>
      </c>
      <c r="H887">
        <v>94</v>
      </c>
      <c r="I887" t="s">
        <v>36</v>
      </c>
      <c r="J887" t="s">
        <v>37</v>
      </c>
      <c r="K887" t="s">
        <v>1944</v>
      </c>
      <c r="L887">
        <v>91</v>
      </c>
      <c r="M887" t="str">
        <f t="shared" si="26"/>
        <v>High</v>
      </c>
      <c r="N887" t="str">
        <f t="shared" si="27"/>
        <v>Excellent</v>
      </c>
    </row>
    <row r="888" spans="1:14">
      <c r="A888" t="s">
        <v>39</v>
      </c>
      <c r="B888">
        <v>2006</v>
      </c>
      <c r="C888" t="s">
        <v>2113</v>
      </c>
      <c r="D888" t="s">
        <v>14</v>
      </c>
      <c r="E888" t="s">
        <v>2114</v>
      </c>
      <c r="F888" t="s">
        <v>46</v>
      </c>
      <c r="G888">
        <v>10.8</v>
      </c>
      <c r="H888">
        <v>67</v>
      </c>
      <c r="I888" t="s">
        <v>23</v>
      </c>
      <c r="J888" t="s">
        <v>37</v>
      </c>
      <c r="K888" t="s">
        <v>31</v>
      </c>
      <c r="L888">
        <v>232</v>
      </c>
      <c r="M888" t="str">
        <f t="shared" si="26"/>
        <v>Low</v>
      </c>
      <c r="N888" t="str">
        <f t="shared" si="27"/>
        <v>Average</v>
      </c>
    </row>
    <row r="889" spans="1:14">
      <c r="A889" t="s">
        <v>38</v>
      </c>
      <c r="B889">
        <v>2010</v>
      </c>
      <c r="C889" t="s">
        <v>2115</v>
      </c>
      <c r="D889" t="s">
        <v>14</v>
      </c>
      <c r="E889" t="s">
        <v>2116</v>
      </c>
      <c r="F889" t="s">
        <v>35</v>
      </c>
      <c r="G889">
        <v>12.55</v>
      </c>
      <c r="H889">
        <v>60</v>
      </c>
      <c r="I889" t="s">
        <v>61</v>
      </c>
      <c r="J889" t="s">
        <v>37</v>
      </c>
      <c r="K889" t="s">
        <v>2117</v>
      </c>
      <c r="L889">
        <v>147</v>
      </c>
      <c r="M889" t="str">
        <f t="shared" si="26"/>
        <v>Low</v>
      </c>
      <c r="N889" t="str">
        <f t="shared" si="27"/>
        <v>Average</v>
      </c>
    </row>
    <row r="890" spans="1:14">
      <c r="A890" t="s">
        <v>31</v>
      </c>
      <c r="B890">
        <v>2024</v>
      </c>
      <c r="C890" t="s">
        <v>2118</v>
      </c>
      <c r="D890" t="s">
        <v>33</v>
      </c>
      <c r="E890" t="s">
        <v>1890</v>
      </c>
      <c r="F890" t="s">
        <v>42</v>
      </c>
      <c r="G890">
        <v>23.98</v>
      </c>
      <c r="H890">
        <v>59</v>
      </c>
      <c r="I890" t="s">
        <v>29</v>
      </c>
      <c r="J890" t="s">
        <v>37</v>
      </c>
      <c r="K890" t="s">
        <v>371</v>
      </c>
      <c r="L890">
        <v>129</v>
      </c>
      <c r="M890" t="str">
        <f t="shared" si="26"/>
        <v>Medium</v>
      </c>
      <c r="N890" t="str">
        <f t="shared" si="27"/>
        <v>Average</v>
      </c>
    </row>
    <row r="891" spans="1:14">
      <c r="A891" t="s">
        <v>12</v>
      </c>
      <c r="B891">
        <v>2006</v>
      </c>
      <c r="C891" t="s">
        <v>2119</v>
      </c>
      <c r="D891" t="s">
        <v>33</v>
      </c>
      <c r="E891" t="s">
        <v>2120</v>
      </c>
      <c r="F891" t="s">
        <v>57</v>
      </c>
      <c r="G891">
        <v>28.13</v>
      </c>
      <c r="H891">
        <v>52</v>
      </c>
      <c r="I891" t="s">
        <v>29</v>
      </c>
      <c r="J891" t="s">
        <v>37</v>
      </c>
      <c r="K891" t="s">
        <v>68</v>
      </c>
      <c r="L891">
        <v>307</v>
      </c>
      <c r="M891" t="str">
        <f t="shared" si="26"/>
        <v>Medium</v>
      </c>
      <c r="N891" t="str">
        <f t="shared" si="27"/>
        <v>Average</v>
      </c>
    </row>
    <row r="892" spans="1:14">
      <c r="A892" t="s">
        <v>31</v>
      </c>
      <c r="B892">
        <v>2014</v>
      </c>
      <c r="C892" t="s">
        <v>2121</v>
      </c>
      <c r="D892" t="s">
        <v>33</v>
      </c>
      <c r="E892" t="s">
        <v>2122</v>
      </c>
      <c r="F892" t="s">
        <v>35</v>
      </c>
      <c r="G892">
        <v>43.49</v>
      </c>
      <c r="H892">
        <v>63</v>
      </c>
      <c r="I892" t="s">
        <v>36</v>
      </c>
      <c r="J892" t="s">
        <v>37</v>
      </c>
      <c r="K892" t="s">
        <v>1320</v>
      </c>
      <c r="L892">
        <v>215</v>
      </c>
      <c r="M892" t="str">
        <f t="shared" si="26"/>
        <v>High</v>
      </c>
      <c r="N892" t="str">
        <f t="shared" si="27"/>
        <v>Average</v>
      </c>
    </row>
    <row r="893" spans="1:14">
      <c r="A893" t="s">
        <v>68</v>
      </c>
      <c r="B893">
        <v>2023</v>
      </c>
      <c r="C893" t="s">
        <v>2123</v>
      </c>
      <c r="D893" t="s">
        <v>33</v>
      </c>
      <c r="E893" t="s">
        <v>2124</v>
      </c>
      <c r="F893" t="s">
        <v>46</v>
      </c>
      <c r="G893">
        <v>33</v>
      </c>
      <c r="H893">
        <v>86</v>
      </c>
      <c r="I893" t="s">
        <v>61</v>
      </c>
      <c r="J893" t="s">
        <v>24</v>
      </c>
      <c r="K893" t="s">
        <v>2125</v>
      </c>
      <c r="L893">
        <v>315</v>
      </c>
      <c r="M893" t="str">
        <f t="shared" si="26"/>
        <v>Medium</v>
      </c>
      <c r="N893" t="str">
        <f t="shared" si="27"/>
        <v>Good</v>
      </c>
    </row>
    <row r="894" spans="1:14">
      <c r="A894" t="s">
        <v>68</v>
      </c>
      <c r="B894">
        <v>2011</v>
      </c>
      <c r="C894" t="s">
        <v>2126</v>
      </c>
      <c r="D894" t="s">
        <v>14</v>
      </c>
      <c r="E894" t="s">
        <v>2127</v>
      </c>
      <c r="F894" t="s">
        <v>46</v>
      </c>
      <c r="G894">
        <v>38.130000000000003</v>
      </c>
      <c r="H894">
        <v>100</v>
      </c>
      <c r="I894" t="s">
        <v>23</v>
      </c>
      <c r="J894" t="s">
        <v>18</v>
      </c>
      <c r="K894" t="s">
        <v>2128</v>
      </c>
      <c r="L894">
        <v>245</v>
      </c>
      <c r="M894" t="str">
        <f t="shared" si="26"/>
        <v>High</v>
      </c>
      <c r="N894" t="str">
        <f t="shared" si="27"/>
        <v>Excellent</v>
      </c>
    </row>
    <row r="895" spans="1:14">
      <c r="A895" t="s">
        <v>38</v>
      </c>
      <c r="B895">
        <v>2009</v>
      </c>
      <c r="C895" t="s">
        <v>2129</v>
      </c>
      <c r="D895" t="s">
        <v>14</v>
      </c>
      <c r="E895" t="s">
        <v>2130</v>
      </c>
      <c r="F895" t="s">
        <v>16</v>
      </c>
      <c r="G895">
        <v>34.659999999999997</v>
      </c>
      <c r="H895">
        <v>82</v>
      </c>
      <c r="I895" t="s">
        <v>23</v>
      </c>
      <c r="J895" t="s">
        <v>18</v>
      </c>
      <c r="K895" t="s">
        <v>949</v>
      </c>
      <c r="L895">
        <v>235</v>
      </c>
      <c r="M895" t="str">
        <f t="shared" si="26"/>
        <v>Medium</v>
      </c>
      <c r="N895" t="str">
        <f t="shared" si="27"/>
        <v>Good</v>
      </c>
    </row>
    <row r="896" spans="1:14">
      <c r="A896" t="s">
        <v>65</v>
      </c>
      <c r="B896">
        <v>2018</v>
      </c>
      <c r="C896" t="s">
        <v>2131</v>
      </c>
      <c r="D896" t="s">
        <v>33</v>
      </c>
      <c r="E896" t="s">
        <v>2132</v>
      </c>
      <c r="F896" t="s">
        <v>35</v>
      </c>
      <c r="G896">
        <v>29.46</v>
      </c>
      <c r="H896">
        <v>50</v>
      </c>
      <c r="I896" t="s">
        <v>29</v>
      </c>
      <c r="J896" t="s">
        <v>18</v>
      </c>
      <c r="K896" t="s">
        <v>39</v>
      </c>
      <c r="L896">
        <v>265</v>
      </c>
      <c r="M896" t="str">
        <f t="shared" si="26"/>
        <v>Medium</v>
      </c>
      <c r="N896" t="str">
        <f t="shared" si="27"/>
        <v>Average</v>
      </c>
    </row>
    <row r="897" spans="1:14">
      <c r="A897" t="s">
        <v>47</v>
      </c>
      <c r="B897">
        <v>2019</v>
      </c>
      <c r="C897" t="s">
        <v>2133</v>
      </c>
      <c r="D897" t="s">
        <v>33</v>
      </c>
      <c r="E897" t="s">
        <v>2134</v>
      </c>
      <c r="F897" t="s">
        <v>42</v>
      </c>
      <c r="G897">
        <v>24.32</v>
      </c>
      <c r="H897">
        <v>89</v>
      </c>
      <c r="I897" t="s">
        <v>23</v>
      </c>
      <c r="J897" t="s">
        <v>37</v>
      </c>
      <c r="K897" t="s">
        <v>26</v>
      </c>
      <c r="L897">
        <v>332</v>
      </c>
      <c r="M897" t="str">
        <f t="shared" si="26"/>
        <v>Medium</v>
      </c>
      <c r="N897" t="str">
        <f t="shared" si="27"/>
        <v>Good</v>
      </c>
    </row>
    <row r="898" spans="1:14">
      <c r="A898" t="s">
        <v>12</v>
      </c>
      <c r="B898">
        <v>2006</v>
      </c>
      <c r="C898" t="s">
        <v>2135</v>
      </c>
      <c r="D898" t="s">
        <v>33</v>
      </c>
      <c r="E898" t="s">
        <v>2136</v>
      </c>
      <c r="F898" t="s">
        <v>57</v>
      </c>
      <c r="G898">
        <v>27.28</v>
      </c>
      <c r="H898">
        <v>69</v>
      </c>
      <c r="I898" t="s">
        <v>29</v>
      </c>
      <c r="J898" t="s">
        <v>24</v>
      </c>
      <c r="K898" t="s">
        <v>139</v>
      </c>
      <c r="L898">
        <v>7</v>
      </c>
      <c r="M898" t="str">
        <f t="shared" si="26"/>
        <v>Medium</v>
      </c>
      <c r="N898" t="str">
        <f t="shared" si="27"/>
        <v>Average</v>
      </c>
    </row>
    <row r="899" spans="1:14">
      <c r="A899" t="s">
        <v>65</v>
      </c>
      <c r="B899">
        <v>2002</v>
      </c>
      <c r="C899" t="s">
        <v>2137</v>
      </c>
      <c r="D899" t="s">
        <v>14</v>
      </c>
      <c r="E899" t="s">
        <v>1932</v>
      </c>
      <c r="F899" t="s">
        <v>46</v>
      </c>
      <c r="G899">
        <v>25.41</v>
      </c>
      <c r="H899">
        <v>100</v>
      </c>
      <c r="I899" t="s">
        <v>17</v>
      </c>
      <c r="J899" t="s">
        <v>24</v>
      </c>
      <c r="K899" t="s">
        <v>2138</v>
      </c>
      <c r="L899">
        <v>271</v>
      </c>
      <c r="M899" t="str">
        <f t="shared" ref="M899:M962" si="28">IF(G899&lt;15,"Low",IF(G899&lt;35,"Medium","High"))</f>
        <v>Medium</v>
      </c>
      <c r="N899" t="str">
        <f t="shared" ref="N899:N962" si="29">IF(H899&gt;=90,"Excellent",IF(H899&gt;=75,"Good","Average"))</f>
        <v>Excellent</v>
      </c>
    </row>
    <row r="900" spans="1:14">
      <c r="A900" t="s">
        <v>38</v>
      </c>
      <c r="B900">
        <v>2012</v>
      </c>
      <c r="C900" t="s">
        <v>2139</v>
      </c>
      <c r="D900" t="s">
        <v>14</v>
      </c>
      <c r="E900" t="s">
        <v>2140</v>
      </c>
      <c r="F900" t="s">
        <v>57</v>
      </c>
      <c r="G900">
        <v>36.51</v>
      </c>
      <c r="H900">
        <v>83</v>
      </c>
      <c r="I900" t="s">
        <v>17</v>
      </c>
      <c r="J900" t="s">
        <v>37</v>
      </c>
      <c r="K900" t="s">
        <v>68</v>
      </c>
      <c r="L900">
        <v>352</v>
      </c>
      <c r="M900" t="str">
        <f t="shared" si="28"/>
        <v>High</v>
      </c>
      <c r="N900" t="str">
        <f t="shared" si="29"/>
        <v>Good</v>
      </c>
    </row>
    <row r="901" spans="1:14">
      <c r="A901" t="s">
        <v>31</v>
      </c>
      <c r="B901">
        <v>2021</v>
      </c>
      <c r="C901" t="s">
        <v>2141</v>
      </c>
      <c r="D901" t="s">
        <v>33</v>
      </c>
      <c r="E901" t="s">
        <v>2142</v>
      </c>
      <c r="F901" t="s">
        <v>46</v>
      </c>
      <c r="G901">
        <v>6.01</v>
      </c>
      <c r="H901">
        <v>52</v>
      </c>
      <c r="I901" t="s">
        <v>61</v>
      </c>
      <c r="J901" t="s">
        <v>18</v>
      </c>
      <c r="K901" t="s">
        <v>48</v>
      </c>
      <c r="L901">
        <v>76</v>
      </c>
      <c r="M901" t="str">
        <f t="shared" si="28"/>
        <v>Low</v>
      </c>
      <c r="N901" t="str">
        <f t="shared" si="29"/>
        <v>Average</v>
      </c>
    </row>
    <row r="902" spans="1:14">
      <c r="A902" t="s">
        <v>68</v>
      </c>
      <c r="B902">
        <v>2018</v>
      </c>
      <c r="C902" t="s">
        <v>2143</v>
      </c>
      <c r="D902" t="s">
        <v>33</v>
      </c>
      <c r="E902" t="s">
        <v>2144</v>
      </c>
      <c r="F902" t="s">
        <v>42</v>
      </c>
      <c r="G902">
        <v>48.7</v>
      </c>
      <c r="H902">
        <v>94</v>
      </c>
      <c r="I902" t="s">
        <v>61</v>
      </c>
      <c r="J902" t="s">
        <v>18</v>
      </c>
      <c r="K902" t="s">
        <v>1237</v>
      </c>
      <c r="L902">
        <v>91</v>
      </c>
      <c r="M902" t="str">
        <f t="shared" si="28"/>
        <v>High</v>
      </c>
      <c r="N902" t="str">
        <f t="shared" si="29"/>
        <v>Excellent</v>
      </c>
    </row>
    <row r="903" spans="1:14">
      <c r="A903" t="s">
        <v>12</v>
      </c>
      <c r="B903">
        <v>2004</v>
      </c>
      <c r="C903" t="s">
        <v>2145</v>
      </c>
      <c r="D903" t="s">
        <v>14</v>
      </c>
      <c r="E903" t="s">
        <v>2146</v>
      </c>
      <c r="F903" t="s">
        <v>16</v>
      </c>
      <c r="G903">
        <v>30.99</v>
      </c>
      <c r="H903">
        <v>58</v>
      </c>
      <c r="I903" t="s">
        <v>36</v>
      </c>
      <c r="J903" t="s">
        <v>37</v>
      </c>
      <c r="K903" t="s">
        <v>232</v>
      </c>
      <c r="L903">
        <v>108</v>
      </c>
      <c r="M903" t="str">
        <f t="shared" si="28"/>
        <v>Medium</v>
      </c>
      <c r="N903" t="str">
        <f t="shared" si="29"/>
        <v>Average</v>
      </c>
    </row>
    <row r="904" spans="1:14">
      <c r="A904" t="s">
        <v>20</v>
      </c>
      <c r="B904">
        <v>2005</v>
      </c>
      <c r="C904" t="s">
        <v>2147</v>
      </c>
      <c r="D904" t="s">
        <v>14</v>
      </c>
      <c r="E904" t="s">
        <v>2148</v>
      </c>
      <c r="F904" t="s">
        <v>16</v>
      </c>
      <c r="G904">
        <v>20.47</v>
      </c>
      <c r="H904">
        <v>98</v>
      </c>
      <c r="I904" t="s">
        <v>29</v>
      </c>
      <c r="J904" t="s">
        <v>24</v>
      </c>
      <c r="K904" t="s">
        <v>2125</v>
      </c>
      <c r="L904">
        <v>262</v>
      </c>
      <c r="M904" t="str">
        <f t="shared" si="28"/>
        <v>Medium</v>
      </c>
      <c r="N904" t="str">
        <f t="shared" si="29"/>
        <v>Excellent</v>
      </c>
    </row>
    <row r="905" spans="1:14">
      <c r="A905" t="s">
        <v>68</v>
      </c>
      <c r="B905">
        <v>2022</v>
      </c>
      <c r="C905" t="s">
        <v>2149</v>
      </c>
      <c r="D905" t="s">
        <v>14</v>
      </c>
      <c r="E905" t="s">
        <v>2150</v>
      </c>
      <c r="F905" t="s">
        <v>16</v>
      </c>
      <c r="G905">
        <v>13.26</v>
      </c>
      <c r="H905">
        <v>61</v>
      </c>
      <c r="I905" t="s">
        <v>29</v>
      </c>
      <c r="J905" t="s">
        <v>18</v>
      </c>
      <c r="K905" t="s">
        <v>2151</v>
      </c>
      <c r="L905">
        <v>33</v>
      </c>
      <c r="M905" t="str">
        <f t="shared" si="28"/>
        <v>Low</v>
      </c>
      <c r="N905" t="str">
        <f t="shared" si="29"/>
        <v>Average</v>
      </c>
    </row>
    <row r="906" spans="1:14">
      <c r="A906" t="s">
        <v>48</v>
      </c>
      <c r="B906">
        <v>2024</v>
      </c>
      <c r="C906" t="s">
        <v>2152</v>
      </c>
      <c r="D906" t="s">
        <v>14</v>
      </c>
      <c r="E906" t="s">
        <v>2153</v>
      </c>
      <c r="F906" t="s">
        <v>16</v>
      </c>
      <c r="G906">
        <v>37.06</v>
      </c>
      <c r="H906">
        <v>73</v>
      </c>
      <c r="I906" t="s">
        <v>61</v>
      </c>
      <c r="J906" t="s">
        <v>24</v>
      </c>
      <c r="K906" t="s">
        <v>26</v>
      </c>
      <c r="L906">
        <v>254</v>
      </c>
      <c r="M906" t="str">
        <f t="shared" si="28"/>
        <v>High</v>
      </c>
      <c r="N906" t="str">
        <f t="shared" si="29"/>
        <v>Average</v>
      </c>
    </row>
    <row r="907" spans="1:14">
      <c r="A907" t="s">
        <v>26</v>
      </c>
      <c r="B907">
        <v>2016</v>
      </c>
      <c r="C907" t="s">
        <v>2154</v>
      </c>
      <c r="D907" t="s">
        <v>14</v>
      </c>
      <c r="E907" t="s">
        <v>2155</v>
      </c>
      <c r="F907" t="s">
        <v>16</v>
      </c>
      <c r="G907">
        <v>21.39</v>
      </c>
      <c r="H907">
        <v>91</v>
      </c>
      <c r="I907" t="s">
        <v>61</v>
      </c>
      <c r="J907" t="s">
        <v>37</v>
      </c>
      <c r="K907" t="s">
        <v>2156</v>
      </c>
      <c r="L907">
        <v>358</v>
      </c>
      <c r="M907" t="str">
        <f t="shared" si="28"/>
        <v>Medium</v>
      </c>
      <c r="N907" t="str">
        <f t="shared" si="29"/>
        <v>Excellent</v>
      </c>
    </row>
    <row r="908" spans="1:14">
      <c r="A908" t="s">
        <v>48</v>
      </c>
      <c r="B908">
        <v>2006</v>
      </c>
      <c r="C908" t="s">
        <v>2157</v>
      </c>
      <c r="D908" t="s">
        <v>33</v>
      </c>
      <c r="E908" t="s">
        <v>2158</v>
      </c>
      <c r="F908" t="s">
        <v>35</v>
      </c>
      <c r="G908">
        <v>30.08</v>
      </c>
      <c r="H908">
        <v>53</v>
      </c>
      <c r="I908" t="s">
        <v>36</v>
      </c>
      <c r="J908" t="s">
        <v>18</v>
      </c>
      <c r="K908" t="s">
        <v>47</v>
      </c>
      <c r="L908">
        <v>326</v>
      </c>
      <c r="M908" t="str">
        <f t="shared" si="28"/>
        <v>Medium</v>
      </c>
      <c r="N908" t="str">
        <f t="shared" si="29"/>
        <v>Average</v>
      </c>
    </row>
    <row r="909" spans="1:14">
      <c r="A909" t="s">
        <v>68</v>
      </c>
      <c r="B909">
        <v>2016</v>
      </c>
      <c r="C909" t="s">
        <v>2159</v>
      </c>
      <c r="D909" t="s">
        <v>14</v>
      </c>
      <c r="E909" t="s">
        <v>2160</v>
      </c>
      <c r="F909" t="s">
        <v>46</v>
      </c>
      <c r="G909">
        <v>40.119999999999997</v>
      </c>
      <c r="H909">
        <v>87</v>
      </c>
      <c r="I909" t="s">
        <v>36</v>
      </c>
      <c r="J909" t="s">
        <v>18</v>
      </c>
      <c r="K909" t="s">
        <v>846</v>
      </c>
      <c r="L909">
        <v>48</v>
      </c>
      <c r="M909" t="str">
        <f t="shared" si="28"/>
        <v>High</v>
      </c>
      <c r="N909" t="str">
        <f t="shared" si="29"/>
        <v>Good</v>
      </c>
    </row>
    <row r="910" spans="1:14">
      <c r="A910" t="s">
        <v>38</v>
      </c>
      <c r="B910">
        <v>2004</v>
      </c>
      <c r="C910" t="s">
        <v>2161</v>
      </c>
      <c r="D910" t="s">
        <v>14</v>
      </c>
      <c r="E910" t="s">
        <v>2162</v>
      </c>
      <c r="F910" t="s">
        <v>46</v>
      </c>
      <c r="G910">
        <v>42.75</v>
      </c>
      <c r="H910">
        <v>78</v>
      </c>
      <c r="I910" t="s">
        <v>17</v>
      </c>
      <c r="J910" t="s">
        <v>18</v>
      </c>
      <c r="K910" t="s">
        <v>430</v>
      </c>
      <c r="L910">
        <v>77</v>
      </c>
      <c r="M910" t="str">
        <f t="shared" si="28"/>
        <v>High</v>
      </c>
      <c r="N910" t="str">
        <f t="shared" si="29"/>
        <v>Good</v>
      </c>
    </row>
    <row r="911" spans="1:14">
      <c r="A911" t="s">
        <v>12</v>
      </c>
      <c r="B911">
        <v>2012</v>
      </c>
      <c r="C911" t="s">
        <v>2163</v>
      </c>
      <c r="D911" t="s">
        <v>33</v>
      </c>
      <c r="E911" t="s">
        <v>2164</v>
      </c>
      <c r="F911" t="s">
        <v>35</v>
      </c>
      <c r="G911">
        <v>30.02</v>
      </c>
      <c r="H911">
        <v>80</v>
      </c>
      <c r="I911" t="s">
        <v>23</v>
      </c>
      <c r="J911" t="s">
        <v>37</v>
      </c>
      <c r="K911" t="s">
        <v>26</v>
      </c>
      <c r="L911">
        <v>151</v>
      </c>
      <c r="M911" t="str">
        <f t="shared" si="28"/>
        <v>Medium</v>
      </c>
      <c r="N911" t="str">
        <f t="shared" si="29"/>
        <v>Good</v>
      </c>
    </row>
    <row r="912" spans="1:14">
      <c r="A912" t="s">
        <v>47</v>
      </c>
      <c r="B912">
        <v>2023</v>
      </c>
      <c r="C912" t="s">
        <v>2165</v>
      </c>
      <c r="D912" t="s">
        <v>33</v>
      </c>
      <c r="E912" t="s">
        <v>2166</v>
      </c>
      <c r="F912" t="s">
        <v>57</v>
      </c>
      <c r="G912">
        <v>43.75</v>
      </c>
      <c r="H912">
        <v>66</v>
      </c>
      <c r="I912" t="s">
        <v>17</v>
      </c>
      <c r="J912" t="s">
        <v>24</v>
      </c>
      <c r="K912" t="s">
        <v>1766</v>
      </c>
      <c r="L912">
        <v>277</v>
      </c>
      <c r="M912" t="str">
        <f t="shared" si="28"/>
        <v>High</v>
      </c>
      <c r="N912" t="str">
        <f t="shared" si="29"/>
        <v>Average</v>
      </c>
    </row>
    <row r="913" spans="1:14">
      <c r="A913" t="s">
        <v>20</v>
      </c>
      <c r="B913">
        <v>2010</v>
      </c>
      <c r="C913" t="s">
        <v>2167</v>
      </c>
      <c r="D913" t="s">
        <v>33</v>
      </c>
      <c r="E913" t="s">
        <v>2168</v>
      </c>
      <c r="F913" t="s">
        <v>35</v>
      </c>
      <c r="G913">
        <v>48.61</v>
      </c>
      <c r="H913">
        <v>100</v>
      </c>
      <c r="I913" t="s">
        <v>23</v>
      </c>
      <c r="J913" t="s">
        <v>18</v>
      </c>
      <c r="K913" t="s">
        <v>1873</v>
      </c>
      <c r="L913">
        <v>11</v>
      </c>
      <c r="M913" t="str">
        <f t="shared" si="28"/>
        <v>High</v>
      </c>
      <c r="N913" t="str">
        <f t="shared" si="29"/>
        <v>Excellent</v>
      </c>
    </row>
    <row r="914" spans="1:14">
      <c r="A914" t="s">
        <v>39</v>
      </c>
      <c r="B914">
        <v>2021</v>
      </c>
      <c r="C914" t="s">
        <v>2169</v>
      </c>
      <c r="D914" t="s">
        <v>14</v>
      </c>
      <c r="E914" t="s">
        <v>2170</v>
      </c>
      <c r="F914" t="s">
        <v>35</v>
      </c>
      <c r="G914">
        <v>37.299999999999997</v>
      </c>
      <c r="H914">
        <v>50</v>
      </c>
      <c r="I914" t="s">
        <v>61</v>
      </c>
      <c r="J914" t="s">
        <v>24</v>
      </c>
      <c r="K914" t="s">
        <v>31</v>
      </c>
      <c r="L914">
        <v>234</v>
      </c>
      <c r="M914" t="str">
        <f t="shared" si="28"/>
        <v>High</v>
      </c>
      <c r="N914" t="str">
        <f t="shared" si="29"/>
        <v>Average</v>
      </c>
    </row>
    <row r="915" spans="1:14">
      <c r="A915" t="s">
        <v>39</v>
      </c>
      <c r="B915">
        <v>2020</v>
      </c>
      <c r="C915" t="s">
        <v>2171</v>
      </c>
      <c r="D915" t="s">
        <v>33</v>
      </c>
      <c r="E915" t="s">
        <v>2172</v>
      </c>
      <c r="F915" t="s">
        <v>16</v>
      </c>
      <c r="G915">
        <v>16.09</v>
      </c>
      <c r="H915">
        <v>60</v>
      </c>
      <c r="I915" t="s">
        <v>61</v>
      </c>
      <c r="J915" t="s">
        <v>18</v>
      </c>
      <c r="K915" t="s">
        <v>47</v>
      </c>
      <c r="L915">
        <v>73</v>
      </c>
      <c r="M915" t="str">
        <f t="shared" si="28"/>
        <v>Medium</v>
      </c>
      <c r="N915" t="str">
        <f t="shared" si="29"/>
        <v>Average</v>
      </c>
    </row>
    <row r="916" spans="1:14">
      <c r="A916" t="s">
        <v>65</v>
      </c>
      <c r="B916">
        <v>2021</v>
      </c>
      <c r="C916" t="s">
        <v>2173</v>
      </c>
      <c r="D916" t="s">
        <v>14</v>
      </c>
      <c r="E916" t="s">
        <v>2174</v>
      </c>
      <c r="F916" t="s">
        <v>16</v>
      </c>
      <c r="G916">
        <v>14.22</v>
      </c>
      <c r="H916">
        <v>90</v>
      </c>
      <c r="I916" t="s">
        <v>17</v>
      </c>
      <c r="J916" t="s">
        <v>18</v>
      </c>
      <c r="K916" t="s">
        <v>488</v>
      </c>
      <c r="L916">
        <v>95</v>
      </c>
      <c r="M916" t="str">
        <f t="shared" si="28"/>
        <v>Low</v>
      </c>
      <c r="N916" t="str">
        <f t="shared" si="29"/>
        <v>Excellent</v>
      </c>
    </row>
    <row r="917" spans="1:14">
      <c r="A917" t="s">
        <v>48</v>
      </c>
      <c r="B917">
        <v>2006</v>
      </c>
      <c r="C917" t="s">
        <v>2175</v>
      </c>
      <c r="D917" t="s">
        <v>14</v>
      </c>
      <c r="E917" t="s">
        <v>2176</v>
      </c>
      <c r="F917" t="s">
        <v>16</v>
      </c>
      <c r="G917">
        <v>16.73</v>
      </c>
      <c r="H917">
        <v>67</v>
      </c>
      <c r="I917" t="s">
        <v>23</v>
      </c>
      <c r="J917" t="s">
        <v>24</v>
      </c>
      <c r="K917" t="s">
        <v>20</v>
      </c>
      <c r="L917">
        <v>315</v>
      </c>
      <c r="M917" t="str">
        <f t="shared" si="28"/>
        <v>Medium</v>
      </c>
      <c r="N917" t="str">
        <f t="shared" si="29"/>
        <v>Average</v>
      </c>
    </row>
    <row r="918" spans="1:14">
      <c r="A918" t="s">
        <v>65</v>
      </c>
      <c r="B918">
        <v>2005</v>
      </c>
      <c r="C918" t="s">
        <v>2177</v>
      </c>
      <c r="D918" t="s">
        <v>14</v>
      </c>
      <c r="E918" t="s">
        <v>2178</v>
      </c>
      <c r="F918" t="s">
        <v>35</v>
      </c>
      <c r="G918">
        <v>1.42</v>
      </c>
      <c r="H918">
        <v>59</v>
      </c>
      <c r="I918" t="s">
        <v>36</v>
      </c>
      <c r="J918" t="s">
        <v>24</v>
      </c>
      <c r="K918" t="s">
        <v>47</v>
      </c>
      <c r="L918">
        <v>49</v>
      </c>
      <c r="M918" t="str">
        <f t="shared" si="28"/>
        <v>Low</v>
      </c>
      <c r="N918" t="str">
        <f t="shared" si="29"/>
        <v>Average</v>
      </c>
    </row>
    <row r="919" spans="1:14">
      <c r="A919" t="s">
        <v>39</v>
      </c>
      <c r="B919">
        <v>2021</v>
      </c>
      <c r="C919" t="s">
        <v>2179</v>
      </c>
      <c r="D919" t="s">
        <v>33</v>
      </c>
      <c r="E919" t="s">
        <v>2180</v>
      </c>
      <c r="F919" t="s">
        <v>46</v>
      </c>
      <c r="G919">
        <v>46.89</v>
      </c>
      <c r="H919">
        <v>51</v>
      </c>
      <c r="I919" t="s">
        <v>29</v>
      </c>
      <c r="J919" t="s">
        <v>18</v>
      </c>
      <c r="K919" t="s">
        <v>19</v>
      </c>
      <c r="L919">
        <v>37</v>
      </c>
      <c r="M919" t="str">
        <f t="shared" si="28"/>
        <v>High</v>
      </c>
      <c r="N919" t="str">
        <f t="shared" si="29"/>
        <v>Average</v>
      </c>
    </row>
    <row r="920" spans="1:14">
      <c r="A920" t="s">
        <v>65</v>
      </c>
      <c r="B920">
        <v>2015</v>
      </c>
      <c r="C920" t="s">
        <v>2181</v>
      </c>
      <c r="D920" t="s">
        <v>33</v>
      </c>
      <c r="E920" t="s">
        <v>2182</v>
      </c>
      <c r="F920" t="s">
        <v>35</v>
      </c>
      <c r="G920">
        <v>33.93</v>
      </c>
      <c r="H920">
        <v>91</v>
      </c>
      <c r="I920" t="s">
        <v>36</v>
      </c>
      <c r="J920" t="s">
        <v>18</v>
      </c>
      <c r="K920" t="s">
        <v>2183</v>
      </c>
      <c r="L920">
        <v>169</v>
      </c>
      <c r="M920" t="str">
        <f t="shared" si="28"/>
        <v>Medium</v>
      </c>
      <c r="N920" t="str">
        <f t="shared" si="29"/>
        <v>Excellent</v>
      </c>
    </row>
    <row r="921" spans="1:14">
      <c r="A921" t="s">
        <v>31</v>
      </c>
      <c r="B921">
        <v>2021</v>
      </c>
      <c r="C921" t="s">
        <v>2184</v>
      </c>
      <c r="D921" t="s">
        <v>33</v>
      </c>
      <c r="E921" t="s">
        <v>2185</v>
      </c>
      <c r="F921" t="s">
        <v>42</v>
      </c>
      <c r="G921">
        <v>21.65</v>
      </c>
      <c r="H921">
        <v>93</v>
      </c>
      <c r="I921" t="s">
        <v>61</v>
      </c>
      <c r="J921" t="s">
        <v>18</v>
      </c>
      <c r="K921" t="s">
        <v>279</v>
      </c>
      <c r="L921">
        <v>223</v>
      </c>
      <c r="M921" t="str">
        <f t="shared" si="28"/>
        <v>Medium</v>
      </c>
      <c r="N921" t="str">
        <f t="shared" si="29"/>
        <v>Excellent</v>
      </c>
    </row>
    <row r="922" spans="1:14">
      <c r="A922" t="s">
        <v>68</v>
      </c>
      <c r="B922">
        <v>2011</v>
      </c>
      <c r="C922" t="s">
        <v>2186</v>
      </c>
      <c r="D922" t="s">
        <v>14</v>
      </c>
      <c r="E922" t="s">
        <v>2187</v>
      </c>
      <c r="F922" t="s">
        <v>57</v>
      </c>
      <c r="G922">
        <v>4.16</v>
      </c>
      <c r="H922">
        <v>56</v>
      </c>
      <c r="I922" t="s">
        <v>17</v>
      </c>
      <c r="J922" t="s">
        <v>18</v>
      </c>
      <c r="K922" t="s">
        <v>1944</v>
      </c>
      <c r="L922">
        <v>237</v>
      </c>
      <c r="M922" t="str">
        <f t="shared" si="28"/>
        <v>Low</v>
      </c>
      <c r="N922" t="str">
        <f t="shared" si="29"/>
        <v>Average</v>
      </c>
    </row>
    <row r="923" spans="1:14">
      <c r="A923" t="s">
        <v>68</v>
      </c>
      <c r="B923">
        <v>2006</v>
      </c>
      <c r="C923" t="s">
        <v>2188</v>
      </c>
      <c r="D923" t="s">
        <v>33</v>
      </c>
      <c r="E923" t="s">
        <v>2189</v>
      </c>
      <c r="F923" t="s">
        <v>46</v>
      </c>
      <c r="G923">
        <v>5.9</v>
      </c>
      <c r="H923">
        <v>94</v>
      </c>
      <c r="I923" t="s">
        <v>23</v>
      </c>
      <c r="J923" t="s">
        <v>18</v>
      </c>
      <c r="K923" t="s">
        <v>26</v>
      </c>
      <c r="L923">
        <v>342</v>
      </c>
      <c r="M923" t="str">
        <f t="shared" si="28"/>
        <v>Low</v>
      </c>
      <c r="N923" t="str">
        <f t="shared" si="29"/>
        <v>Excellent</v>
      </c>
    </row>
    <row r="924" spans="1:14">
      <c r="A924" t="s">
        <v>38</v>
      </c>
      <c r="B924">
        <v>2024</v>
      </c>
      <c r="C924" t="s">
        <v>2190</v>
      </c>
      <c r="D924" t="s">
        <v>33</v>
      </c>
      <c r="E924" t="s">
        <v>2191</v>
      </c>
      <c r="F924" t="s">
        <v>46</v>
      </c>
      <c r="G924">
        <v>41.14</v>
      </c>
      <c r="H924">
        <v>96</v>
      </c>
      <c r="I924" t="s">
        <v>61</v>
      </c>
      <c r="J924" t="s">
        <v>37</v>
      </c>
      <c r="K924" t="s">
        <v>2192</v>
      </c>
      <c r="L924">
        <v>113</v>
      </c>
      <c r="M924" t="str">
        <f t="shared" si="28"/>
        <v>High</v>
      </c>
      <c r="N924" t="str">
        <f t="shared" si="29"/>
        <v>Excellent</v>
      </c>
    </row>
    <row r="925" spans="1:14">
      <c r="A925" t="s">
        <v>39</v>
      </c>
      <c r="B925">
        <v>2021</v>
      </c>
      <c r="C925" t="s">
        <v>2193</v>
      </c>
      <c r="D925" t="s">
        <v>33</v>
      </c>
      <c r="E925" t="s">
        <v>2194</v>
      </c>
      <c r="F925" t="s">
        <v>35</v>
      </c>
      <c r="G925">
        <v>15.88</v>
      </c>
      <c r="H925">
        <v>66</v>
      </c>
      <c r="I925" t="s">
        <v>29</v>
      </c>
      <c r="J925" t="s">
        <v>37</v>
      </c>
      <c r="K925" t="s">
        <v>157</v>
      </c>
      <c r="L925">
        <v>148</v>
      </c>
      <c r="M925" t="str">
        <f t="shared" si="28"/>
        <v>Medium</v>
      </c>
      <c r="N925" t="str">
        <f t="shared" si="29"/>
        <v>Average</v>
      </c>
    </row>
    <row r="926" spans="1:14">
      <c r="A926" t="s">
        <v>65</v>
      </c>
      <c r="B926">
        <v>2024</v>
      </c>
      <c r="C926" t="s">
        <v>2195</v>
      </c>
      <c r="D926" t="s">
        <v>33</v>
      </c>
      <c r="E926" t="s">
        <v>2196</v>
      </c>
      <c r="F926" t="s">
        <v>57</v>
      </c>
      <c r="G926">
        <v>36.049999999999997</v>
      </c>
      <c r="H926">
        <v>61</v>
      </c>
      <c r="I926" t="s">
        <v>29</v>
      </c>
      <c r="J926" t="s">
        <v>18</v>
      </c>
      <c r="K926" t="s">
        <v>64</v>
      </c>
      <c r="L926">
        <v>224</v>
      </c>
      <c r="M926" t="str">
        <f t="shared" si="28"/>
        <v>High</v>
      </c>
      <c r="N926" t="str">
        <f t="shared" si="29"/>
        <v>Average</v>
      </c>
    </row>
    <row r="927" spans="1:14">
      <c r="A927" t="s">
        <v>38</v>
      </c>
      <c r="B927">
        <v>2007</v>
      </c>
      <c r="C927" t="s">
        <v>2197</v>
      </c>
      <c r="D927" t="s">
        <v>14</v>
      </c>
      <c r="E927" t="s">
        <v>2198</v>
      </c>
      <c r="F927" t="s">
        <v>57</v>
      </c>
      <c r="G927">
        <v>13.06</v>
      </c>
      <c r="H927">
        <v>100</v>
      </c>
      <c r="I927" t="s">
        <v>23</v>
      </c>
      <c r="J927" t="s">
        <v>24</v>
      </c>
      <c r="K927" t="s">
        <v>1226</v>
      </c>
      <c r="L927">
        <v>162</v>
      </c>
      <c r="M927" t="str">
        <f t="shared" si="28"/>
        <v>Low</v>
      </c>
      <c r="N927" t="str">
        <f t="shared" si="29"/>
        <v>Excellent</v>
      </c>
    </row>
    <row r="928" spans="1:14">
      <c r="A928" t="s">
        <v>48</v>
      </c>
      <c r="B928">
        <v>2014</v>
      </c>
      <c r="C928" t="s">
        <v>2199</v>
      </c>
      <c r="D928" t="s">
        <v>33</v>
      </c>
      <c r="E928" t="s">
        <v>2200</v>
      </c>
      <c r="F928" t="s">
        <v>42</v>
      </c>
      <c r="G928">
        <v>24.52</v>
      </c>
      <c r="H928">
        <v>59</v>
      </c>
      <c r="I928" t="s">
        <v>36</v>
      </c>
      <c r="J928" t="s">
        <v>18</v>
      </c>
      <c r="K928" t="s">
        <v>615</v>
      </c>
      <c r="L928">
        <v>240</v>
      </c>
      <c r="M928" t="str">
        <f t="shared" si="28"/>
        <v>Medium</v>
      </c>
      <c r="N928" t="str">
        <f t="shared" si="29"/>
        <v>Average</v>
      </c>
    </row>
    <row r="929" spans="1:14">
      <c r="A929" t="s">
        <v>39</v>
      </c>
      <c r="B929">
        <v>2017</v>
      </c>
      <c r="C929" t="s">
        <v>2201</v>
      </c>
      <c r="D929" t="s">
        <v>14</v>
      </c>
      <c r="E929" t="s">
        <v>2202</v>
      </c>
      <c r="F929" t="s">
        <v>35</v>
      </c>
      <c r="G929">
        <v>20.6</v>
      </c>
      <c r="H929">
        <v>93</v>
      </c>
      <c r="I929" t="s">
        <v>61</v>
      </c>
      <c r="J929" t="s">
        <v>18</v>
      </c>
      <c r="K929" t="s">
        <v>1189</v>
      </c>
      <c r="L929">
        <v>16</v>
      </c>
      <c r="M929" t="str">
        <f t="shared" si="28"/>
        <v>Medium</v>
      </c>
      <c r="N929" t="str">
        <f t="shared" si="29"/>
        <v>Excellent</v>
      </c>
    </row>
    <row r="930" spans="1:14">
      <c r="A930" t="s">
        <v>38</v>
      </c>
      <c r="B930">
        <v>2017</v>
      </c>
      <c r="C930" t="s">
        <v>2203</v>
      </c>
      <c r="D930" t="s">
        <v>14</v>
      </c>
      <c r="E930" t="s">
        <v>2204</v>
      </c>
      <c r="F930" t="s">
        <v>35</v>
      </c>
      <c r="G930">
        <v>49.09</v>
      </c>
      <c r="H930">
        <v>77</v>
      </c>
      <c r="I930" t="s">
        <v>29</v>
      </c>
      <c r="J930" t="s">
        <v>37</v>
      </c>
      <c r="K930" t="s">
        <v>2205</v>
      </c>
      <c r="L930">
        <v>159</v>
      </c>
      <c r="M930" t="str">
        <f t="shared" si="28"/>
        <v>High</v>
      </c>
      <c r="N930" t="str">
        <f t="shared" si="29"/>
        <v>Good</v>
      </c>
    </row>
    <row r="931" spans="1:14">
      <c r="A931" t="s">
        <v>48</v>
      </c>
      <c r="B931">
        <v>2023</v>
      </c>
      <c r="C931" t="s">
        <v>2206</v>
      </c>
      <c r="D931" t="s">
        <v>33</v>
      </c>
      <c r="E931" t="s">
        <v>2207</v>
      </c>
      <c r="F931" t="s">
        <v>57</v>
      </c>
      <c r="G931">
        <v>43.91</v>
      </c>
      <c r="H931">
        <v>99</v>
      </c>
      <c r="I931" t="s">
        <v>36</v>
      </c>
      <c r="J931" t="s">
        <v>18</v>
      </c>
      <c r="K931" t="s">
        <v>65</v>
      </c>
      <c r="L931">
        <v>3</v>
      </c>
      <c r="M931" t="str">
        <f t="shared" si="28"/>
        <v>High</v>
      </c>
      <c r="N931" t="str">
        <f t="shared" si="29"/>
        <v>Excellent</v>
      </c>
    </row>
    <row r="932" spans="1:14">
      <c r="A932" t="s">
        <v>39</v>
      </c>
      <c r="B932">
        <v>2010</v>
      </c>
      <c r="C932" t="s">
        <v>2208</v>
      </c>
      <c r="D932" t="s">
        <v>33</v>
      </c>
      <c r="E932" t="s">
        <v>2209</v>
      </c>
      <c r="F932" t="s">
        <v>42</v>
      </c>
      <c r="G932">
        <v>11.57</v>
      </c>
      <c r="H932">
        <v>50</v>
      </c>
      <c r="I932" t="s">
        <v>17</v>
      </c>
      <c r="J932" t="s">
        <v>24</v>
      </c>
      <c r="K932" t="s">
        <v>38</v>
      </c>
      <c r="L932">
        <v>182</v>
      </c>
      <c r="M932" t="str">
        <f t="shared" si="28"/>
        <v>Low</v>
      </c>
      <c r="N932" t="str">
        <f t="shared" si="29"/>
        <v>Average</v>
      </c>
    </row>
    <row r="933" spans="1:14">
      <c r="A933" t="s">
        <v>26</v>
      </c>
      <c r="B933">
        <v>2005</v>
      </c>
      <c r="C933" t="s">
        <v>2210</v>
      </c>
      <c r="D933" t="s">
        <v>33</v>
      </c>
      <c r="E933" t="s">
        <v>2211</v>
      </c>
      <c r="F933" t="s">
        <v>57</v>
      </c>
      <c r="G933">
        <v>17.579999999999998</v>
      </c>
      <c r="H933">
        <v>88</v>
      </c>
      <c r="I933" t="s">
        <v>36</v>
      </c>
      <c r="J933" t="s">
        <v>37</v>
      </c>
      <c r="K933" t="s">
        <v>39</v>
      </c>
      <c r="L933">
        <v>158</v>
      </c>
      <c r="M933" t="str">
        <f t="shared" si="28"/>
        <v>Medium</v>
      </c>
      <c r="N933" t="str">
        <f t="shared" si="29"/>
        <v>Good</v>
      </c>
    </row>
    <row r="934" spans="1:14">
      <c r="A934" t="s">
        <v>39</v>
      </c>
      <c r="B934">
        <v>2003</v>
      </c>
      <c r="C934" t="s">
        <v>2212</v>
      </c>
      <c r="D934" t="s">
        <v>14</v>
      </c>
      <c r="E934" t="s">
        <v>2213</v>
      </c>
      <c r="F934" t="s">
        <v>57</v>
      </c>
      <c r="G934">
        <v>26.14</v>
      </c>
      <c r="H934">
        <v>87</v>
      </c>
      <c r="I934" t="s">
        <v>23</v>
      </c>
      <c r="J934" t="s">
        <v>18</v>
      </c>
      <c r="K934" t="s">
        <v>2029</v>
      </c>
      <c r="L934">
        <v>220</v>
      </c>
      <c r="M934" t="str">
        <f t="shared" si="28"/>
        <v>Medium</v>
      </c>
      <c r="N934" t="str">
        <f t="shared" si="29"/>
        <v>Good</v>
      </c>
    </row>
    <row r="935" spans="1:14">
      <c r="A935" t="s">
        <v>12</v>
      </c>
      <c r="B935">
        <v>2010</v>
      </c>
      <c r="C935" t="s">
        <v>2214</v>
      </c>
      <c r="D935" t="s">
        <v>14</v>
      </c>
      <c r="E935" t="s">
        <v>1780</v>
      </c>
      <c r="F935" t="s">
        <v>57</v>
      </c>
      <c r="G935">
        <v>19.39</v>
      </c>
      <c r="H935">
        <v>72</v>
      </c>
      <c r="I935" t="s">
        <v>61</v>
      </c>
      <c r="J935" t="s">
        <v>18</v>
      </c>
      <c r="K935" t="s">
        <v>2215</v>
      </c>
      <c r="L935">
        <v>135</v>
      </c>
      <c r="M935" t="str">
        <f t="shared" si="28"/>
        <v>Medium</v>
      </c>
      <c r="N935" t="str">
        <f t="shared" si="29"/>
        <v>Average</v>
      </c>
    </row>
    <row r="936" spans="1:14">
      <c r="A936" t="s">
        <v>38</v>
      </c>
      <c r="B936">
        <v>2023</v>
      </c>
      <c r="C936" t="s">
        <v>2216</v>
      </c>
      <c r="D936" t="s">
        <v>14</v>
      </c>
      <c r="E936" t="s">
        <v>2217</v>
      </c>
      <c r="F936" t="s">
        <v>46</v>
      </c>
      <c r="G936">
        <v>23.43</v>
      </c>
      <c r="H936">
        <v>76</v>
      </c>
      <c r="I936" t="s">
        <v>23</v>
      </c>
      <c r="J936" t="s">
        <v>37</v>
      </c>
      <c r="K936" t="s">
        <v>430</v>
      </c>
      <c r="L936">
        <v>21</v>
      </c>
      <c r="M936" t="str">
        <f t="shared" si="28"/>
        <v>Medium</v>
      </c>
      <c r="N936" t="str">
        <f t="shared" si="29"/>
        <v>Good</v>
      </c>
    </row>
    <row r="937" spans="1:14">
      <c r="A937" t="s">
        <v>48</v>
      </c>
      <c r="B937">
        <v>2011</v>
      </c>
      <c r="C937" t="s">
        <v>2218</v>
      </c>
      <c r="D937" t="s">
        <v>33</v>
      </c>
      <c r="E937" t="s">
        <v>2219</v>
      </c>
      <c r="F937" t="s">
        <v>42</v>
      </c>
      <c r="G937">
        <v>11.74</v>
      </c>
      <c r="H937">
        <v>91</v>
      </c>
      <c r="I937" t="s">
        <v>36</v>
      </c>
      <c r="J937" t="s">
        <v>18</v>
      </c>
      <c r="K937" t="s">
        <v>1698</v>
      </c>
      <c r="L937">
        <v>335</v>
      </c>
      <c r="M937" t="str">
        <f t="shared" si="28"/>
        <v>Low</v>
      </c>
      <c r="N937" t="str">
        <f t="shared" si="29"/>
        <v>Excellent</v>
      </c>
    </row>
    <row r="938" spans="1:14">
      <c r="A938" t="s">
        <v>65</v>
      </c>
      <c r="B938">
        <v>2017</v>
      </c>
      <c r="C938" t="s">
        <v>2220</v>
      </c>
      <c r="D938" t="s">
        <v>33</v>
      </c>
      <c r="E938" t="s">
        <v>2221</v>
      </c>
      <c r="F938" t="s">
        <v>46</v>
      </c>
      <c r="G938">
        <v>28.87</v>
      </c>
      <c r="H938">
        <v>88</v>
      </c>
      <c r="I938" t="s">
        <v>23</v>
      </c>
      <c r="J938" t="s">
        <v>37</v>
      </c>
      <c r="K938" t="s">
        <v>151</v>
      </c>
      <c r="L938">
        <v>117</v>
      </c>
      <c r="M938" t="str">
        <f t="shared" si="28"/>
        <v>Medium</v>
      </c>
      <c r="N938" t="str">
        <f t="shared" si="29"/>
        <v>Good</v>
      </c>
    </row>
    <row r="939" spans="1:14">
      <c r="A939" t="s">
        <v>65</v>
      </c>
      <c r="B939">
        <v>2014</v>
      </c>
      <c r="C939" t="s">
        <v>2222</v>
      </c>
      <c r="D939" t="s">
        <v>33</v>
      </c>
      <c r="E939" t="s">
        <v>673</v>
      </c>
      <c r="F939" t="s">
        <v>35</v>
      </c>
      <c r="G939">
        <v>18.62</v>
      </c>
      <c r="H939">
        <v>67</v>
      </c>
      <c r="I939" t="s">
        <v>29</v>
      </c>
      <c r="J939" t="s">
        <v>24</v>
      </c>
      <c r="K939" t="s">
        <v>2223</v>
      </c>
      <c r="L939">
        <v>156</v>
      </c>
      <c r="M939" t="str">
        <f t="shared" si="28"/>
        <v>Medium</v>
      </c>
      <c r="N939" t="str">
        <f t="shared" si="29"/>
        <v>Average</v>
      </c>
    </row>
    <row r="940" spans="1:14">
      <c r="A940" t="s">
        <v>68</v>
      </c>
      <c r="B940">
        <v>2012</v>
      </c>
      <c r="C940" t="s">
        <v>2224</v>
      </c>
      <c r="D940" t="s">
        <v>33</v>
      </c>
      <c r="E940" t="s">
        <v>2225</v>
      </c>
      <c r="F940" t="s">
        <v>35</v>
      </c>
      <c r="G940">
        <v>45.5</v>
      </c>
      <c r="H940">
        <v>85</v>
      </c>
      <c r="I940" t="s">
        <v>61</v>
      </c>
      <c r="J940" t="s">
        <v>24</v>
      </c>
      <c r="K940" t="s">
        <v>292</v>
      </c>
      <c r="L940">
        <v>340</v>
      </c>
      <c r="M940" t="str">
        <f t="shared" si="28"/>
        <v>High</v>
      </c>
      <c r="N940" t="str">
        <f t="shared" si="29"/>
        <v>Good</v>
      </c>
    </row>
    <row r="941" spans="1:14">
      <c r="A941" t="s">
        <v>12</v>
      </c>
      <c r="B941">
        <v>2022</v>
      </c>
      <c r="C941" t="s">
        <v>2226</v>
      </c>
      <c r="D941" t="s">
        <v>14</v>
      </c>
      <c r="E941" t="s">
        <v>2227</v>
      </c>
      <c r="F941" t="s">
        <v>16</v>
      </c>
      <c r="G941">
        <v>14.93</v>
      </c>
      <c r="H941">
        <v>90</v>
      </c>
      <c r="I941" t="s">
        <v>61</v>
      </c>
      <c r="J941" t="s">
        <v>24</v>
      </c>
      <c r="K941" t="s">
        <v>2228</v>
      </c>
      <c r="L941">
        <v>181</v>
      </c>
      <c r="M941" t="str">
        <f t="shared" si="28"/>
        <v>Low</v>
      </c>
      <c r="N941" t="str">
        <f t="shared" si="29"/>
        <v>Excellent</v>
      </c>
    </row>
    <row r="942" spans="1:14">
      <c r="A942" t="s">
        <v>68</v>
      </c>
      <c r="B942">
        <v>2020</v>
      </c>
      <c r="C942" t="s">
        <v>2229</v>
      </c>
      <c r="D942" t="s">
        <v>14</v>
      </c>
      <c r="E942" t="s">
        <v>2230</v>
      </c>
      <c r="F942" t="s">
        <v>57</v>
      </c>
      <c r="G942">
        <v>19.88</v>
      </c>
      <c r="H942">
        <v>92</v>
      </c>
      <c r="I942" t="s">
        <v>17</v>
      </c>
      <c r="J942" t="s">
        <v>24</v>
      </c>
      <c r="K942" t="s">
        <v>68</v>
      </c>
      <c r="L942">
        <v>91</v>
      </c>
      <c r="M942" t="str">
        <f t="shared" si="28"/>
        <v>Medium</v>
      </c>
      <c r="N942" t="str">
        <f t="shared" si="29"/>
        <v>Excellent</v>
      </c>
    </row>
    <row r="943" spans="1:14">
      <c r="A943" t="s">
        <v>48</v>
      </c>
      <c r="B943">
        <v>2006</v>
      </c>
      <c r="C943" t="s">
        <v>2231</v>
      </c>
      <c r="D943" t="s">
        <v>14</v>
      </c>
      <c r="E943" t="s">
        <v>2232</v>
      </c>
      <c r="F943" t="s">
        <v>57</v>
      </c>
      <c r="G943">
        <v>26.81</v>
      </c>
      <c r="H943">
        <v>84</v>
      </c>
      <c r="I943" t="s">
        <v>61</v>
      </c>
      <c r="J943" t="s">
        <v>24</v>
      </c>
      <c r="K943" t="s">
        <v>47</v>
      </c>
      <c r="L943">
        <v>327</v>
      </c>
      <c r="M943" t="str">
        <f t="shared" si="28"/>
        <v>Medium</v>
      </c>
      <c r="N943" t="str">
        <f t="shared" si="29"/>
        <v>Good</v>
      </c>
    </row>
    <row r="944" spans="1:14">
      <c r="A944" t="s">
        <v>20</v>
      </c>
      <c r="B944">
        <v>2001</v>
      </c>
      <c r="C944" t="s">
        <v>2233</v>
      </c>
      <c r="D944" t="s">
        <v>33</v>
      </c>
      <c r="E944" t="s">
        <v>2234</v>
      </c>
      <c r="F944" t="s">
        <v>42</v>
      </c>
      <c r="G944">
        <v>14.29</v>
      </c>
      <c r="H944">
        <v>87</v>
      </c>
      <c r="I944" t="s">
        <v>29</v>
      </c>
      <c r="J944" t="s">
        <v>37</v>
      </c>
      <c r="K944" t="s">
        <v>2235</v>
      </c>
      <c r="L944">
        <v>106</v>
      </c>
      <c r="M944" t="str">
        <f t="shared" si="28"/>
        <v>Low</v>
      </c>
      <c r="N944" t="str">
        <f t="shared" si="29"/>
        <v>Good</v>
      </c>
    </row>
    <row r="945" spans="1:14">
      <c r="A945" t="s">
        <v>20</v>
      </c>
      <c r="B945">
        <v>2007</v>
      </c>
      <c r="C945" t="s">
        <v>2236</v>
      </c>
      <c r="D945" t="s">
        <v>33</v>
      </c>
      <c r="E945" t="s">
        <v>2237</v>
      </c>
      <c r="F945" t="s">
        <v>16</v>
      </c>
      <c r="G945">
        <v>2.8</v>
      </c>
      <c r="H945">
        <v>62</v>
      </c>
      <c r="I945" t="s">
        <v>17</v>
      </c>
      <c r="J945" t="s">
        <v>37</v>
      </c>
      <c r="K945" t="s">
        <v>269</v>
      </c>
      <c r="L945">
        <v>300</v>
      </c>
      <c r="M945" t="str">
        <f t="shared" si="28"/>
        <v>Low</v>
      </c>
      <c r="N945" t="str">
        <f t="shared" si="29"/>
        <v>Average</v>
      </c>
    </row>
    <row r="946" spans="1:14">
      <c r="A946" t="s">
        <v>39</v>
      </c>
      <c r="B946">
        <v>2010</v>
      </c>
      <c r="C946" t="s">
        <v>2238</v>
      </c>
      <c r="D946" t="s">
        <v>33</v>
      </c>
      <c r="E946" t="s">
        <v>990</v>
      </c>
      <c r="F946" t="s">
        <v>16</v>
      </c>
      <c r="G946">
        <v>29.12</v>
      </c>
      <c r="H946">
        <v>72</v>
      </c>
      <c r="I946" t="s">
        <v>23</v>
      </c>
      <c r="J946" t="s">
        <v>37</v>
      </c>
      <c r="K946" t="s">
        <v>636</v>
      </c>
      <c r="L946">
        <v>365</v>
      </c>
      <c r="M946" t="str">
        <f t="shared" si="28"/>
        <v>Medium</v>
      </c>
      <c r="N946" t="str">
        <f t="shared" si="29"/>
        <v>Average</v>
      </c>
    </row>
    <row r="947" spans="1:14">
      <c r="A947" t="s">
        <v>12</v>
      </c>
      <c r="B947">
        <v>2010</v>
      </c>
      <c r="C947" t="s">
        <v>2239</v>
      </c>
      <c r="D947" t="s">
        <v>14</v>
      </c>
      <c r="E947" t="s">
        <v>2240</v>
      </c>
      <c r="F947" t="s">
        <v>57</v>
      </c>
      <c r="G947">
        <v>1.68</v>
      </c>
      <c r="H947">
        <v>54</v>
      </c>
      <c r="I947" t="s">
        <v>61</v>
      </c>
      <c r="J947" t="s">
        <v>24</v>
      </c>
      <c r="K947" t="s">
        <v>420</v>
      </c>
      <c r="L947">
        <v>180</v>
      </c>
      <c r="M947" t="str">
        <f t="shared" si="28"/>
        <v>Low</v>
      </c>
      <c r="N947" t="str">
        <f t="shared" si="29"/>
        <v>Average</v>
      </c>
    </row>
    <row r="948" spans="1:14">
      <c r="A948" t="s">
        <v>68</v>
      </c>
      <c r="B948">
        <v>2018</v>
      </c>
      <c r="C948" t="s">
        <v>2241</v>
      </c>
      <c r="D948" t="s">
        <v>33</v>
      </c>
      <c r="E948" t="s">
        <v>2242</v>
      </c>
      <c r="F948" t="s">
        <v>46</v>
      </c>
      <c r="G948">
        <v>6.44</v>
      </c>
      <c r="H948">
        <v>84</v>
      </c>
      <c r="I948" t="s">
        <v>61</v>
      </c>
      <c r="J948" t="s">
        <v>37</v>
      </c>
      <c r="K948" t="s">
        <v>2243</v>
      </c>
      <c r="L948">
        <v>262</v>
      </c>
      <c r="M948" t="str">
        <f t="shared" si="28"/>
        <v>Low</v>
      </c>
      <c r="N948" t="str">
        <f t="shared" si="29"/>
        <v>Good</v>
      </c>
    </row>
    <row r="949" spans="1:14">
      <c r="A949" t="s">
        <v>26</v>
      </c>
      <c r="B949">
        <v>2020</v>
      </c>
      <c r="C949" t="s">
        <v>2244</v>
      </c>
      <c r="D949" t="s">
        <v>14</v>
      </c>
      <c r="E949" t="s">
        <v>2245</v>
      </c>
      <c r="F949" t="s">
        <v>35</v>
      </c>
      <c r="G949">
        <v>27.09</v>
      </c>
      <c r="H949">
        <v>63</v>
      </c>
      <c r="I949" t="s">
        <v>36</v>
      </c>
      <c r="J949" t="s">
        <v>37</v>
      </c>
      <c r="K949" t="s">
        <v>65</v>
      </c>
      <c r="L949">
        <v>128</v>
      </c>
      <c r="M949" t="str">
        <f t="shared" si="28"/>
        <v>Medium</v>
      </c>
      <c r="N949" t="str">
        <f t="shared" si="29"/>
        <v>Average</v>
      </c>
    </row>
    <row r="950" spans="1:14">
      <c r="A950" t="s">
        <v>39</v>
      </c>
      <c r="B950">
        <v>2010</v>
      </c>
      <c r="C950" t="s">
        <v>2246</v>
      </c>
      <c r="D950" t="s">
        <v>33</v>
      </c>
      <c r="E950" t="s">
        <v>2247</v>
      </c>
      <c r="F950" t="s">
        <v>16</v>
      </c>
      <c r="G950">
        <v>49.81</v>
      </c>
      <c r="H950">
        <v>98</v>
      </c>
      <c r="I950" t="s">
        <v>17</v>
      </c>
      <c r="J950" t="s">
        <v>37</v>
      </c>
      <c r="K950" t="s">
        <v>114</v>
      </c>
      <c r="L950">
        <v>325</v>
      </c>
      <c r="M950" t="str">
        <f t="shared" si="28"/>
        <v>High</v>
      </c>
      <c r="N950" t="str">
        <f t="shared" si="29"/>
        <v>Excellent</v>
      </c>
    </row>
    <row r="951" spans="1:14">
      <c r="A951" t="s">
        <v>26</v>
      </c>
      <c r="B951">
        <v>2015</v>
      </c>
      <c r="C951" t="s">
        <v>2248</v>
      </c>
      <c r="D951" t="s">
        <v>14</v>
      </c>
      <c r="E951" t="s">
        <v>2249</v>
      </c>
      <c r="F951" t="s">
        <v>16</v>
      </c>
      <c r="G951">
        <v>28.65</v>
      </c>
      <c r="H951">
        <v>75</v>
      </c>
      <c r="I951" t="s">
        <v>29</v>
      </c>
      <c r="J951" t="s">
        <v>24</v>
      </c>
      <c r="K951" t="s">
        <v>12</v>
      </c>
      <c r="L951">
        <v>50</v>
      </c>
      <c r="M951" t="str">
        <f t="shared" si="28"/>
        <v>Medium</v>
      </c>
      <c r="N951" t="str">
        <f t="shared" si="29"/>
        <v>Good</v>
      </c>
    </row>
    <row r="952" spans="1:14">
      <c r="A952" t="s">
        <v>39</v>
      </c>
      <c r="B952">
        <v>2020</v>
      </c>
      <c r="C952" t="s">
        <v>2250</v>
      </c>
      <c r="D952" t="s">
        <v>33</v>
      </c>
      <c r="E952" t="s">
        <v>2251</v>
      </c>
      <c r="F952" t="s">
        <v>16</v>
      </c>
      <c r="G952">
        <v>9.42</v>
      </c>
      <c r="H952">
        <v>86</v>
      </c>
      <c r="I952" t="s">
        <v>29</v>
      </c>
      <c r="J952" t="s">
        <v>18</v>
      </c>
      <c r="K952" t="s">
        <v>31</v>
      </c>
      <c r="L952">
        <v>176</v>
      </c>
      <c r="M952" t="str">
        <f t="shared" si="28"/>
        <v>Low</v>
      </c>
      <c r="N952" t="str">
        <f t="shared" si="29"/>
        <v>Good</v>
      </c>
    </row>
    <row r="953" spans="1:14">
      <c r="A953" t="s">
        <v>31</v>
      </c>
      <c r="B953">
        <v>2025</v>
      </c>
      <c r="C953" t="s">
        <v>2252</v>
      </c>
      <c r="D953" t="s">
        <v>14</v>
      </c>
      <c r="E953" t="s">
        <v>2253</v>
      </c>
      <c r="F953" t="s">
        <v>42</v>
      </c>
      <c r="G953">
        <v>20.13</v>
      </c>
      <c r="H953">
        <v>92</v>
      </c>
      <c r="I953" t="s">
        <v>23</v>
      </c>
      <c r="J953" t="s">
        <v>37</v>
      </c>
      <c r="K953" t="s">
        <v>47</v>
      </c>
      <c r="L953">
        <v>149</v>
      </c>
      <c r="M953" t="str">
        <f t="shared" si="28"/>
        <v>Medium</v>
      </c>
      <c r="N953" t="str">
        <f t="shared" si="29"/>
        <v>Excellent</v>
      </c>
    </row>
    <row r="954" spans="1:14">
      <c r="A954" t="s">
        <v>47</v>
      </c>
      <c r="B954">
        <v>2001</v>
      </c>
      <c r="C954" t="s">
        <v>2254</v>
      </c>
      <c r="D954" t="s">
        <v>14</v>
      </c>
      <c r="E954" t="s">
        <v>2255</v>
      </c>
      <c r="F954" t="s">
        <v>16</v>
      </c>
      <c r="G954">
        <v>28.65</v>
      </c>
      <c r="H954">
        <v>57</v>
      </c>
      <c r="I954" t="s">
        <v>29</v>
      </c>
      <c r="J954" t="s">
        <v>37</v>
      </c>
      <c r="K954" t="s">
        <v>20</v>
      </c>
      <c r="L954">
        <v>142</v>
      </c>
      <c r="M954" t="str">
        <f t="shared" si="28"/>
        <v>Medium</v>
      </c>
      <c r="N954" t="str">
        <f t="shared" si="29"/>
        <v>Average</v>
      </c>
    </row>
    <row r="955" spans="1:14">
      <c r="A955" t="s">
        <v>12</v>
      </c>
      <c r="B955">
        <v>2016</v>
      </c>
      <c r="C955" t="s">
        <v>2256</v>
      </c>
      <c r="D955" t="s">
        <v>14</v>
      </c>
      <c r="E955" t="s">
        <v>2257</v>
      </c>
      <c r="F955" t="s">
        <v>42</v>
      </c>
      <c r="G955">
        <v>6.32</v>
      </c>
      <c r="H955">
        <v>91</v>
      </c>
      <c r="I955" t="s">
        <v>29</v>
      </c>
      <c r="J955" t="s">
        <v>37</v>
      </c>
      <c r="K955" t="s">
        <v>38</v>
      </c>
      <c r="L955">
        <v>355</v>
      </c>
      <c r="M955" t="str">
        <f t="shared" si="28"/>
        <v>Low</v>
      </c>
      <c r="N955" t="str">
        <f t="shared" si="29"/>
        <v>Excellent</v>
      </c>
    </row>
    <row r="956" spans="1:14">
      <c r="A956" t="s">
        <v>20</v>
      </c>
      <c r="B956">
        <v>2020</v>
      </c>
      <c r="C956" t="s">
        <v>2258</v>
      </c>
      <c r="D956" t="s">
        <v>33</v>
      </c>
      <c r="E956" t="s">
        <v>2259</v>
      </c>
      <c r="F956" t="s">
        <v>35</v>
      </c>
      <c r="G956">
        <v>44.98</v>
      </c>
      <c r="H956">
        <v>91</v>
      </c>
      <c r="I956" t="s">
        <v>61</v>
      </c>
      <c r="J956" t="s">
        <v>37</v>
      </c>
      <c r="K956" t="s">
        <v>305</v>
      </c>
      <c r="L956">
        <v>202</v>
      </c>
      <c r="M956" t="str">
        <f t="shared" si="28"/>
        <v>High</v>
      </c>
      <c r="N956" t="str">
        <f t="shared" si="29"/>
        <v>Excellent</v>
      </c>
    </row>
    <row r="957" spans="1:14">
      <c r="A957" t="s">
        <v>12</v>
      </c>
      <c r="B957">
        <v>2001</v>
      </c>
      <c r="C957" t="s">
        <v>2260</v>
      </c>
      <c r="D957" t="s">
        <v>14</v>
      </c>
      <c r="E957" t="s">
        <v>2261</v>
      </c>
      <c r="F957" t="s">
        <v>35</v>
      </c>
      <c r="G957">
        <v>4.17</v>
      </c>
      <c r="H957">
        <v>75</v>
      </c>
      <c r="I957" t="s">
        <v>23</v>
      </c>
      <c r="J957" t="s">
        <v>24</v>
      </c>
      <c r="K957" t="s">
        <v>2128</v>
      </c>
      <c r="L957">
        <v>17</v>
      </c>
      <c r="M957" t="str">
        <f t="shared" si="28"/>
        <v>Low</v>
      </c>
      <c r="N957" t="str">
        <f t="shared" si="29"/>
        <v>Good</v>
      </c>
    </row>
    <row r="958" spans="1:14">
      <c r="A958" t="s">
        <v>48</v>
      </c>
      <c r="B958">
        <v>2011</v>
      </c>
      <c r="C958" t="s">
        <v>2262</v>
      </c>
      <c r="D958" t="s">
        <v>14</v>
      </c>
      <c r="E958" t="s">
        <v>2263</v>
      </c>
      <c r="F958" t="s">
        <v>57</v>
      </c>
      <c r="G958">
        <v>45.8</v>
      </c>
      <c r="H958">
        <v>61</v>
      </c>
      <c r="I958" t="s">
        <v>29</v>
      </c>
      <c r="J958" t="s">
        <v>37</v>
      </c>
      <c r="K958" t="s">
        <v>1979</v>
      </c>
      <c r="L958">
        <v>354</v>
      </c>
      <c r="M958" t="str">
        <f t="shared" si="28"/>
        <v>High</v>
      </c>
      <c r="N958" t="str">
        <f t="shared" si="29"/>
        <v>Average</v>
      </c>
    </row>
    <row r="959" spans="1:14">
      <c r="A959" t="s">
        <v>38</v>
      </c>
      <c r="B959">
        <v>2014</v>
      </c>
      <c r="C959" t="s">
        <v>2264</v>
      </c>
      <c r="D959" t="s">
        <v>33</v>
      </c>
      <c r="E959" t="s">
        <v>2265</v>
      </c>
      <c r="F959" t="s">
        <v>42</v>
      </c>
      <c r="G959">
        <v>11.02</v>
      </c>
      <c r="H959">
        <v>84</v>
      </c>
      <c r="I959" t="s">
        <v>17</v>
      </c>
      <c r="J959" t="s">
        <v>18</v>
      </c>
      <c r="K959" t="s">
        <v>2266</v>
      </c>
      <c r="L959">
        <v>76</v>
      </c>
      <c r="M959" t="str">
        <f t="shared" si="28"/>
        <v>Low</v>
      </c>
      <c r="N959" t="str">
        <f t="shared" si="29"/>
        <v>Good</v>
      </c>
    </row>
    <row r="960" spans="1:14">
      <c r="A960" t="s">
        <v>65</v>
      </c>
      <c r="B960">
        <v>2010</v>
      </c>
      <c r="C960" t="s">
        <v>2267</v>
      </c>
      <c r="D960" t="s">
        <v>14</v>
      </c>
      <c r="E960" t="s">
        <v>2268</v>
      </c>
      <c r="F960" t="s">
        <v>35</v>
      </c>
      <c r="G960">
        <v>11.43</v>
      </c>
      <c r="H960">
        <v>64</v>
      </c>
      <c r="I960" t="s">
        <v>17</v>
      </c>
      <c r="J960" t="s">
        <v>24</v>
      </c>
      <c r="K960" t="s">
        <v>12</v>
      </c>
      <c r="L960">
        <v>350</v>
      </c>
      <c r="M960" t="str">
        <f t="shared" si="28"/>
        <v>Low</v>
      </c>
      <c r="N960" t="str">
        <f t="shared" si="29"/>
        <v>Average</v>
      </c>
    </row>
    <row r="961" spans="1:14">
      <c r="A961" t="s">
        <v>65</v>
      </c>
      <c r="B961">
        <v>2024</v>
      </c>
      <c r="C961" t="s">
        <v>2269</v>
      </c>
      <c r="D961" t="s">
        <v>33</v>
      </c>
      <c r="E961" t="s">
        <v>2270</v>
      </c>
      <c r="F961" t="s">
        <v>16</v>
      </c>
      <c r="G961">
        <v>31.07</v>
      </c>
      <c r="H961">
        <v>76</v>
      </c>
      <c r="I961" t="s">
        <v>17</v>
      </c>
      <c r="J961" t="s">
        <v>18</v>
      </c>
      <c r="K961" t="s">
        <v>48</v>
      </c>
      <c r="L961">
        <v>174</v>
      </c>
      <c r="M961" t="str">
        <f t="shared" si="28"/>
        <v>Medium</v>
      </c>
      <c r="N961" t="str">
        <f t="shared" si="29"/>
        <v>Good</v>
      </c>
    </row>
    <row r="962" spans="1:14">
      <c r="A962" t="s">
        <v>47</v>
      </c>
      <c r="B962">
        <v>2008</v>
      </c>
      <c r="C962" t="s">
        <v>2271</v>
      </c>
      <c r="D962" t="s">
        <v>14</v>
      </c>
      <c r="E962" t="s">
        <v>2272</v>
      </c>
      <c r="F962" t="s">
        <v>35</v>
      </c>
      <c r="G962">
        <v>18.329999999999998</v>
      </c>
      <c r="H962">
        <v>88</v>
      </c>
      <c r="I962" t="s">
        <v>36</v>
      </c>
      <c r="J962" t="s">
        <v>37</v>
      </c>
      <c r="K962" t="s">
        <v>26</v>
      </c>
      <c r="L962">
        <v>260</v>
      </c>
      <c r="M962" t="str">
        <f t="shared" si="28"/>
        <v>Medium</v>
      </c>
      <c r="N962" t="str">
        <f t="shared" si="29"/>
        <v>Good</v>
      </c>
    </row>
    <row r="963" spans="1:14">
      <c r="A963" t="s">
        <v>26</v>
      </c>
      <c r="B963">
        <v>2012</v>
      </c>
      <c r="C963" t="s">
        <v>2273</v>
      </c>
      <c r="D963" t="s">
        <v>14</v>
      </c>
      <c r="E963" t="s">
        <v>2274</v>
      </c>
      <c r="F963" t="s">
        <v>35</v>
      </c>
      <c r="G963">
        <v>26.09</v>
      </c>
      <c r="H963">
        <v>65</v>
      </c>
      <c r="I963" t="s">
        <v>23</v>
      </c>
      <c r="J963" t="s">
        <v>24</v>
      </c>
      <c r="K963" t="s">
        <v>2275</v>
      </c>
      <c r="L963">
        <v>104</v>
      </c>
      <c r="M963" t="str">
        <f t="shared" ref="M963:M1026" si="30">IF(G963&lt;15,"Low",IF(G963&lt;35,"Medium","High"))</f>
        <v>Medium</v>
      </c>
      <c r="N963" t="str">
        <f t="shared" ref="N963:N1026" si="31">IF(H963&gt;=90,"Excellent",IF(H963&gt;=75,"Good","Average"))</f>
        <v>Average</v>
      </c>
    </row>
    <row r="964" spans="1:14">
      <c r="A964" t="s">
        <v>47</v>
      </c>
      <c r="B964">
        <v>2015</v>
      </c>
      <c r="C964" t="s">
        <v>2276</v>
      </c>
      <c r="D964" t="s">
        <v>14</v>
      </c>
      <c r="E964" t="s">
        <v>2277</v>
      </c>
      <c r="F964" t="s">
        <v>46</v>
      </c>
      <c r="G964">
        <v>49.6</v>
      </c>
      <c r="H964">
        <v>70</v>
      </c>
      <c r="I964" t="s">
        <v>36</v>
      </c>
      <c r="J964" t="s">
        <v>18</v>
      </c>
      <c r="K964" t="s">
        <v>1597</v>
      </c>
      <c r="L964">
        <v>146</v>
      </c>
      <c r="M964" t="str">
        <f t="shared" si="30"/>
        <v>High</v>
      </c>
      <c r="N964" t="str">
        <f t="shared" si="31"/>
        <v>Average</v>
      </c>
    </row>
    <row r="965" spans="1:14">
      <c r="A965" t="s">
        <v>31</v>
      </c>
      <c r="B965">
        <v>2019</v>
      </c>
      <c r="C965" t="s">
        <v>2278</v>
      </c>
      <c r="D965" t="s">
        <v>33</v>
      </c>
      <c r="E965" t="s">
        <v>2279</v>
      </c>
      <c r="F965" t="s">
        <v>35</v>
      </c>
      <c r="G965">
        <v>7.97</v>
      </c>
      <c r="H965">
        <v>83</v>
      </c>
      <c r="I965" t="s">
        <v>36</v>
      </c>
      <c r="J965" t="s">
        <v>18</v>
      </c>
      <c r="K965" t="s">
        <v>47</v>
      </c>
      <c r="L965">
        <v>89</v>
      </c>
      <c r="M965" t="str">
        <f t="shared" si="30"/>
        <v>Low</v>
      </c>
      <c r="N965" t="str">
        <f t="shared" si="31"/>
        <v>Good</v>
      </c>
    </row>
    <row r="966" spans="1:14">
      <c r="A966" t="s">
        <v>20</v>
      </c>
      <c r="B966">
        <v>2000</v>
      </c>
      <c r="C966" t="s">
        <v>2280</v>
      </c>
      <c r="D966" t="s">
        <v>33</v>
      </c>
      <c r="E966" t="s">
        <v>2281</v>
      </c>
      <c r="F966" t="s">
        <v>57</v>
      </c>
      <c r="G966">
        <v>4.32</v>
      </c>
      <c r="H966">
        <v>69</v>
      </c>
      <c r="I966" t="s">
        <v>61</v>
      </c>
      <c r="J966" t="s">
        <v>37</v>
      </c>
      <c r="K966" t="s">
        <v>1597</v>
      </c>
      <c r="L966">
        <v>197</v>
      </c>
      <c r="M966" t="str">
        <f t="shared" si="30"/>
        <v>Low</v>
      </c>
      <c r="N966" t="str">
        <f t="shared" si="31"/>
        <v>Average</v>
      </c>
    </row>
    <row r="967" spans="1:14">
      <c r="A967" t="s">
        <v>20</v>
      </c>
      <c r="B967">
        <v>2019</v>
      </c>
      <c r="C967" t="s">
        <v>2282</v>
      </c>
      <c r="D967" t="s">
        <v>14</v>
      </c>
      <c r="E967" t="s">
        <v>2283</v>
      </c>
      <c r="F967" t="s">
        <v>16</v>
      </c>
      <c r="G967">
        <v>46.3</v>
      </c>
      <c r="H967">
        <v>62</v>
      </c>
      <c r="I967" t="s">
        <v>23</v>
      </c>
      <c r="J967" t="s">
        <v>24</v>
      </c>
      <c r="K967" t="s">
        <v>2284</v>
      </c>
      <c r="L967">
        <v>140</v>
      </c>
      <c r="M967" t="str">
        <f t="shared" si="30"/>
        <v>High</v>
      </c>
      <c r="N967" t="str">
        <f t="shared" si="31"/>
        <v>Average</v>
      </c>
    </row>
    <row r="968" spans="1:14">
      <c r="A968" t="s">
        <v>47</v>
      </c>
      <c r="B968">
        <v>2023</v>
      </c>
      <c r="C968" t="s">
        <v>2285</v>
      </c>
      <c r="D968" t="s">
        <v>33</v>
      </c>
      <c r="E968" t="s">
        <v>2286</v>
      </c>
      <c r="F968" t="s">
        <v>57</v>
      </c>
      <c r="G968">
        <v>48.26</v>
      </c>
      <c r="H968">
        <v>90</v>
      </c>
      <c r="I968" t="s">
        <v>61</v>
      </c>
      <c r="J968" t="s">
        <v>18</v>
      </c>
      <c r="K968" t="s">
        <v>627</v>
      </c>
      <c r="L968">
        <v>348</v>
      </c>
      <c r="M968" t="str">
        <f t="shared" si="30"/>
        <v>High</v>
      </c>
      <c r="N968" t="str">
        <f t="shared" si="31"/>
        <v>Excellent</v>
      </c>
    </row>
    <row r="969" spans="1:14">
      <c r="A969" t="s">
        <v>38</v>
      </c>
      <c r="B969">
        <v>2011</v>
      </c>
      <c r="C969" t="s">
        <v>2287</v>
      </c>
      <c r="D969" t="s">
        <v>33</v>
      </c>
      <c r="E969" t="s">
        <v>1442</v>
      </c>
      <c r="F969" t="s">
        <v>46</v>
      </c>
      <c r="G969">
        <v>11.21</v>
      </c>
      <c r="H969">
        <v>75</v>
      </c>
      <c r="I969" t="s">
        <v>17</v>
      </c>
      <c r="J969" t="s">
        <v>18</v>
      </c>
      <c r="K969" t="s">
        <v>2288</v>
      </c>
      <c r="L969">
        <v>190</v>
      </c>
      <c r="M969" t="str">
        <f t="shared" si="30"/>
        <v>Low</v>
      </c>
      <c r="N969" t="str">
        <f t="shared" si="31"/>
        <v>Good</v>
      </c>
    </row>
    <row r="970" spans="1:14">
      <c r="A970" t="s">
        <v>20</v>
      </c>
      <c r="B970">
        <v>2011</v>
      </c>
      <c r="C970" t="s">
        <v>2289</v>
      </c>
      <c r="D970" t="s">
        <v>33</v>
      </c>
      <c r="E970" t="s">
        <v>515</v>
      </c>
      <c r="F970" t="s">
        <v>46</v>
      </c>
      <c r="G970">
        <v>43.06</v>
      </c>
      <c r="H970">
        <v>92</v>
      </c>
      <c r="I970" t="s">
        <v>29</v>
      </c>
      <c r="J970" t="s">
        <v>37</v>
      </c>
      <c r="K970" t="s">
        <v>170</v>
      </c>
      <c r="L970">
        <v>34</v>
      </c>
      <c r="M970" t="str">
        <f t="shared" si="30"/>
        <v>High</v>
      </c>
      <c r="N970" t="str">
        <f t="shared" si="31"/>
        <v>Excellent</v>
      </c>
    </row>
    <row r="971" spans="1:14">
      <c r="A971" t="s">
        <v>65</v>
      </c>
      <c r="B971">
        <v>2024</v>
      </c>
      <c r="C971" t="s">
        <v>2290</v>
      </c>
      <c r="D971" t="s">
        <v>33</v>
      </c>
      <c r="E971" t="s">
        <v>2291</v>
      </c>
      <c r="F971" t="s">
        <v>35</v>
      </c>
      <c r="G971">
        <v>31.83</v>
      </c>
      <c r="H971">
        <v>72</v>
      </c>
      <c r="I971" t="s">
        <v>23</v>
      </c>
      <c r="J971" t="s">
        <v>37</v>
      </c>
      <c r="K971" t="s">
        <v>2292</v>
      </c>
      <c r="L971">
        <v>87</v>
      </c>
      <c r="M971" t="str">
        <f t="shared" si="30"/>
        <v>Medium</v>
      </c>
      <c r="N971" t="str">
        <f t="shared" si="31"/>
        <v>Average</v>
      </c>
    </row>
    <row r="972" spans="1:14">
      <c r="A972" t="s">
        <v>26</v>
      </c>
      <c r="B972">
        <v>2023</v>
      </c>
      <c r="C972" t="s">
        <v>2293</v>
      </c>
      <c r="D972" t="s">
        <v>14</v>
      </c>
      <c r="E972" t="s">
        <v>2294</v>
      </c>
      <c r="F972" t="s">
        <v>42</v>
      </c>
      <c r="G972">
        <v>43.64</v>
      </c>
      <c r="H972">
        <v>96</v>
      </c>
      <c r="I972" t="s">
        <v>61</v>
      </c>
      <c r="J972" t="s">
        <v>37</v>
      </c>
      <c r="K972" t="s">
        <v>38</v>
      </c>
      <c r="L972">
        <v>322</v>
      </c>
      <c r="M972" t="str">
        <f t="shared" si="30"/>
        <v>High</v>
      </c>
      <c r="N972" t="str">
        <f t="shared" si="31"/>
        <v>Excellent</v>
      </c>
    </row>
    <row r="973" spans="1:14">
      <c r="A973" t="s">
        <v>31</v>
      </c>
      <c r="B973">
        <v>2007</v>
      </c>
      <c r="C973" t="s">
        <v>2295</v>
      </c>
      <c r="D973" t="s">
        <v>14</v>
      </c>
      <c r="E973" t="s">
        <v>2296</v>
      </c>
      <c r="F973" t="s">
        <v>46</v>
      </c>
      <c r="G973">
        <v>14.7</v>
      </c>
      <c r="H973">
        <v>87</v>
      </c>
      <c r="I973" t="s">
        <v>17</v>
      </c>
      <c r="J973" t="s">
        <v>37</v>
      </c>
      <c r="K973" t="s">
        <v>305</v>
      </c>
      <c r="L973">
        <v>297</v>
      </c>
      <c r="M973" t="str">
        <f t="shared" si="30"/>
        <v>Low</v>
      </c>
      <c r="N973" t="str">
        <f t="shared" si="31"/>
        <v>Good</v>
      </c>
    </row>
    <row r="974" spans="1:14">
      <c r="A974" t="s">
        <v>47</v>
      </c>
      <c r="B974">
        <v>2014</v>
      </c>
      <c r="C974" t="s">
        <v>2297</v>
      </c>
      <c r="D974" t="s">
        <v>14</v>
      </c>
      <c r="E974" t="s">
        <v>2298</v>
      </c>
      <c r="F974" t="s">
        <v>46</v>
      </c>
      <c r="G974">
        <v>30.88</v>
      </c>
      <c r="H974">
        <v>67</v>
      </c>
      <c r="I974" t="s">
        <v>23</v>
      </c>
      <c r="J974" t="s">
        <v>18</v>
      </c>
      <c r="K974" t="s">
        <v>2299</v>
      </c>
      <c r="L974">
        <v>355</v>
      </c>
      <c r="M974" t="str">
        <f t="shared" si="30"/>
        <v>Medium</v>
      </c>
      <c r="N974" t="str">
        <f t="shared" si="31"/>
        <v>Average</v>
      </c>
    </row>
    <row r="975" spans="1:14">
      <c r="A975" t="s">
        <v>65</v>
      </c>
      <c r="B975">
        <v>2001</v>
      </c>
      <c r="C975" t="s">
        <v>2300</v>
      </c>
      <c r="D975" t="s">
        <v>33</v>
      </c>
      <c r="E975" t="s">
        <v>2301</v>
      </c>
      <c r="F975" t="s">
        <v>42</v>
      </c>
      <c r="G975">
        <v>14.49</v>
      </c>
      <c r="H975">
        <v>76</v>
      </c>
      <c r="I975" t="s">
        <v>61</v>
      </c>
      <c r="J975" t="s">
        <v>24</v>
      </c>
      <c r="K975" t="s">
        <v>2302</v>
      </c>
      <c r="L975">
        <v>195</v>
      </c>
      <c r="M975" t="str">
        <f t="shared" si="30"/>
        <v>Low</v>
      </c>
      <c r="N975" t="str">
        <f t="shared" si="31"/>
        <v>Good</v>
      </c>
    </row>
    <row r="976" spans="1:14">
      <c r="A976" t="s">
        <v>26</v>
      </c>
      <c r="B976">
        <v>2017</v>
      </c>
      <c r="C976" t="s">
        <v>2303</v>
      </c>
      <c r="D976" t="s">
        <v>33</v>
      </c>
      <c r="E976" t="s">
        <v>2304</v>
      </c>
      <c r="F976" t="s">
        <v>42</v>
      </c>
      <c r="G976">
        <v>6.14</v>
      </c>
      <c r="H976">
        <v>82</v>
      </c>
      <c r="I976" t="s">
        <v>29</v>
      </c>
      <c r="J976" t="s">
        <v>24</v>
      </c>
      <c r="K976" t="s">
        <v>2305</v>
      </c>
      <c r="L976">
        <v>72</v>
      </c>
      <c r="M976" t="str">
        <f t="shared" si="30"/>
        <v>Low</v>
      </c>
      <c r="N976" t="str">
        <f t="shared" si="31"/>
        <v>Good</v>
      </c>
    </row>
    <row r="977" spans="1:14">
      <c r="A977" t="s">
        <v>12</v>
      </c>
      <c r="B977">
        <v>2018</v>
      </c>
      <c r="C977" t="s">
        <v>2306</v>
      </c>
      <c r="D977" t="s">
        <v>33</v>
      </c>
      <c r="E977" t="s">
        <v>2307</v>
      </c>
      <c r="F977" t="s">
        <v>35</v>
      </c>
      <c r="G977">
        <v>48.72</v>
      </c>
      <c r="H977">
        <v>61</v>
      </c>
      <c r="I977" t="s">
        <v>17</v>
      </c>
      <c r="J977" t="s">
        <v>18</v>
      </c>
      <c r="K977" t="s">
        <v>114</v>
      </c>
      <c r="L977">
        <v>158</v>
      </c>
      <c r="M977" t="str">
        <f t="shared" si="30"/>
        <v>High</v>
      </c>
      <c r="N977" t="str">
        <f t="shared" si="31"/>
        <v>Average</v>
      </c>
    </row>
    <row r="978" spans="1:14">
      <c r="A978" t="s">
        <v>39</v>
      </c>
      <c r="B978">
        <v>2008</v>
      </c>
      <c r="C978" t="s">
        <v>2308</v>
      </c>
      <c r="D978" t="s">
        <v>14</v>
      </c>
      <c r="E978" t="s">
        <v>2309</v>
      </c>
      <c r="F978" t="s">
        <v>42</v>
      </c>
      <c r="G978">
        <v>7.76</v>
      </c>
      <c r="H978">
        <v>51</v>
      </c>
      <c r="I978" t="s">
        <v>17</v>
      </c>
      <c r="J978" t="s">
        <v>18</v>
      </c>
      <c r="K978" t="s">
        <v>2310</v>
      </c>
      <c r="L978">
        <v>54</v>
      </c>
      <c r="M978" t="str">
        <f t="shared" si="30"/>
        <v>Low</v>
      </c>
      <c r="N978" t="str">
        <f t="shared" si="31"/>
        <v>Average</v>
      </c>
    </row>
    <row r="979" spans="1:14">
      <c r="A979" t="s">
        <v>38</v>
      </c>
      <c r="B979">
        <v>2010</v>
      </c>
      <c r="C979" t="s">
        <v>2311</v>
      </c>
      <c r="D979" t="s">
        <v>33</v>
      </c>
      <c r="E979" t="s">
        <v>2312</v>
      </c>
      <c r="F979" t="s">
        <v>42</v>
      </c>
      <c r="G979">
        <v>44.97</v>
      </c>
      <c r="H979">
        <v>93</v>
      </c>
      <c r="I979" t="s">
        <v>36</v>
      </c>
      <c r="J979" t="s">
        <v>37</v>
      </c>
      <c r="K979" t="s">
        <v>433</v>
      </c>
      <c r="L979">
        <v>331</v>
      </c>
      <c r="M979" t="str">
        <f t="shared" si="30"/>
        <v>High</v>
      </c>
      <c r="N979" t="str">
        <f t="shared" si="31"/>
        <v>Excellent</v>
      </c>
    </row>
    <row r="980" spans="1:14">
      <c r="A980" t="s">
        <v>48</v>
      </c>
      <c r="B980">
        <v>2017</v>
      </c>
      <c r="C980" t="s">
        <v>2313</v>
      </c>
      <c r="D980" t="s">
        <v>14</v>
      </c>
      <c r="E980" t="s">
        <v>2314</v>
      </c>
      <c r="F980" t="s">
        <v>46</v>
      </c>
      <c r="G980">
        <v>25.63</v>
      </c>
      <c r="H980">
        <v>52</v>
      </c>
      <c r="I980" t="s">
        <v>36</v>
      </c>
      <c r="J980" t="s">
        <v>24</v>
      </c>
      <c r="K980" t="s">
        <v>2315</v>
      </c>
      <c r="L980">
        <v>83</v>
      </c>
      <c r="M980" t="str">
        <f t="shared" si="30"/>
        <v>Medium</v>
      </c>
      <c r="N980" t="str">
        <f t="shared" si="31"/>
        <v>Average</v>
      </c>
    </row>
    <row r="981" spans="1:14">
      <c r="A981" t="s">
        <v>47</v>
      </c>
      <c r="B981">
        <v>2018</v>
      </c>
      <c r="C981" t="s">
        <v>2316</v>
      </c>
      <c r="D981" t="s">
        <v>14</v>
      </c>
      <c r="E981" t="s">
        <v>2317</v>
      </c>
      <c r="F981" t="s">
        <v>57</v>
      </c>
      <c r="G981">
        <v>22.08</v>
      </c>
      <c r="H981">
        <v>89</v>
      </c>
      <c r="I981" t="s">
        <v>61</v>
      </c>
      <c r="J981" t="s">
        <v>18</v>
      </c>
      <c r="K981" t="s">
        <v>48</v>
      </c>
      <c r="L981">
        <v>139</v>
      </c>
      <c r="M981" t="str">
        <f t="shared" si="30"/>
        <v>Medium</v>
      </c>
      <c r="N981" t="str">
        <f t="shared" si="31"/>
        <v>Good</v>
      </c>
    </row>
    <row r="982" spans="1:14">
      <c r="A982" t="s">
        <v>47</v>
      </c>
      <c r="B982">
        <v>2020</v>
      </c>
      <c r="C982" t="s">
        <v>2318</v>
      </c>
      <c r="D982" t="s">
        <v>33</v>
      </c>
      <c r="E982" t="s">
        <v>2319</v>
      </c>
      <c r="F982" t="s">
        <v>16</v>
      </c>
      <c r="G982">
        <v>33.130000000000003</v>
      </c>
      <c r="H982">
        <v>55</v>
      </c>
      <c r="I982" t="s">
        <v>23</v>
      </c>
      <c r="J982" t="s">
        <v>18</v>
      </c>
      <c r="K982" t="s">
        <v>2320</v>
      </c>
      <c r="L982">
        <v>85</v>
      </c>
      <c r="M982" t="str">
        <f t="shared" si="30"/>
        <v>Medium</v>
      </c>
      <c r="N982" t="str">
        <f t="shared" si="31"/>
        <v>Average</v>
      </c>
    </row>
    <row r="983" spans="1:14">
      <c r="A983" t="s">
        <v>26</v>
      </c>
      <c r="B983">
        <v>2015</v>
      </c>
      <c r="C983" t="s">
        <v>2321</v>
      </c>
      <c r="D983" t="s">
        <v>14</v>
      </c>
      <c r="E983" t="s">
        <v>2322</v>
      </c>
      <c r="F983" t="s">
        <v>57</v>
      </c>
      <c r="G983">
        <v>15.58</v>
      </c>
      <c r="H983">
        <v>85</v>
      </c>
      <c r="I983" t="s">
        <v>17</v>
      </c>
      <c r="J983" t="s">
        <v>24</v>
      </c>
      <c r="K983" t="s">
        <v>38</v>
      </c>
      <c r="L983">
        <v>204</v>
      </c>
      <c r="M983" t="str">
        <f t="shared" si="30"/>
        <v>Medium</v>
      </c>
      <c r="N983" t="str">
        <f t="shared" si="31"/>
        <v>Good</v>
      </c>
    </row>
    <row r="984" spans="1:14">
      <c r="A984" t="s">
        <v>47</v>
      </c>
      <c r="B984">
        <v>2010</v>
      </c>
      <c r="C984" t="s">
        <v>2323</v>
      </c>
      <c r="D984" t="s">
        <v>33</v>
      </c>
      <c r="E984" t="s">
        <v>2324</v>
      </c>
      <c r="F984" t="s">
        <v>57</v>
      </c>
      <c r="G984">
        <v>29.92</v>
      </c>
      <c r="H984">
        <v>87</v>
      </c>
      <c r="I984" t="s">
        <v>23</v>
      </c>
      <c r="J984" t="s">
        <v>37</v>
      </c>
      <c r="K984" t="s">
        <v>2325</v>
      </c>
      <c r="L984">
        <v>91</v>
      </c>
      <c r="M984" t="str">
        <f t="shared" si="30"/>
        <v>Medium</v>
      </c>
      <c r="N984" t="str">
        <f t="shared" si="31"/>
        <v>Good</v>
      </c>
    </row>
    <row r="985" spans="1:14">
      <c r="A985" t="s">
        <v>20</v>
      </c>
      <c r="B985">
        <v>2015</v>
      </c>
      <c r="C985" t="s">
        <v>2326</v>
      </c>
      <c r="D985" t="s">
        <v>33</v>
      </c>
      <c r="E985" t="s">
        <v>2327</v>
      </c>
      <c r="F985" t="s">
        <v>42</v>
      </c>
      <c r="G985">
        <v>25.68</v>
      </c>
      <c r="H985">
        <v>85</v>
      </c>
      <c r="I985" t="s">
        <v>23</v>
      </c>
      <c r="J985" t="s">
        <v>18</v>
      </c>
      <c r="K985" t="s">
        <v>68</v>
      </c>
      <c r="L985">
        <v>73</v>
      </c>
      <c r="M985" t="str">
        <f t="shared" si="30"/>
        <v>Medium</v>
      </c>
      <c r="N985" t="str">
        <f t="shared" si="31"/>
        <v>Good</v>
      </c>
    </row>
    <row r="986" spans="1:14">
      <c r="A986" t="s">
        <v>20</v>
      </c>
      <c r="B986">
        <v>2016</v>
      </c>
      <c r="C986" t="s">
        <v>2328</v>
      </c>
      <c r="D986" t="s">
        <v>33</v>
      </c>
      <c r="E986" t="s">
        <v>2329</v>
      </c>
      <c r="F986" t="s">
        <v>46</v>
      </c>
      <c r="G986">
        <v>32.729999999999997</v>
      </c>
      <c r="H986">
        <v>96</v>
      </c>
      <c r="I986" t="s">
        <v>17</v>
      </c>
      <c r="J986" t="s">
        <v>18</v>
      </c>
      <c r="K986" t="s">
        <v>68</v>
      </c>
      <c r="L986">
        <v>14</v>
      </c>
      <c r="M986" t="str">
        <f t="shared" si="30"/>
        <v>Medium</v>
      </c>
      <c r="N986" t="str">
        <f t="shared" si="31"/>
        <v>Excellent</v>
      </c>
    </row>
    <row r="987" spans="1:14">
      <c r="A987" t="s">
        <v>39</v>
      </c>
      <c r="B987">
        <v>2025</v>
      </c>
      <c r="C987" t="s">
        <v>2330</v>
      </c>
      <c r="D987" t="s">
        <v>14</v>
      </c>
      <c r="E987" t="s">
        <v>2331</v>
      </c>
      <c r="F987" t="s">
        <v>57</v>
      </c>
      <c r="G987">
        <v>7.19</v>
      </c>
      <c r="H987">
        <v>97</v>
      </c>
      <c r="I987" t="s">
        <v>29</v>
      </c>
      <c r="J987" t="s">
        <v>37</v>
      </c>
      <c r="K987" t="s">
        <v>2332</v>
      </c>
      <c r="L987">
        <v>192</v>
      </c>
      <c r="M987" t="str">
        <f t="shared" si="30"/>
        <v>Low</v>
      </c>
      <c r="N987" t="str">
        <f t="shared" si="31"/>
        <v>Excellent</v>
      </c>
    </row>
    <row r="988" spans="1:14">
      <c r="A988" t="s">
        <v>31</v>
      </c>
      <c r="B988">
        <v>2015</v>
      </c>
      <c r="C988" t="s">
        <v>2333</v>
      </c>
      <c r="D988" t="s">
        <v>33</v>
      </c>
      <c r="E988" t="s">
        <v>2334</v>
      </c>
      <c r="F988" t="s">
        <v>42</v>
      </c>
      <c r="G988">
        <v>32.22</v>
      </c>
      <c r="H988">
        <v>66</v>
      </c>
      <c r="I988" t="s">
        <v>17</v>
      </c>
      <c r="J988" t="s">
        <v>37</v>
      </c>
      <c r="K988" t="s">
        <v>1156</v>
      </c>
      <c r="L988">
        <v>127</v>
      </c>
      <c r="M988" t="str">
        <f t="shared" si="30"/>
        <v>Medium</v>
      </c>
      <c r="N988" t="str">
        <f t="shared" si="31"/>
        <v>Average</v>
      </c>
    </row>
    <row r="989" spans="1:14">
      <c r="A989" t="s">
        <v>12</v>
      </c>
      <c r="B989">
        <v>2013</v>
      </c>
      <c r="C989" t="s">
        <v>2335</v>
      </c>
      <c r="D989" t="s">
        <v>33</v>
      </c>
      <c r="E989" t="s">
        <v>2336</v>
      </c>
      <c r="F989" t="s">
        <v>46</v>
      </c>
      <c r="G989">
        <v>24.62</v>
      </c>
      <c r="H989">
        <v>92</v>
      </c>
      <c r="I989" t="s">
        <v>36</v>
      </c>
      <c r="J989" t="s">
        <v>24</v>
      </c>
      <c r="K989" t="s">
        <v>26</v>
      </c>
      <c r="L989">
        <v>254</v>
      </c>
      <c r="M989" t="str">
        <f t="shared" si="30"/>
        <v>Medium</v>
      </c>
      <c r="N989" t="str">
        <f t="shared" si="31"/>
        <v>Excellent</v>
      </c>
    </row>
    <row r="990" spans="1:14">
      <c r="A990" t="s">
        <v>68</v>
      </c>
      <c r="B990">
        <v>2004</v>
      </c>
      <c r="C990" t="s">
        <v>2337</v>
      </c>
      <c r="D990" t="s">
        <v>14</v>
      </c>
      <c r="E990" t="s">
        <v>2338</v>
      </c>
      <c r="F990" t="s">
        <v>57</v>
      </c>
      <c r="G990">
        <v>49.87</v>
      </c>
      <c r="H990">
        <v>76</v>
      </c>
      <c r="I990" t="s">
        <v>29</v>
      </c>
      <c r="J990" t="s">
        <v>24</v>
      </c>
      <c r="K990" t="s">
        <v>12</v>
      </c>
      <c r="L990">
        <v>356</v>
      </c>
      <c r="M990" t="str">
        <f t="shared" si="30"/>
        <v>High</v>
      </c>
      <c r="N990" t="str">
        <f t="shared" si="31"/>
        <v>Good</v>
      </c>
    </row>
    <row r="991" spans="1:14">
      <c r="A991" t="s">
        <v>20</v>
      </c>
      <c r="B991">
        <v>2004</v>
      </c>
      <c r="C991" t="s">
        <v>2339</v>
      </c>
      <c r="D991" t="s">
        <v>14</v>
      </c>
      <c r="E991" t="s">
        <v>2340</v>
      </c>
      <c r="F991" t="s">
        <v>35</v>
      </c>
      <c r="G991">
        <v>2.61</v>
      </c>
      <c r="H991">
        <v>73</v>
      </c>
      <c r="I991" t="s">
        <v>17</v>
      </c>
      <c r="J991" t="s">
        <v>18</v>
      </c>
      <c r="K991" t="s">
        <v>12</v>
      </c>
      <c r="L991">
        <v>137</v>
      </c>
      <c r="M991" t="str">
        <f t="shared" si="30"/>
        <v>Low</v>
      </c>
      <c r="N991" t="str">
        <f t="shared" si="31"/>
        <v>Average</v>
      </c>
    </row>
    <row r="992" spans="1:14">
      <c r="A992" t="s">
        <v>26</v>
      </c>
      <c r="B992">
        <v>2016</v>
      </c>
      <c r="C992" t="s">
        <v>2341</v>
      </c>
      <c r="D992" t="s">
        <v>33</v>
      </c>
      <c r="E992" t="s">
        <v>2342</v>
      </c>
      <c r="F992" t="s">
        <v>57</v>
      </c>
      <c r="G992">
        <v>9.7799999999999994</v>
      </c>
      <c r="H992">
        <v>88</v>
      </c>
      <c r="I992" t="s">
        <v>29</v>
      </c>
      <c r="J992" t="s">
        <v>18</v>
      </c>
      <c r="K992" t="s">
        <v>12</v>
      </c>
      <c r="L992">
        <v>290</v>
      </c>
      <c r="M992" t="str">
        <f t="shared" si="30"/>
        <v>Low</v>
      </c>
      <c r="N992" t="str">
        <f t="shared" si="31"/>
        <v>Good</v>
      </c>
    </row>
    <row r="993" spans="1:14">
      <c r="A993" t="s">
        <v>39</v>
      </c>
      <c r="B993">
        <v>2013</v>
      </c>
      <c r="C993" t="s">
        <v>2343</v>
      </c>
      <c r="D993" t="s">
        <v>14</v>
      </c>
      <c r="E993" t="s">
        <v>2344</v>
      </c>
      <c r="F993" t="s">
        <v>57</v>
      </c>
      <c r="G993">
        <v>44.73</v>
      </c>
      <c r="H993">
        <v>94</v>
      </c>
      <c r="I993" t="s">
        <v>17</v>
      </c>
      <c r="J993" t="s">
        <v>37</v>
      </c>
      <c r="K993" t="s">
        <v>2345</v>
      </c>
      <c r="L993">
        <v>360</v>
      </c>
      <c r="M993" t="str">
        <f t="shared" si="30"/>
        <v>High</v>
      </c>
      <c r="N993" t="str">
        <f t="shared" si="31"/>
        <v>Excellent</v>
      </c>
    </row>
    <row r="994" spans="1:14">
      <c r="A994" t="s">
        <v>26</v>
      </c>
      <c r="B994">
        <v>2001</v>
      </c>
      <c r="C994" t="s">
        <v>2346</v>
      </c>
      <c r="D994" t="s">
        <v>33</v>
      </c>
      <c r="E994" t="s">
        <v>2347</v>
      </c>
      <c r="F994" t="s">
        <v>46</v>
      </c>
      <c r="G994">
        <v>20.440000000000001</v>
      </c>
      <c r="H994">
        <v>61</v>
      </c>
      <c r="I994" t="s">
        <v>23</v>
      </c>
      <c r="J994" t="s">
        <v>18</v>
      </c>
      <c r="K994" t="s">
        <v>39</v>
      </c>
      <c r="L994">
        <v>299</v>
      </c>
      <c r="M994" t="str">
        <f t="shared" si="30"/>
        <v>Medium</v>
      </c>
      <c r="N994" t="str">
        <f t="shared" si="31"/>
        <v>Average</v>
      </c>
    </row>
    <row r="995" spans="1:14">
      <c r="A995" t="s">
        <v>26</v>
      </c>
      <c r="B995">
        <v>2010</v>
      </c>
      <c r="C995" t="s">
        <v>2348</v>
      </c>
      <c r="D995" t="s">
        <v>33</v>
      </c>
      <c r="E995" t="s">
        <v>2349</v>
      </c>
      <c r="F995" t="s">
        <v>16</v>
      </c>
      <c r="G995">
        <v>22.24</v>
      </c>
      <c r="H995">
        <v>93</v>
      </c>
      <c r="I995" t="s">
        <v>36</v>
      </c>
      <c r="J995" t="s">
        <v>24</v>
      </c>
      <c r="K995" t="s">
        <v>232</v>
      </c>
      <c r="L995">
        <v>207</v>
      </c>
      <c r="M995" t="str">
        <f t="shared" si="30"/>
        <v>Medium</v>
      </c>
      <c r="N995" t="str">
        <f t="shared" si="31"/>
        <v>Excellent</v>
      </c>
    </row>
    <row r="996" spans="1:14">
      <c r="A996" t="s">
        <v>65</v>
      </c>
      <c r="B996">
        <v>2001</v>
      </c>
      <c r="C996" t="s">
        <v>2350</v>
      </c>
      <c r="D996" t="s">
        <v>33</v>
      </c>
      <c r="E996" t="s">
        <v>2351</v>
      </c>
      <c r="F996" t="s">
        <v>57</v>
      </c>
      <c r="G996">
        <v>23.48</v>
      </c>
      <c r="H996">
        <v>100</v>
      </c>
      <c r="I996" t="s">
        <v>61</v>
      </c>
      <c r="J996" t="s">
        <v>18</v>
      </c>
      <c r="K996" t="s">
        <v>26</v>
      </c>
      <c r="L996">
        <v>49</v>
      </c>
      <c r="M996" t="str">
        <f t="shared" si="30"/>
        <v>Medium</v>
      </c>
      <c r="N996" t="str">
        <f t="shared" si="31"/>
        <v>Excellent</v>
      </c>
    </row>
    <row r="997" spans="1:14">
      <c r="A997" t="s">
        <v>12</v>
      </c>
      <c r="B997">
        <v>2020</v>
      </c>
      <c r="C997" t="s">
        <v>2352</v>
      </c>
      <c r="D997" t="s">
        <v>33</v>
      </c>
      <c r="E997" t="s">
        <v>2353</v>
      </c>
      <c r="F997" t="s">
        <v>42</v>
      </c>
      <c r="G997">
        <v>25.34</v>
      </c>
      <c r="H997">
        <v>67</v>
      </c>
      <c r="I997" t="s">
        <v>29</v>
      </c>
      <c r="J997" t="s">
        <v>24</v>
      </c>
      <c r="K997" t="s">
        <v>687</v>
      </c>
      <c r="L997">
        <v>125</v>
      </c>
      <c r="M997" t="str">
        <f t="shared" si="30"/>
        <v>Medium</v>
      </c>
      <c r="N997" t="str">
        <f t="shared" si="31"/>
        <v>Average</v>
      </c>
    </row>
    <row r="998" spans="1:14">
      <c r="A998" t="s">
        <v>20</v>
      </c>
      <c r="B998">
        <v>2009</v>
      </c>
      <c r="C998" t="s">
        <v>2354</v>
      </c>
      <c r="D998" t="s">
        <v>14</v>
      </c>
      <c r="E998" t="s">
        <v>150</v>
      </c>
      <c r="F998" t="s">
        <v>42</v>
      </c>
      <c r="G998">
        <v>1.57</v>
      </c>
      <c r="H998">
        <v>88</v>
      </c>
      <c r="I998" t="s">
        <v>36</v>
      </c>
      <c r="J998" t="s">
        <v>18</v>
      </c>
      <c r="K998" t="s">
        <v>1976</v>
      </c>
      <c r="L998">
        <v>115</v>
      </c>
      <c r="M998" t="str">
        <f t="shared" si="30"/>
        <v>Low</v>
      </c>
      <c r="N998" t="str">
        <f t="shared" si="31"/>
        <v>Good</v>
      </c>
    </row>
    <row r="999" spans="1:14">
      <c r="A999" t="s">
        <v>47</v>
      </c>
      <c r="B999">
        <v>2023</v>
      </c>
      <c r="C999" t="s">
        <v>2355</v>
      </c>
      <c r="D999" t="s">
        <v>33</v>
      </c>
      <c r="E999" t="s">
        <v>1457</v>
      </c>
      <c r="F999" t="s">
        <v>57</v>
      </c>
      <c r="G999">
        <v>12.75</v>
      </c>
      <c r="H999">
        <v>82</v>
      </c>
      <c r="I999" t="s">
        <v>23</v>
      </c>
      <c r="J999" t="s">
        <v>18</v>
      </c>
      <c r="K999" t="s">
        <v>48</v>
      </c>
      <c r="L999">
        <v>339</v>
      </c>
      <c r="M999" t="str">
        <f t="shared" si="30"/>
        <v>Low</v>
      </c>
      <c r="N999" t="str">
        <f t="shared" si="31"/>
        <v>Good</v>
      </c>
    </row>
    <row r="1000" spans="1:14">
      <c r="A1000" t="s">
        <v>65</v>
      </c>
      <c r="B1000">
        <v>2002</v>
      </c>
      <c r="C1000" t="s">
        <v>2356</v>
      </c>
      <c r="D1000" t="s">
        <v>14</v>
      </c>
      <c r="E1000" t="s">
        <v>2357</v>
      </c>
      <c r="F1000" t="s">
        <v>46</v>
      </c>
      <c r="G1000">
        <v>19.38</v>
      </c>
      <c r="H1000">
        <v>97</v>
      </c>
      <c r="I1000" t="s">
        <v>23</v>
      </c>
      <c r="J1000" t="s">
        <v>24</v>
      </c>
      <c r="K1000" t="s">
        <v>2358</v>
      </c>
      <c r="L1000">
        <v>230</v>
      </c>
      <c r="M1000" t="str">
        <f t="shared" si="30"/>
        <v>Medium</v>
      </c>
      <c r="N1000" t="str">
        <f t="shared" si="31"/>
        <v>Excellent</v>
      </c>
    </row>
    <row r="1001" spans="1:14">
      <c r="A1001" t="s">
        <v>20</v>
      </c>
      <c r="B1001">
        <v>2011</v>
      </c>
      <c r="C1001" t="s">
        <v>2359</v>
      </c>
      <c r="D1001" t="s">
        <v>14</v>
      </c>
      <c r="E1001" t="s">
        <v>2360</v>
      </c>
      <c r="F1001" t="s">
        <v>35</v>
      </c>
      <c r="G1001">
        <v>6.67</v>
      </c>
      <c r="H1001">
        <v>83</v>
      </c>
      <c r="I1001" t="s">
        <v>23</v>
      </c>
      <c r="J1001" t="s">
        <v>18</v>
      </c>
      <c r="K1001" t="s">
        <v>2361</v>
      </c>
      <c r="L1001">
        <v>197</v>
      </c>
      <c r="M1001" t="str">
        <f t="shared" si="30"/>
        <v>Low</v>
      </c>
      <c r="N1001" t="str">
        <f t="shared" si="31"/>
        <v>Good</v>
      </c>
    </row>
    <row r="1002" spans="1:14">
      <c r="A1002" t="s">
        <v>39</v>
      </c>
      <c r="B1002">
        <v>2008</v>
      </c>
      <c r="C1002" t="s">
        <v>2362</v>
      </c>
      <c r="D1002" t="s">
        <v>14</v>
      </c>
      <c r="E1002" t="s">
        <v>2363</v>
      </c>
      <c r="F1002" t="s">
        <v>46</v>
      </c>
      <c r="G1002">
        <v>46.47</v>
      </c>
      <c r="H1002">
        <v>62</v>
      </c>
      <c r="I1002" t="s">
        <v>61</v>
      </c>
      <c r="J1002" t="s">
        <v>24</v>
      </c>
      <c r="K1002" t="s">
        <v>48</v>
      </c>
      <c r="L1002">
        <v>281</v>
      </c>
      <c r="M1002" t="str">
        <f t="shared" si="30"/>
        <v>High</v>
      </c>
      <c r="N1002" t="str">
        <f t="shared" si="31"/>
        <v>Average</v>
      </c>
    </row>
    <row r="1003" spans="1:14">
      <c r="A1003" t="s">
        <v>48</v>
      </c>
      <c r="B1003">
        <v>2014</v>
      </c>
      <c r="C1003" t="s">
        <v>2364</v>
      </c>
      <c r="D1003" t="s">
        <v>33</v>
      </c>
      <c r="E1003" t="s">
        <v>2365</v>
      </c>
      <c r="F1003" t="s">
        <v>35</v>
      </c>
      <c r="G1003">
        <v>13.91</v>
      </c>
      <c r="H1003">
        <v>97</v>
      </c>
      <c r="I1003" t="s">
        <v>36</v>
      </c>
      <c r="J1003" t="s">
        <v>24</v>
      </c>
      <c r="K1003" t="s">
        <v>2366</v>
      </c>
      <c r="L1003">
        <v>128</v>
      </c>
      <c r="M1003" t="str">
        <f t="shared" si="30"/>
        <v>Low</v>
      </c>
      <c r="N1003" t="str">
        <f t="shared" si="31"/>
        <v>Excellent</v>
      </c>
    </row>
    <row r="1004" spans="1:14">
      <c r="A1004" t="s">
        <v>31</v>
      </c>
      <c r="B1004">
        <v>2007</v>
      </c>
      <c r="C1004" t="s">
        <v>2367</v>
      </c>
      <c r="D1004" t="s">
        <v>14</v>
      </c>
      <c r="E1004" t="s">
        <v>2368</v>
      </c>
      <c r="F1004" t="s">
        <v>57</v>
      </c>
      <c r="G1004">
        <v>23.12</v>
      </c>
      <c r="H1004">
        <v>91</v>
      </c>
      <c r="I1004" t="s">
        <v>17</v>
      </c>
      <c r="J1004" t="s">
        <v>18</v>
      </c>
      <c r="K1004" t="s">
        <v>2369</v>
      </c>
      <c r="L1004">
        <v>91</v>
      </c>
      <c r="M1004" t="str">
        <f t="shared" si="30"/>
        <v>Medium</v>
      </c>
      <c r="N1004" t="str">
        <f t="shared" si="31"/>
        <v>Excellent</v>
      </c>
    </row>
    <row r="1005" spans="1:14">
      <c r="A1005" t="s">
        <v>12</v>
      </c>
      <c r="B1005">
        <v>2018</v>
      </c>
      <c r="C1005" t="s">
        <v>2370</v>
      </c>
      <c r="D1005" t="s">
        <v>14</v>
      </c>
      <c r="E1005" t="s">
        <v>2371</v>
      </c>
      <c r="F1005" t="s">
        <v>16</v>
      </c>
      <c r="G1005">
        <v>34.4</v>
      </c>
      <c r="H1005">
        <v>97</v>
      </c>
      <c r="I1005" t="s">
        <v>61</v>
      </c>
      <c r="J1005" t="s">
        <v>37</v>
      </c>
      <c r="K1005" t="s">
        <v>114</v>
      </c>
      <c r="L1005">
        <v>6</v>
      </c>
      <c r="M1005" t="str">
        <f t="shared" si="30"/>
        <v>Medium</v>
      </c>
      <c r="N1005" t="str">
        <f t="shared" si="31"/>
        <v>Excellent</v>
      </c>
    </row>
    <row r="1006" spans="1:14">
      <c r="A1006" t="s">
        <v>26</v>
      </c>
      <c r="B1006">
        <v>2015</v>
      </c>
      <c r="C1006" t="s">
        <v>2372</v>
      </c>
      <c r="D1006" t="s">
        <v>33</v>
      </c>
      <c r="E1006" t="s">
        <v>2373</v>
      </c>
      <c r="F1006" t="s">
        <v>46</v>
      </c>
      <c r="G1006">
        <v>7.63</v>
      </c>
      <c r="H1006">
        <v>100</v>
      </c>
      <c r="I1006" t="s">
        <v>36</v>
      </c>
      <c r="J1006" t="s">
        <v>37</v>
      </c>
      <c r="K1006" t="s">
        <v>2374</v>
      </c>
      <c r="L1006">
        <v>44</v>
      </c>
      <c r="M1006" t="str">
        <f t="shared" si="30"/>
        <v>Low</v>
      </c>
      <c r="N1006" t="str">
        <f t="shared" si="31"/>
        <v>Excellent</v>
      </c>
    </row>
    <row r="1007" spans="1:14">
      <c r="A1007" t="s">
        <v>12</v>
      </c>
      <c r="B1007">
        <v>2018</v>
      </c>
      <c r="C1007" t="s">
        <v>2375</v>
      </c>
      <c r="D1007" t="s">
        <v>14</v>
      </c>
      <c r="E1007" t="s">
        <v>2376</v>
      </c>
      <c r="F1007" t="s">
        <v>46</v>
      </c>
      <c r="G1007">
        <v>37.31</v>
      </c>
      <c r="H1007">
        <v>76</v>
      </c>
      <c r="I1007" t="s">
        <v>61</v>
      </c>
      <c r="J1007" t="s">
        <v>37</v>
      </c>
      <c r="K1007" t="s">
        <v>39</v>
      </c>
      <c r="L1007">
        <v>259</v>
      </c>
      <c r="M1007" t="str">
        <f t="shared" si="30"/>
        <v>High</v>
      </c>
      <c r="N1007" t="str">
        <f t="shared" si="31"/>
        <v>Good</v>
      </c>
    </row>
    <row r="1008" spans="1:14">
      <c r="A1008" t="s">
        <v>31</v>
      </c>
      <c r="B1008">
        <v>2016</v>
      </c>
      <c r="C1008" t="s">
        <v>2377</v>
      </c>
      <c r="D1008" t="s">
        <v>33</v>
      </c>
      <c r="E1008" t="s">
        <v>2378</v>
      </c>
      <c r="F1008" t="s">
        <v>35</v>
      </c>
      <c r="G1008">
        <v>11.11</v>
      </c>
      <c r="H1008">
        <v>63</v>
      </c>
      <c r="I1008" t="s">
        <v>61</v>
      </c>
      <c r="J1008" t="s">
        <v>18</v>
      </c>
      <c r="K1008" t="s">
        <v>31</v>
      </c>
      <c r="L1008">
        <v>61</v>
      </c>
      <c r="M1008" t="str">
        <f t="shared" si="30"/>
        <v>Low</v>
      </c>
      <c r="N1008" t="str">
        <f t="shared" si="31"/>
        <v>Average</v>
      </c>
    </row>
    <row r="1009" spans="1:14">
      <c r="A1009" t="s">
        <v>68</v>
      </c>
      <c r="B1009">
        <v>2010</v>
      </c>
      <c r="C1009" t="s">
        <v>2379</v>
      </c>
      <c r="D1009" t="s">
        <v>33</v>
      </c>
      <c r="E1009" t="s">
        <v>2380</v>
      </c>
      <c r="F1009" t="s">
        <v>57</v>
      </c>
      <c r="G1009">
        <v>30.77</v>
      </c>
      <c r="H1009">
        <v>99</v>
      </c>
      <c r="I1009" t="s">
        <v>61</v>
      </c>
      <c r="J1009" t="s">
        <v>18</v>
      </c>
      <c r="K1009" t="s">
        <v>68</v>
      </c>
      <c r="L1009">
        <v>148</v>
      </c>
      <c r="M1009" t="str">
        <f t="shared" si="30"/>
        <v>Medium</v>
      </c>
      <c r="N1009" t="str">
        <f t="shared" si="31"/>
        <v>Excellent</v>
      </c>
    </row>
    <row r="1010" spans="1:14">
      <c r="A1010" t="s">
        <v>68</v>
      </c>
      <c r="B1010">
        <v>2021</v>
      </c>
      <c r="C1010" t="s">
        <v>2381</v>
      </c>
      <c r="D1010" t="s">
        <v>33</v>
      </c>
      <c r="E1010" t="s">
        <v>2382</v>
      </c>
      <c r="F1010" t="s">
        <v>46</v>
      </c>
      <c r="G1010">
        <v>37.46</v>
      </c>
      <c r="H1010">
        <v>89</v>
      </c>
      <c r="I1010" t="s">
        <v>61</v>
      </c>
      <c r="J1010" t="s">
        <v>37</v>
      </c>
      <c r="K1010" t="s">
        <v>465</v>
      </c>
      <c r="L1010">
        <v>45</v>
      </c>
      <c r="M1010" t="str">
        <f t="shared" si="30"/>
        <v>High</v>
      </c>
      <c r="N1010" t="str">
        <f t="shared" si="31"/>
        <v>Good</v>
      </c>
    </row>
    <row r="1011" spans="1:14">
      <c r="A1011" t="s">
        <v>20</v>
      </c>
      <c r="B1011">
        <v>2006</v>
      </c>
      <c r="C1011" t="s">
        <v>2383</v>
      </c>
      <c r="D1011" t="s">
        <v>33</v>
      </c>
      <c r="E1011" t="s">
        <v>2384</v>
      </c>
      <c r="F1011" t="s">
        <v>42</v>
      </c>
      <c r="G1011">
        <v>9.19</v>
      </c>
      <c r="H1011">
        <v>53</v>
      </c>
      <c r="I1011" t="s">
        <v>36</v>
      </c>
      <c r="J1011" t="s">
        <v>24</v>
      </c>
      <c r="K1011" t="s">
        <v>2385</v>
      </c>
      <c r="L1011">
        <v>251</v>
      </c>
      <c r="M1011" t="str">
        <f t="shared" si="30"/>
        <v>Low</v>
      </c>
      <c r="N1011" t="str">
        <f t="shared" si="31"/>
        <v>Average</v>
      </c>
    </row>
    <row r="1012" spans="1:14">
      <c r="A1012" t="s">
        <v>47</v>
      </c>
      <c r="B1012">
        <v>2019</v>
      </c>
      <c r="C1012" t="s">
        <v>2386</v>
      </c>
      <c r="D1012" t="s">
        <v>14</v>
      </c>
      <c r="E1012" t="s">
        <v>2387</v>
      </c>
      <c r="F1012" t="s">
        <v>16</v>
      </c>
      <c r="G1012">
        <v>19.48</v>
      </c>
      <c r="H1012">
        <v>98</v>
      </c>
      <c r="I1012" t="s">
        <v>17</v>
      </c>
      <c r="J1012" t="s">
        <v>37</v>
      </c>
      <c r="K1012" t="s">
        <v>330</v>
      </c>
      <c r="L1012">
        <v>316</v>
      </c>
      <c r="M1012" t="str">
        <f t="shared" si="30"/>
        <v>Medium</v>
      </c>
      <c r="N1012" t="str">
        <f t="shared" si="31"/>
        <v>Excellent</v>
      </c>
    </row>
    <row r="1013" spans="1:14">
      <c r="A1013" t="s">
        <v>20</v>
      </c>
      <c r="B1013">
        <v>2014</v>
      </c>
      <c r="C1013" t="s">
        <v>2388</v>
      </c>
      <c r="D1013" t="s">
        <v>33</v>
      </c>
      <c r="E1013" t="s">
        <v>2389</v>
      </c>
      <c r="F1013" t="s">
        <v>42</v>
      </c>
      <c r="G1013">
        <v>19.61</v>
      </c>
      <c r="H1013">
        <v>88</v>
      </c>
      <c r="I1013" t="s">
        <v>17</v>
      </c>
      <c r="J1013" t="s">
        <v>18</v>
      </c>
      <c r="K1013" t="s">
        <v>31</v>
      </c>
      <c r="L1013">
        <v>33</v>
      </c>
      <c r="M1013" t="str">
        <f t="shared" si="30"/>
        <v>Medium</v>
      </c>
      <c r="N1013" t="str">
        <f t="shared" si="31"/>
        <v>Good</v>
      </c>
    </row>
    <row r="1014" spans="1:14">
      <c r="A1014" t="s">
        <v>26</v>
      </c>
      <c r="B1014">
        <v>2023</v>
      </c>
      <c r="C1014" t="s">
        <v>2390</v>
      </c>
      <c r="D1014" t="s">
        <v>14</v>
      </c>
      <c r="E1014" t="s">
        <v>2391</v>
      </c>
      <c r="F1014" t="s">
        <v>57</v>
      </c>
      <c r="G1014">
        <v>36.58</v>
      </c>
      <c r="H1014">
        <v>72</v>
      </c>
      <c r="I1014" t="s">
        <v>29</v>
      </c>
      <c r="J1014" t="s">
        <v>24</v>
      </c>
      <c r="K1014" t="s">
        <v>2392</v>
      </c>
      <c r="L1014">
        <v>234</v>
      </c>
      <c r="M1014" t="str">
        <f t="shared" si="30"/>
        <v>High</v>
      </c>
      <c r="N1014" t="str">
        <f t="shared" si="31"/>
        <v>Average</v>
      </c>
    </row>
    <row r="1015" spans="1:14">
      <c r="A1015" t="s">
        <v>39</v>
      </c>
      <c r="B1015">
        <v>2005</v>
      </c>
      <c r="C1015" t="s">
        <v>2393</v>
      </c>
      <c r="D1015" t="s">
        <v>33</v>
      </c>
      <c r="E1015" t="s">
        <v>2394</v>
      </c>
      <c r="F1015" t="s">
        <v>57</v>
      </c>
      <c r="G1015">
        <v>28.33</v>
      </c>
      <c r="H1015">
        <v>62</v>
      </c>
      <c r="I1015" t="s">
        <v>29</v>
      </c>
      <c r="J1015" t="s">
        <v>18</v>
      </c>
      <c r="K1015" t="s">
        <v>2361</v>
      </c>
      <c r="L1015">
        <v>156</v>
      </c>
      <c r="M1015" t="str">
        <f t="shared" si="30"/>
        <v>Medium</v>
      </c>
      <c r="N1015" t="str">
        <f t="shared" si="31"/>
        <v>Average</v>
      </c>
    </row>
    <row r="1016" spans="1:14">
      <c r="A1016" t="s">
        <v>20</v>
      </c>
      <c r="B1016">
        <v>2016</v>
      </c>
      <c r="C1016" t="s">
        <v>2395</v>
      </c>
      <c r="D1016" t="s">
        <v>33</v>
      </c>
      <c r="E1016" t="s">
        <v>2396</v>
      </c>
      <c r="F1016" t="s">
        <v>35</v>
      </c>
      <c r="G1016">
        <v>13.2</v>
      </c>
      <c r="H1016">
        <v>94</v>
      </c>
      <c r="I1016" t="s">
        <v>23</v>
      </c>
      <c r="J1016" t="s">
        <v>18</v>
      </c>
      <c r="K1016" t="s">
        <v>2397</v>
      </c>
      <c r="L1016">
        <v>221</v>
      </c>
      <c r="M1016" t="str">
        <f t="shared" si="30"/>
        <v>Low</v>
      </c>
      <c r="N1016" t="str">
        <f t="shared" si="31"/>
        <v>Excellent</v>
      </c>
    </row>
    <row r="1017" spans="1:14">
      <c r="A1017" t="s">
        <v>12</v>
      </c>
      <c r="B1017">
        <v>2023</v>
      </c>
      <c r="C1017" t="s">
        <v>2398</v>
      </c>
      <c r="D1017" t="s">
        <v>33</v>
      </c>
      <c r="E1017" t="s">
        <v>1034</v>
      </c>
      <c r="F1017" t="s">
        <v>57</v>
      </c>
      <c r="G1017">
        <v>14.75</v>
      </c>
      <c r="H1017">
        <v>69</v>
      </c>
      <c r="I1017" t="s">
        <v>29</v>
      </c>
      <c r="J1017" t="s">
        <v>24</v>
      </c>
      <c r="K1017" t="s">
        <v>26</v>
      </c>
      <c r="L1017">
        <v>304</v>
      </c>
      <c r="M1017" t="str">
        <f t="shared" si="30"/>
        <v>Low</v>
      </c>
      <c r="N1017" t="str">
        <f t="shared" si="31"/>
        <v>Average</v>
      </c>
    </row>
    <row r="1018" spans="1:14">
      <c r="A1018" t="s">
        <v>38</v>
      </c>
      <c r="B1018">
        <v>2014</v>
      </c>
      <c r="C1018" t="s">
        <v>2399</v>
      </c>
      <c r="D1018" t="s">
        <v>33</v>
      </c>
      <c r="E1018" t="s">
        <v>2400</v>
      </c>
      <c r="F1018" t="s">
        <v>46</v>
      </c>
      <c r="G1018">
        <v>46.97</v>
      </c>
      <c r="H1018">
        <v>68</v>
      </c>
      <c r="I1018" t="s">
        <v>23</v>
      </c>
      <c r="J1018" t="s">
        <v>37</v>
      </c>
      <c r="K1018" t="s">
        <v>986</v>
      </c>
      <c r="L1018">
        <v>198</v>
      </c>
      <c r="M1018" t="str">
        <f t="shared" si="30"/>
        <v>High</v>
      </c>
      <c r="N1018" t="str">
        <f t="shared" si="31"/>
        <v>Average</v>
      </c>
    </row>
    <row r="1019" spans="1:14">
      <c r="A1019" t="s">
        <v>12</v>
      </c>
      <c r="B1019">
        <v>2009</v>
      </c>
      <c r="C1019" t="s">
        <v>2401</v>
      </c>
      <c r="D1019" t="s">
        <v>33</v>
      </c>
      <c r="E1019" t="s">
        <v>2402</v>
      </c>
      <c r="F1019" t="s">
        <v>57</v>
      </c>
      <c r="G1019">
        <v>13.57</v>
      </c>
      <c r="H1019">
        <v>82</v>
      </c>
      <c r="I1019" t="s">
        <v>29</v>
      </c>
      <c r="J1019" t="s">
        <v>37</v>
      </c>
      <c r="K1019" t="s">
        <v>942</v>
      </c>
      <c r="L1019">
        <v>293</v>
      </c>
      <c r="M1019" t="str">
        <f t="shared" si="30"/>
        <v>Low</v>
      </c>
      <c r="N1019" t="str">
        <f t="shared" si="31"/>
        <v>Good</v>
      </c>
    </row>
    <row r="1020" spans="1:14">
      <c r="A1020" t="s">
        <v>26</v>
      </c>
      <c r="B1020">
        <v>2016</v>
      </c>
      <c r="C1020" t="s">
        <v>2403</v>
      </c>
      <c r="D1020" t="s">
        <v>14</v>
      </c>
      <c r="E1020" t="s">
        <v>2404</v>
      </c>
      <c r="F1020" t="s">
        <v>57</v>
      </c>
      <c r="G1020">
        <v>42.56</v>
      </c>
      <c r="H1020">
        <v>100</v>
      </c>
      <c r="I1020" t="s">
        <v>29</v>
      </c>
      <c r="J1020" t="s">
        <v>24</v>
      </c>
      <c r="K1020" t="s">
        <v>12</v>
      </c>
      <c r="L1020">
        <v>331</v>
      </c>
      <c r="M1020" t="str">
        <f t="shared" si="30"/>
        <v>High</v>
      </c>
      <c r="N1020" t="str">
        <f t="shared" si="31"/>
        <v>Excellent</v>
      </c>
    </row>
    <row r="1021" spans="1:14">
      <c r="A1021" t="s">
        <v>65</v>
      </c>
      <c r="B1021">
        <v>2023</v>
      </c>
      <c r="C1021" t="s">
        <v>2405</v>
      </c>
      <c r="D1021" t="s">
        <v>33</v>
      </c>
      <c r="E1021" t="s">
        <v>2406</v>
      </c>
      <c r="F1021" t="s">
        <v>42</v>
      </c>
      <c r="G1021">
        <v>8.0500000000000007</v>
      </c>
      <c r="H1021">
        <v>91</v>
      </c>
      <c r="I1021" t="s">
        <v>23</v>
      </c>
      <c r="J1021" t="s">
        <v>37</v>
      </c>
      <c r="K1021" t="s">
        <v>39</v>
      </c>
      <c r="L1021">
        <v>45</v>
      </c>
      <c r="M1021" t="str">
        <f t="shared" si="30"/>
        <v>Low</v>
      </c>
      <c r="N1021" t="str">
        <f t="shared" si="31"/>
        <v>Excellent</v>
      </c>
    </row>
    <row r="1022" spans="1:14">
      <c r="A1022" t="s">
        <v>12</v>
      </c>
      <c r="B1022">
        <v>2008</v>
      </c>
      <c r="C1022" t="s">
        <v>2407</v>
      </c>
      <c r="D1022" t="s">
        <v>14</v>
      </c>
      <c r="E1022" t="s">
        <v>2408</v>
      </c>
      <c r="F1022" t="s">
        <v>57</v>
      </c>
      <c r="G1022">
        <v>24.31</v>
      </c>
      <c r="H1022">
        <v>54</v>
      </c>
      <c r="I1022" t="s">
        <v>36</v>
      </c>
      <c r="J1022" t="s">
        <v>37</v>
      </c>
      <c r="K1022" t="s">
        <v>986</v>
      </c>
      <c r="L1022">
        <v>301</v>
      </c>
      <c r="M1022" t="str">
        <f t="shared" si="30"/>
        <v>Medium</v>
      </c>
      <c r="N1022" t="str">
        <f t="shared" si="31"/>
        <v>Average</v>
      </c>
    </row>
    <row r="1023" spans="1:14">
      <c r="A1023" t="s">
        <v>26</v>
      </c>
      <c r="B1023">
        <v>2025</v>
      </c>
      <c r="C1023" t="s">
        <v>2409</v>
      </c>
      <c r="D1023" t="s">
        <v>14</v>
      </c>
      <c r="E1023" t="s">
        <v>2410</v>
      </c>
      <c r="F1023" t="s">
        <v>42</v>
      </c>
      <c r="G1023">
        <v>41.36</v>
      </c>
      <c r="H1023">
        <v>84</v>
      </c>
      <c r="I1023" t="s">
        <v>23</v>
      </c>
      <c r="J1023" t="s">
        <v>18</v>
      </c>
      <c r="K1023" t="s">
        <v>68</v>
      </c>
      <c r="L1023">
        <v>17</v>
      </c>
      <c r="M1023" t="str">
        <f t="shared" si="30"/>
        <v>High</v>
      </c>
      <c r="N1023" t="str">
        <f t="shared" si="31"/>
        <v>Good</v>
      </c>
    </row>
    <row r="1024" spans="1:14">
      <c r="A1024" t="s">
        <v>38</v>
      </c>
      <c r="B1024">
        <v>2014</v>
      </c>
      <c r="C1024" t="s">
        <v>2411</v>
      </c>
      <c r="D1024" t="s">
        <v>33</v>
      </c>
      <c r="E1024" t="s">
        <v>1837</v>
      </c>
      <c r="F1024" t="s">
        <v>46</v>
      </c>
      <c r="G1024">
        <v>45.13</v>
      </c>
      <c r="H1024">
        <v>76</v>
      </c>
      <c r="I1024" t="s">
        <v>17</v>
      </c>
      <c r="J1024" t="s">
        <v>24</v>
      </c>
      <c r="K1024" t="s">
        <v>636</v>
      </c>
      <c r="L1024">
        <v>328</v>
      </c>
      <c r="M1024" t="str">
        <f t="shared" si="30"/>
        <v>High</v>
      </c>
      <c r="N1024" t="str">
        <f t="shared" si="31"/>
        <v>Good</v>
      </c>
    </row>
    <row r="1025" spans="1:14">
      <c r="A1025" t="s">
        <v>68</v>
      </c>
      <c r="B1025">
        <v>2002</v>
      </c>
      <c r="C1025" t="s">
        <v>2412</v>
      </c>
      <c r="D1025" t="s">
        <v>14</v>
      </c>
      <c r="E1025" t="s">
        <v>2413</v>
      </c>
      <c r="F1025" t="s">
        <v>35</v>
      </c>
      <c r="G1025">
        <v>36.15</v>
      </c>
      <c r="H1025">
        <v>78</v>
      </c>
      <c r="I1025" t="s">
        <v>17</v>
      </c>
      <c r="J1025" t="s">
        <v>24</v>
      </c>
      <c r="K1025" t="s">
        <v>2414</v>
      </c>
      <c r="L1025">
        <v>55</v>
      </c>
      <c r="M1025" t="str">
        <f t="shared" si="30"/>
        <v>High</v>
      </c>
      <c r="N1025" t="str">
        <f t="shared" si="31"/>
        <v>Good</v>
      </c>
    </row>
    <row r="1026" spans="1:14">
      <c r="A1026" t="s">
        <v>68</v>
      </c>
      <c r="B1026">
        <v>2001</v>
      </c>
      <c r="C1026" t="s">
        <v>2415</v>
      </c>
      <c r="D1026" t="s">
        <v>14</v>
      </c>
      <c r="E1026" t="s">
        <v>2416</v>
      </c>
      <c r="F1026" t="s">
        <v>42</v>
      </c>
      <c r="G1026">
        <v>20.62</v>
      </c>
      <c r="H1026">
        <v>67</v>
      </c>
      <c r="I1026" t="s">
        <v>29</v>
      </c>
      <c r="J1026" t="s">
        <v>24</v>
      </c>
      <c r="K1026" t="s">
        <v>157</v>
      </c>
      <c r="L1026">
        <v>158</v>
      </c>
      <c r="M1026" t="str">
        <f t="shared" si="30"/>
        <v>Medium</v>
      </c>
      <c r="N1026" t="str">
        <f t="shared" si="31"/>
        <v>Average</v>
      </c>
    </row>
    <row r="1027" spans="1:14">
      <c r="A1027" t="s">
        <v>39</v>
      </c>
      <c r="B1027">
        <v>2011</v>
      </c>
      <c r="C1027" t="s">
        <v>2417</v>
      </c>
      <c r="D1027" t="s">
        <v>33</v>
      </c>
      <c r="E1027" t="s">
        <v>2418</v>
      </c>
      <c r="F1027" t="s">
        <v>42</v>
      </c>
      <c r="G1027">
        <v>17.989999999999998</v>
      </c>
      <c r="H1027">
        <v>92</v>
      </c>
      <c r="I1027" t="s">
        <v>17</v>
      </c>
      <c r="J1027" t="s">
        <v>37</v>
      </c>
      <c r="K1027" t="s">
        <v>1979</v>
      </c>
      <c r="L1027">
        <v>287</v>
      </c>
      <c r="M1027" t="str">
        <f t="shared" ref="M1027:M1090" si="32">IF(G1027&lt;15,"Low",IF(G1027&lt;35,"Medium","High"))</f>
        <v>Medium</v>
      </c>
      <c r="N1027" t="str">
        <f t="shared" ref="N1027:N1090" si="33">IF(H1027&gt;=90,"Excellent",IF(H1027&gt;=75,"Good","Average"))</f>
        <v>Excellent</v>
      </c>
    </row>
    <row r="1028" spans="1:14">
      <c r="A1028" t="s">
        <v>20</v>
      </c>
      <c r="B1028">
        <v>2017</v>
      </c>
      <c r="C1028" t="s">
        <v>2419</v>
      </c>
      <c r="D1028" t="s">
        <v>33</v>
      </c>
      <c r="E1028" t="s">
        <v>2420</v>
      </c>
      <c r="F1028" t="s">
        <v>42</v>
      </c>
      <c r="G1028">
        <v>4.05</v>
      </c>
      <c r="H1028">
        <v>55</v>
      </c>
      <c r="I1028" t="s">
        <v>17</v>
      </c>
      <c r="J1028" t="s">
        <v>37</v>
      </c>
      <c r="K1028" t="s">
        <v>12</v>
      </c>
      <c r="L1028">
        <v>240</v>
      </c>
      <c r="M1028" t="str">
        <f t="shared" si="32"/>
        <v>Low</v>
      </c>
      <c r="N1028" t="str">
        <f t="shared" si="33"/>
        <v>Average</v>
      </c>
    </row>
    <row r="1029" spans="1:14">
      <c r="A1029" t="s">
        <v>48</v>
      </c>
      <c r="B1029">
        <v>2002</v>
      </c>
      <c r="C1029" t="s">
        <v>2421</v>
      </c>
      <c r="D1029" t="s">
        <v>14</v>
      </c>
      <c r="E1029" t="s">
        <v>2422</v>
      </c>
      <c r="F1029" t="s">
        <v>35</v>
      </c>
      <c r="G1029">
        <v>27.68</v>
      </c>
      <c r="H1029">
        <v>98</v>
      </c>
      <c r="I1029" t="s">
        <v>36</v>
      </c>
      <c r="J1029" t="s">
        <v>24</v>
      </c>
      <c r="K1029" t="s">
        <v>2423</v>
      </c>
      <c r="L1029">
        <v>265</v>
      </c>
      <c r="M1029" t="str">
        <f t="shared" si="32"/>
        <v>Medium</v>
      </c>
      <c r="N1029" t="str">
        <f t="shared" si="33"/>
        <v>Excellent</v>
      </c>
    </row>
    <row r="1030" spans="1:14">
      <c r="A1030" t="s">
        <v>39</v>
      </c>
      <c r="B1030">
        <v>2008</v>
      </c>
      <c r="C1030" t="s">
        <v>2424</v>
      </c>
      <c r="D1030" t="s">
        <v>14</v>
      </c>
      <c r="E1030" t="s">
        <v>748</v>
      </c>
      <c r="F1030" t="s">
        <v>35</v>
      </c>
      <c r="G1030">
        <v>24.7</v>
      </c>
      <c r="H1030">
        <v>86</v>
      </c>
      <c r="I1030" t="s">
        <v>29</v>
      </c>
      <c r="J1030" t="s">
        <v>18</v>
      </c>
      <c r="K1030" t="s">
        <v>2425</v>
      </c>
      <c r="L1030">
        <v>300</v>
      </c>
      <c r="M1030" t="str">
        <f t="shared" si="32"/>
        <v>Medium</v>
      </c>
      <c r="N1030" t="str">
        <f t="shared" si="33"/>
        <v>Good</v>
      </c>
    </row>
    <row r="1031" spans="1:14">
      <c r="A1031" t="s">
        <v>65</v>
      </c>
      <c r="B1031">
        <v>2016</v>
      </c>
      <c r="C1031" t="s">
        <v>2426</v>
      </c>
      <c r="D1031" t="s">
        <v>33</v>
      </c>
      <c r="E1031" t="s">
        <v>2427</v>
      </c>
      <c r="F1031" t="s">
        <v>42</v>
      </c>
      <c r="G1031">
        <v>19.43</v>
      </c>
      <c r="H1031">
        <v>81</v>
      </c>
      <c r="I1031" t="s">
        <v>17</v>
      </c>
      <c r="J1031" t="s">
        <v>18</v>
      </c>
      <c r="K1031" t="s">
        <v>2428</v>
      </c>
      <c r="L1031">
        <v>153</v>
      </c>
      <c r="M1031" t="str">
        <f t="shared" si="32"/>
        <v>Medium</v>
      </c>
      <c r="N1031" t="str">
        <f t="shared" si="33"/>
        <v>Good</v>
      </c>
    </row>
    <row r="1032" spans="1:14">
      <c r="A1032" t="s">
        <v>47</v>
      </c>
      <c r="B1032">
        <v>2003</v>
      </c>
      <c r="C1032" t="s">
        <v>2429</v>
      </c>
      <c r="D1032" t="s">
        <v>33</v>
      </c>
      <c r="E1032" t="s">
        <v>2430</v>
      </c>
      <c r="F1032" t="s">
        <v>42</v>
      </c>
      <c r="G1032">
        <v>32.67</v>
      </c>
      <c r="H1032">
        <v>92</v>
      </c>
      <c r="I1032" t="s">
        <v>36</v>
      </c>
      <c r="J1032" t="s">
        <v>37</v>
      </c>
      <c r="K1032" t="s">
        <v>2431</v>
      </c>
      <c r="L1032">
        <v>215</v>
      </c>
      <c r="M1032" t="str">
        <f t="shared" si="32"/>
        <v>Medium</v>
      </c>
      <c r="N1032" t="str">
        <f t="shared" si="33"/>
        <v>Excellent</v>
      </c>
    </row>
    <row r="1033" spans="1:14">
      <c r="A1033" t="s">
        <v>39</v>
      </c>
      <c r="B1033">
        <v>2005</v>
      </c>
      <c r="C1033" t="s">
        <v>2432</v>
      </c>
      <c r="D1033" t="s">
        <v>14</v>
      </c>
      <c r="E1033" t="s">
        <v>2433</v>
      </c>
      <c r="F1033" t="s">
        <v>35</v>
      </c>
      <c r="G1033">
        <v>31.61</v>
      </c>
      <c r="H1033">
        <v>55</v>
      </c>
      <c r="I1033" t="s">
        <v>17</v>
      </c>
      <c r="J1033" t="s">
        <v>18</v>
      </c>
      <c r="K1033" t="s">
        <v>26</v>
      </c>
      <c r="L1033">
        <v>23</v>
      </c>
      <c r="M1033" t="str">
        <f t="shared" si="32"/>
        <v>Medium</v>
      </c>
      <c r="N1033" t="str">
        <f t="shared" si="33"/>
        <v>Average</v>
      </c>
    </row>
    <row r="1034" spans="1:14">
      <c r="A1034" t="s">
        <v>65</v>
      </c>
      <c r="B1034">
        <v>2007</v>
      </c>
      <c r="C1034" t="s">
        <v>2434</v>
      </c>
      <c r="D1034" t="s">
        <v>33</v>
      </c>
      <c r="E1034" t="s">
        <v>2435</v>
      </c>
      <c r="F1034" t="s">
        <v>42</v>
      </c>
      <c r="G1034">
        <v>28.92</v>
      </c>
      <c r="H1034">
        <v>80</v>
      </c>
      <c r="I1034" t="s">
        <v>23</v>
      </c>
      <c r="J1034" t="s">
        <v>37</v>
      </c>
      <c r="K1034" t="s">
        <v>39</v>
      </c>
      <c r="L1034">
        <v>67</v>
      </c>
      <c r="M1034" t="str">
        <f t="shared" si="32"/>
        <v>Medium</v>
      </c>
      <c r="N1034" t="str">
        <f t="shared" si="33"/>
        <v>Good</v>
      </c>
    </row>
    <row r="1035" spans="1:14">
      <c r="A1035" t="s">
        <v>39</v>
      </c>
      <c r="B1035">
        <v>2000</v>
      </c>
      <c r="C1035" t="s">
        <v>2436</v>
      </c>
      <c r="D1035" t="s">
        <v>14</v>
      </c>
      <c r="E1035" t="s">
        <v>1948</v>
      </c>
      <c r="F1035" t="s">
        <v>35</v>
      </c>
      <c r="G1035">
        <v>36.549999999999997</v>
      </c>
      <c r="H1035">
        <v>95</v>
      </c>
      <c r="I1035" t="s">
        <v>23</v>
      </c>
      <c r="J1035" t="s">
        <v>37</v>
      </c>
      <c r="K1035" t="s">
        <v>20</v>
      </c>
      <c r="L1035">
        <v>70</v>
      </c>
      <c r="M1035" t="str">
        <f t="shared" si="32"/>
        <v>High</v>
      </c>
      <c r="N1035" t="str">
        <f t="shared" si="33"/>
        <v>Excellent</v>
      </c>
    </row>
    <row r="1036" spans="1:14">
      <c r="A1036" t="s">
        <v>48</v>
      </c>
      <c r="B1036">
        <v>2022</v>
      </c>
      <c r="C1036" t="s">
        <v>2437</v>
      </c>
      <c r="D1036" t="s">
        <v>14</v>
      </c>
      <c r="E1036" t="s">
        <v>2438</v>
      </c>
      <c r="F1036" t="s">
        <v>16</v>
      </c>
      <c r="G1036">
        <v>11.42</v>
      </c>
      <c r="H1036">
        <v>72</v>
      </c>
      <c r="I1036" t="s">
        <v>36</v>
      </c>
      <c r="J1036" t="s">
        <v>24</v>
      </c>
      <c r="K1036" t="s">
        <v>2439</v>
      </c>
      <c r="L1036">
        <v>349</v>
      </c>
      <c r="M1036" t="str">
        <f t="shared" si="32"/>
        <v>Low</v>
      </c>
      <c r="N1036" t="str">
        <f t="shared" si="33"/>
        <v>Average</v>
      </c>
    </row>
    <row r="1037" spans="1:14">
      <c r="A1037" t="s">
        <v>68</v>
      </c>
      <c r="B1037">
        <v>2015</v>
      </c>
      <c r="C1037" t="s">
        <v>2440</v>
      </c>
      <c r="D1037" t="s">
        <v>14</v>
      </c>
      <c r="E1037" t="s">
        <v>2441</v>
      </c>
      <c r="F1037" t="s">
        <v>46</v>
      </c>
      <c r="G1037">
        <v>10.89</v>
      </c>
      <c r="H1037">
        <v>87</v>
      </c>
      <c r="I1037" t="s">
        <v>17</v>
      </c>
      <c r="J1037" t="s">
        <v>18</v>
      </c>
      <c r="K1037" t="s">
        <v>81</v>
      </c>
      <c r="L1037">
        <v>197</v>
      </c>
      <c r="M1037" t="str">
        <f t="shared" si="32"/>
        <v>Low</v>
      </c>
      <c r="N1037" t="str">
        <f t="shared" si="33"/>
        <v>Good</v>
      </c>
    </row>
    <row r="1038" spans="1:14">
      <c r="A1038" t="s">
        <v>48</v>
      </c>
      <c r="B1038">
        <v>2000</v>
      </c>
      <c r="C1038" t="s">
        <v>2442</v>
      </c>
      <c r="D1038" t="s">
        <v>14</v>
      </c>
      <c r="E1038" t="s">
        <v>2443</v>
      </c>
      <c r="F1038" t="s">
        <v>57</v>
      </c>
      <c r="G1038">
        <v>25.59</v>
      </c>
      <c r="H1038">
        <v>73</v>
      </c>
      <c r="I1038" t="s">
        <v>61</v>
      </c>
      <c r="J1038" t="s">
        <v>37</v>
      </c>
      <c r="K1038" t="s">
        <v>1189</v>
      </c>
      <c r="L1038">
        <v>94</v>
      </c>
      <c r="M1038" t="str">
        <f t="shared" si="32"/>
        <v>Medium</v>
      </c>
      <c r="N1038" t="str">
        <f t="shared" si="33"/>
        <v>Average</v>
      </c>
    </row>
    <row r="1039" spans="1:14">
      <c r="A1039" t="s">
        <v>20</v>
      </c>
      <c r="B1039">
        <v>2016</v>
      </c>
      <c r="C1039" t="s">
        <v>2444</v>
      </c>
      <c r="D1039" t="s">
        <v>33</v>
      </c>
      <c r="E1039" t="s">
        <v>1381</v>
      </c>
      <c r="F1039" t="s">
        <v>57</v>
      </c>
      <c r="G1039">
        <v>28.33</v>
      </c>
      <c r="H1039">
        <v>76</v>
      </c>
      <c r="I1039" t="s">
        <v>36</v>
      </c>
      <c r="J1039" t="s">
        <v>24</v>
      </c>
      <c r="K1039" t="s">
        <v>1019</v>
      </c>
      <c r="L1039">
        <v>311</v>
      </c>
      <c r="M1039" t="str">
        <f t="shared" si="32"/>
        <v>Medium</v>
      </c>
      <c r="N1039" t="str">
        <f t="shared" si="33"/>
        <v>Good</v>
      </c>
    </row>
    <row r="1040" spans="1:14">
      <c r="A1040" t="s">
        <v>48</v>
      </c>
      <c r="B1040">
        <v>2022</v>
      </c>
      <c r="C1040" t="s">
        <v>2445</v>
      </c>
      <c r="D1040" t="s">
        <v>14</v>
      </c>
      <c r="E1040" t="s">
        <v>2446</v>
      </c>
      <c r="F1040" t="s">
        <v>42</v>
      </c>
      <c r="G1040">
        <v>18.66</v>
      </c>
      <c r="H1040">
        <v>62</v>
      </c>
      <c r="I1040" t="s">
        <v>29</v>
      </c>
      <c r="J1040" t="s">
        <v>18</v>
      </c>
      <c r="K1040" t="s">
        <v>656</v>
      </c>
      <c r="L1040">
        <v>198</v>
      </c>
      <c r="M1040" t="str">
        <f t="shared" si="32"/>
        <v>Medium</v>
      </c>
      <c r="N1040" t="str">
        <f t="shared" si="33"/>
        <v>Average</v>
      </c>
    </row>
    <row r="1041" spans="1:14">
      <c r="A1041" t="s">
        <v>20</v>
      </c>
      <c r="B1041">
        <v>2006</v>
      </c>
      <c r="C1041" t="s">
        <v>2447</v>
      </c>
      <c r="D1041" t="s">
        <v>33</v>
      </c>
      <c r="E1041" t="s">
        <v>143</v>
      </c>
      <c r="F1041" t="s">
        <v>35</v>
      </c>
      <c r="G1041">
        <v>43.54</v>
      </c>
      <c r="H1041">
        <v>56</v>
      </c>
      <c r="I1041" t="s">
        <v>23</v>
      </c>
      <c r="J1041" t="s">
        <v>24</v>
      </c>
      <c r="K1041" t="s">
        <v>12</v>
      </c>
      <c r="L1041">
        <v>168</v>
      </c>
      <c r="M1041" t="str">
        <f t="shared" si="32"/>
        <v>High</v>
      </c>
      <c r="N1041" t="str">
        <f t="shared" si="33"/>
        <v>Average</v>
      </c>
    </row>
    <row r="1042" spans="1:14">
      <c r="A1042" t="s">
        <v>26</v>
      </c>
      <c r="B1042">
        <v>2012</v>
      </c>
      <c r="C1042" t="s">
        <v>2448</v>
      </c>
      <c r="D1042" t="s">
        <v>33</v>
      </c>
      <c r="E1042" t="s">
        <v>2449</v>
      </c>
      <c r="F1042" t="s">
        <v>16</v>
      </c>
      <c r="G1042">
        <v>38.520000000000003</v>
      </c>
      <c r="H1042">
        <v>59</v>
      </c>
      <c r="I1042" t="s">
        <v>29</v>
      </c>
      <c r="J1042" t="s">
        <v>18</v>
      </c>
      <c r="K1042" t="s">
        <v>1986</v>
      </c>
      <c r="L1042">
        <v>343</v>
      </c>
      <c r="M1042" t="str">
        <f t="shared" si="32"/>
        <v>High</v>
      </c>
      <c r="N1042" t="str">
        <f t="shared" si="33"/>
        <v>Average</v>
      </c>
    </row>
    <row r="1043" spans="1:14">
      <c r="A1043" t="s">
        <v>38</v>
      </c>
      <c r="B1043">
        <v>2024</v>
      </c>
      <c r="C1043" t="s">
        <v>2450</v>
      </c>
      <c r="D1043" t="s">
        <v>14</v>
      </c>
      <c r="E1043" t="s">
        <v>2451</v>
      </c>
      <c r="F1043" t="s">
        <v>35</v>
      </c>
      <c r="G1043">
        <v>2.2000000000000002</v>
      </c>
      <c r="H1043">
        <v>62</v>
      </c>
      <c r="I1043" t="s">
        <v>29</v>
      </c>
      <c r="J1043" t="s">
        <v>24</v>
      </c>
      <c r="K1043" t="s">
        <v>2452</v>
      </c>
      <c r="L1043">
        <v>126</v>
      </c>
      <c r="M1043" t="str">
        <f t="shared" si="32"/>
        <v>Low</v>
      </c>
      <c r="N1043" t="str">
        <f t="shared" si="33"/>
        <v>Average</v>
      </c>
    </row>
    <row r="1044" spans="1:14">
      <c r="A1044" t="s">
        <v>65</v>
      </c>
      <c r="B1044">
        <v>2016</v>
      </c>
      <c r="C1044" t="s">
        <v>2453</v>
      </c>
      <c r="D1044" t="s">
        <v>14</v>
      </c>
      <c r="E1044" t="s">
        <v>2454</v>
      </c>
      <c r="F1044" t="s">
        <v>16</v>
      </c>
      <c r="G1044">
        <v>41.76</v>
      </c>
      <c r="H1044">
        <v>54</v>
      </c>
      <c r="I1044" t="s">
        <v>36</v>
      </c>
      <c r="J1044" t="s">
        <v>37</v>
      </c>
      <c r="K1044" t="s">
        <v>636</v>
      </c>
      <c r="L1044">
        <v>34</v>
      </c>
      <c r="M1044" t="str">
        <f t="shared" si="32"/>
        <v>High</v>
      </c>
      <c r="N1044" t="str">
        <f t="shared" si="33"/>
        <v>Average</v>
      </c>
    </row>
    <row r="1045" spans="1:14">
      <c r="A1045" t="s">
        <v>20</v>
      </c>
      <c r="B1045">
        <v>2011</v>
      </c>
      <c r="C1045" t="s">
        <v>2455</v>
      </c>
      <c r="D1045" t="s">
        <v>14</v>
      </c>
      <c r="E1045" t="s">
        <v>2456</v>
      </c>
      <c r="F1045" t="s">
        <v>16</v>
      </c>
      <c r="G1045">
        <v>2.77</v>
      </c>
      <c r="H1045">
        <v>82</v>
      </c>
      <c r="I1045" t="s">
        <v>17</v>
      </c>
      <c r="J1045" t="s">
        <v>37</v>
      </c>
      <c r="K1045" t="s">
        <v>398</v>
      </c>
      <c r="L1045">
        <v>61</v>
      </c>
      <c r="M1045" t="str">
        <f t="shared" si="32"/>
        <v>Low</v>
      </c>
      <c r="N1045" t="str">
        <f t="shared" si="33"/>
        <v>Good</v>
      </c>
    </row>
    <row r="1046" spans="1:14">
      <c r="A1046" t="s">
        <v>12</v>
      </c>
      <c r="B1046">
        <v>2002</v>
      </c>
      <c r="C1046" t="s">
        <v>2457</v>
      </c>
      <c r="D1046" t="s">
        <v>14</v>
      </c>
      <c r="E1046" t="s">
        <v>1571</v>
      </c>
      <c r="F1046" t="s">
        <v>57</v>
      </c>
      <c r="G1046">
        <v>21.87</v>
      </c>
      <c r="H1046">
        <v>74</v>
      </c>
      <c r="I1046" t="s">
        <v>17</v>
      </c>
      <c r="J1046" t="s">
        <v>37</v>
      </c>
      <c r="K1046" t="s">
        <v>2458</v>
      </c>
      <c r="L1046">
        <v>13</v>
      </c>
      <c r="M1046" t="str">
        <f t="shared" si="32"/>
        <v>Medium</v>
      </c>
      <c r="N1046" t="str">
        <f t="shared" si="33"/>
        <v>Average</v>
      </c>
    </row>
    <row r="1047" spans="1:14">
      <c r="A1047" t="s">
        <v>26</v>
      </c>
      <c r="B1047">
        <v>2002</v>
      </c>
      <c r="C1047" t="s">
        <v>2459</v>
      </c>
      <c r="D1047" t="s">
        <v>33</v>
      </c>
      <c r="E1047" t="s">
        <v>2460</v>
      </c>
      <c r="F1047" t="s">
        <v>42</v>
      </c>
      <c r="G1047">
        <v>36.33</v>
      </c>
      <c r="H1047">
        <v>83</v>
      </c>
      <c r="I1047" t="s">
        <v>29</v>
      </c>
      <c r="J1047" t="s">
        <v>18</v>
      </c>
      <c r="K1047" t="s">
        <v>12</v>
      </c>
      <c r="L1047">
        <v>286</v>
      </c>
      <c r="M1047" t="str">
        <f t="shared" si="32"/>
        <v>High</v>
      </c>
      <c r="N1047" t="str">
        <f t="shared" si="33"/>
        <v>Good</v>
      </c>
    </row>
    <row r="1048" spans="1:14">
      <c r="A1048" t="s">
        <v>38</v>
      </c>
      <c r="B1048">
        <v>2001</v>
      </c>
      <c r="C1048" t="s">
        <v>2461</v>
      </c>
      <c r="D1048" t="s">
        <v>33</v>
      </c>
      <c r="E1048" t="s">
        <v>2462</v>
      </c>
      <c r="F1048" t="s">
        <v>57</v>
      </c>
      <c r="G1048">
        <v>41.31</v>
      </c>
      <c r="H1048">
        <v>51</v>
      </c>
      <c r="I1048" t="s">
        <v>61</v>
      </c>
      <c r="J1048" t="s">
        <v>18</v>
      </c>
      <c r="K1048" t="s">
        <v>2463</v>
      </c>
      <c r="L1048">
        <v>99</v>
      </c>
      <c r="M1048" t="str">
        <f t="shared" si="32"/>
        <v>High</v>
      </c>
      <c r="N1048" t="str">
        <f t="shared" si="33"/>
        <v>Average</v>
      </c>
    </row>
    <row r="1049" spans="1:14">
      <c r="A1049" t="s">
        <v>48</v>
      </c>
      <c r="B1049">
        <v>2017</v>
      </c>
      <c r="C1049" t="s">
        <v>2464</v>
      </c>
      <c r="D1049" t="s">
        <v>33</v>
      </c>
      <c r="E1049" t="s">
        <v>2465</v>
      </c>
      <c r="F1049" t="s">
        <v>42</v>
      </c>
      <c r="G1049">
        <v>25.75</v>
      </c>
      <c r="H1049">
        <v>87</v>
      </c>
      <c r="I1049" t="s">
        <v>36</v>
      </c>
      <c r="J1049" t="s">
        <v>24</v>
      </c>
      <c r="K1049" t="s">
        <v>2466</v>
      </c>
      <c r="L1049">
        <v>186</v>
      </c>
      <c r="M1049" t="str">
        <f t="shared" si="32"/>
        <v>Medium</v>
      </c>
      <c r="N1049" t="str">
        <f t="shared" si="33"/>
        <v>Good</v>
      </c>
    </row>
    <row r="1050" spans="1:14">
      <c r="A1050" t="s">
        <v>31</v>
      </c>
      <c r="B1050">
        <v>2008</v>
      </c>
      <c r="C1050" t="s">
        <v>2467</v>
      </c>
      <c r="D1050" t="s">
        <v>14</v>
      </c>
      <c r="E1050" t="s">
        <v>2468</v>
      </c>
      <c r="F1050" t="s">
        <v>42</v>
      </c>
      <c r="G1050">
        <v>36.69</v>
      </c>
      <c r="H1050">
        <v>74</v>
      </c>
      <c r="I1050" t="s">
        <v>61</v>
      </c>
      <c r="J1050" t="s">
        <v>18</v>
      </c>
      <c r="K1050" t="s">
        <v>2469</v>
      </c>
      <c r="L1050">
        <v>309</v>
      </c>
      <c r="M1050" t="str">
        <f t="shared" si="32"/>
        <v>High</v>
      </c>
      <c r="N1050" t="str">
        <f t="shared" si="33"/>
        <v>Average</v>
      </c>
    </row>
    <row r="1051" spans="1:14">
      <c r="A1051" t="s">
        <v>20</v>
      </c>
      <c r="B1051">
        <v>2025</v>
      </c>
      <c r="C1051" t="s">
        <v>2470</v>
      </c>
      <c r="D1051" t="s">
        <v>33</v>
      </c>
      <c r="E1051" t="s">
        <v>2471</v>
      </c>
      <c r="F1051" t="s">
        <v>57</v>
      </c>
      <c r="G1051">
        <v>36.85</v>
      </c>
      <c r="H1051">
        <v>66</v>
      </c>
      <c r="I1051" t="s">
        <v>61</v>
      </c>
      <c r="J1051" t="s">
        <v>24</v>
      </c>
      <c r="K1051" t="s">
        <v>47</v>
      </c>
      <c r="L1051">
        <v>34</v>
      </c>
      <c r="M1051" t="str">
        <f t="shared" si="32"/>
        <v>High</v>
      </c>
      <c r="N1051" t="str">
        <f t="shared" si="33"/>
        <v>Average</v>
      </c>
    </row>
    <row r="1052" spans="1:14">
      <c r="A1052" t="s">
        <v>39</v>
      </c>
      <c r="B1052">
        <v>2015</v>
      </c>
      <c r="C1052" t="s">
        <v>2472</v>
      </c>
      <c r="D1052" t="s">
        <v>14</v>
      </c>
      <c r="E1052" t="s">
        <v>2473</v>
      </c>
      <c r="F1052" t="s">
        <v>16</v>
      </c>
      <c r="G1052">
        <v>33.01</v>
      </c>
      <c r="H1052">
        <v>60</v>
      </c>
      <c r="I1052" t="s">
        <v>61</v>
      </c>
      <c r="J1052" t="s">
        <v>37</v>
      </c>
      <c r="K1052" t="s">
        <v>232</v>
      </c>
      <c r="L1052">
        <v>320</v>
      </c>
      <c r="M1052" t="str">
        <f t="shared" si="32"/>
        <v>Medium</v>
      </c>
      <c r="N1052" t="str">
        <f t="shared" si="33"/>
        <v>Average</v>
      </c>
    </row>
    <row r="1053" spans="1:14">
      <c r="A1053" t="s">
        <v>38</v>
      </c>
      <c r="B1053">
        <v>2003</v>
      </c>
      <c r="C1053" t="s">
        <v>2474</v>
      </c>
      <c r="D1053" t="s">
        <v>14</v>
      </c>
      <c r="E1053" t="s">
        <v>2475</v>
      </c>
      <c r="F1053" t="s">
        <v>46</v>
      </c>
      <c r="G1053">
        <v>2.17</v>
      </c>
      <c r="H1053">
        <v>81</v>
      </c>
      <c r="I1053" t="s">
        <v>36</v>
      </c>
      <c r="J1053" t="s">
        <v>37</v>
      </c>
      <c r="K1053" t="s">
        <v>26</v>
      </c>
      <c r="L1053">
        <v>114</v>
      </c>
      <c r="M1053" t="str">
        <f t="shared" si="32"/>
        <v>Low</v>
      </c>
      <c r="N1053" t="str">
        <f t="shared" si="33"/>
        <v>Good</v>
      </c>
    </row>
    <row r="1054" spans="1:14">
      <c r="A1054" t="s">
        <v>38</v>
      </c>
      <c r="B1054">
        <v>2024</v>
      </c>
      <c r="C1054" t="s">
        <v>2476</v>
      </c>
      <c r="D1054" t="s">
        <v>33</v>
      </c>
      <c r="E1054" t="s">
        <v>2477</v>
      </c>
      <c r="F1054" t="s">
        <v>35</v>
      </c>
      <c r="G1054">
        <v>38.94</v>
      </c>
      <c r="H1054">
        <v>63</v>
      </c>
      <c r="I1054" t="s">
        <v>29</v>
      </c>
      <c r="J1054" t="s">
        <v>37</v>
      </c>
      <c r="K1054" t="s">
        <v>2478</v>
      </c>
      <c r="L1054">
        <v>270</v>
      </c>
      <c r="M1054" t="str">
        <f t="shared" si="32"/>
        <v>High</v>
      </c>
      <c r="N1054" t="str">
        <f t="shared" si="33"/>
        <v>Average</v>
      </c>
    </row>
    <row r="1055" spans="1:14">
      <c r="A1055" t="s">
        <v>39</v>
      </c>
      <c r="B1055">
        <v>2017</v>
      </c>
      <c r="C1055" t="s">
        <v>2479</v>
      </c>
      <c r="D1055" t="s">
        <v>14</v>
      </c>
      <c r="E1055" t="s">
        <v>2480</v>
      </c>
      <c r="F1055" t="s">
        <v>35</v>
      </c>
      <c r="G1055">
        <v>42.38</v>
      </c>
      <c r="H1055">
        <v>99</v>
      </c>
      <c r="I1055" t="s">
        <v>29</v>
      </c>
      <c r="J1055" t="s">
        <v>18</v>
      </c>
      <c r="K1055" t="s">
        <v>1537</v>
      </c>
      <c r="L1055">
        <v>169</v>
      </c>
      <c r="M1055" t="str">
        <f t="shared" si="32"/>
        <v>High</v>
      </c>
      <c r="N1055" t="str">
        <f t="shared" si="33"/>
        <v>Excellent</v>
      </c>
    </row>
    <row r="1056" spans="1:14">
      <c r="A1056" t="s">
        <v>47</v>
      </c>
      <c r="B1056">
        <v>2000</v>
      </c>
      <c r="C1056" t="s">
        <v>2481</v>
      </c>
      <c r="D1056" t="s">
        <v>14</v>
      </c>
      <c r="E1056" t="s">
        <v>2482</v>
      </c>
      <c r="F1056" t="s">
        <v>42</v>
      </c>
      <c r="G1056">
        <v>8.15</v>
      </c>
      <c r="H1056">
        <v>64</v>
      </c>
      <c r="I1056" t="s">
        <v>61</v>
      </c>
      <c r="J1056" t="s">
        <v>18</v>
      </c>
      <c r="K1056" t="s">
        <v>2483</v>
      </c>
      <c r="L1056">
        <v>331</v>
      </c>
      <c r="M1056" t="str">
        <f t="shared" si="32"/>
        <v>Low</v>
      </c>
      <c r="N1056" t="str">
        <f t="shared" si="33"/>
        <v>Average</v>
      </c>
    </row>
    <row r="1057" spans="1:14">
      <c r="A1057" t="s">
        <v>65</v>
      </c>
      <c r="B1057">
        <v>2002</v>
      </c>
      <c r="C1057" t="s">
        <v>2484</v>
      </c>
      <c r="D1057" t="s">
        <v>33</v>
      </c>
      <c r="E1057" t="s">
        <v>2485</v>
      </c>
      <c r="F1057" t="s">
        <v>35</v>
      </c>
      <c r="G1057">
        <v>3.65</v>
      </c>
      <c r="H1057">
        <v>57</v>
      </c>
      <c r="I1057" t="s">
        <v>61</v>
      </c>
      <c r="J1057" t="s">
        <v>18</v>
      </c>
      <c r="K1057" t="s">
        <v>48</v>
      </c>
      <c r="L1057">
        <v>295</v>
      </c>
      <c r="M1057" t="str">
        <f t="shared" si="32"/>
        <v>Low</v>
      </c>
      <c r="N1057" t="str">
        <f t="shared" si="33"/>
        <v>Average</v>
      </c>
    </row>
    <row r="1058" spans="1:14">
      <c r="A1058" t="s">
        <v>20</v>
      </c>
      <c r="B1058">
        <v>2017</v>
      </c>
      <c r="C1058" t="s">
        <v>2486</v>
      </c>
      <c r="D1058" t="s">
        <v>14</v>
      </c>
      <c r="E1058" t="s">
        <v>2487</v>
      </c>
      <c r="F1058" t="s">
        <v>46</v>
      </c>
      <c r="G1058">
        <v>46.67</v>
      </c>
      <c r="H1058">
        <v>62</v>
      </c>
      <c r="I1058" t="s">
        <v>17</v>
      </c>
      <c r="J1058" t="s">
        <v>37</v>
      </c>
      <c r="K1058" t="s">
        <v>12</v>
      </c>
      <c r="L1058">
        <v>117</v>
      </c>
      <c r="M1058" t="str">
        <f t="shared" si="32"/>
        <v>High</v>
      </c>
      <c r="N1058" t="str">
        <f t="shared" si="33"/>
        <v>Average</v>
      </c>
    </row>
    <row r="1059" spans="1:14">
      <c r="A1059" t="s">
        <v>68</v>
      </c>
      <c r="B1059">
        <v>2007</v>
      </c>
      <c r="C1059" t="s">
        <v>2488</v>
      </c>
      <c r="D1059" t="s">
        <v>14</v>
      </c>
      <c r="E1059" t="s">
        <v>2489</v>
      </c>
      <c r="F1059" t="s">
        <v>46</v>
      </c>
      <c r="G1059">
        <v>29.92</v>
      </c>
      <c r="H1059">
        <v>74</v>
      </c>
      <c r="I1059" t="s">
        <v>17</v>
      </c>
      <c r="J1059" t="s">
        <v>24</v>
      </c>
      <c r="K1059" t="s">
        <v>68</v>
      </c>
      <c r="L1059">
        <v>285</v>
      </c>
      <c r="M1059" t="str">
        <f t="shared" si="32"/>
        <v>Medium</v>
      </c>
      <c r="N1059" t="str">
        <f t="shared" si="33"/>
        <v>Average</v>
      </c>
    </row>
    <row r="1060" spans="1:14">
      <c r="A1060" t="s">
        <v>20</v>
      </c>
      <c r="B1060">
        <v>2001</v>
      </c>
      <c r="C1060" t="s">
        <v>2490</v>
      </c>
      <c r="D1060" t="s">
        <v>14</v>
      </c>
      <c r="E1060" t="s">
        <v>2491</v>
      </c>
      <c r="F1060" t="s">
        <v>35</v>
      </c>
      <c r="G1060">
        <v>6.2</v>
      </c>
      <c r="H1060">
        <v>74</v>
      </c>
      <c r="I1060" t="s">
        <v>36</v>
      </c>
      <c r="J1060" t="s">
        <v>24</v>
      </c>
      <c r="K1060" t="s">
        <v>2020</v>
      </c>
      <c r="L1060">
        <v>158</v>
      </c>
      <c r="M1060" t="str">
        <f t="shared" si="32"/>
        <v>Low</v>
      </c>
      <c r="N1060" t="str">
        <f t="shared" si="33"/>
        <v>Average</v>
      </c>
    </row>
    <row r="1061" spans="1:14">
      <c r="A1061" t="s">
        <v>47</v>
      </c>
      <c r="B1061">
        <v>2003</v>
      </c>
      <c r="C1061" t="s">
        <v>2492</v>
      </c>
      <c r="D1061" t="s">
        <v>14</v>
      </c>
      <c r="E1061" t="s">
        <v>2493</v>
      </c>
      <c r="F1061" t="s">
        <v>42</v>
      </c>
      <c r="G1061">
        <v>2.2200000000000002</v>
      </c>
      <c r="H1061">
        <v>94</v>
      </c>
      <c r="I1061" t="s">
        <v>61</v>
      </c>
      <c r="J1061" t="s">
        <v>24</v>
      </c>
      <c r="K1061" t="s">
        <v>123</v>
      </c>
      <c r="L1061">
        <v>198</v>
      </c>
      <c r="M1061" t="str">
        <f t="shared" si="32"/>
        <v>Low</v>
      </c>
      <c r="N1061" t="str">
        <f t="shared" si="33"/>
        <v>Excellent</v>
      </c>
    </row>
    <row r="1062" spans="1:14">
      <c r="A1062" t="s">
        <v>38</v>
      </c>
      <c r="B1062">
        <v>2006</v>
      </c>
      <c r="C1062" t="s">
        <v>2494</v>
      </c>
      <c r="D1062" t="s">
        <v>33</v>
      </c>
      <c r="E1062" t="s">
        <v>2495</v>
      </c>
      <c r="F1062" t="s">
        <v>42</v>
      </c>
      <c r="G1062">
        <v>37.840000000000003</v>
      </c>
      <c r="H1062">
        <v>100</v>
      </c>
      <c r="I1062" t="s">
        <v>17</v>
      </c>
      <c r="J1062" t="s">
        <v>24</v>
      </c>
      <c r="K1062" t="s">
        <v>2496</v>
      </c>
      <c r="L1062">
        <v>94</v>
      </c>
      <c r="M1062" t="str">
        <f t="shared" si="32"/>
        <v>High</v>
      </c>
      <c r="N1062" t="str">
        <f t="shared" si="33"/>
        <v>Excellent</v>
      </c>
    </row>
    <row r="1063" spans="1:14">
      <c r="A1063" t="s">
        <v>47</v>
      </c>
      <c r="B1063">
        <v>2010</v>
      </c>
      <c r="C1063" t="s">
        <v>2497</v>
      </c>
      <c r="D1063" t="s">
        <v>33</v>
      </c>
      <c r="E1063" t="s">
        <v>2498</v>
      </c>
      <c r="F1063" t="s">
        <v>42</v>
      </c>
      <c r="G1063">
        <v>33.9</v>
      </c>
      <c r="H1063">
        <v>73</v>
      </c>
      <c r="I1063" t="s">
        <v>23</v>
      </c>
      <c r="J1063" t="s">
        <v>37</v>
      </c>
      <c r="K1063" t="s">
        <v>1064</v>
      </c>
      <c r="L1063">
        <v>151</v>
      </c>
      <c r="M1063" t="str">
        <f t="shared" si="32"/>
        <v>Medium</v>
      </c>
      <c r="N1063" t="str">
        <f t="shared" si="33"/>
        <v>Average</v>
      </c>
    </row>
    <row r="1064" spans="1:14">
      <c r="A1064" t="s">
        <v>20</v>
      </c>
      <c r="B1064">
        <v>2002</v>
      </c>
      <c r="C1064" t="s">
        <v>2499</v>
      </c>
      <c r="D1064" t="s">
        <v>33</v>
      </c>
      <c r="E1064" t="s">
        <v>2500</v>
      </c>
      <c r="F1064" t="s">
        <v>46</v>
      </c>
      <c r="G1064">
        <v>37.06</v>
      </c>
      <c r="H1064">
        <v>65</v>
      </c>
      <c r="I1064" t="s">
        <v>17</v>
      </c>
      <c r="J1064" t="s">
        <v>24</v>
      </c>
      <c r="K1064" t="s">
        <v>68</v>
      </c>
      <c r="L1064">
        <v>252</v>
      </c>
      <c r="M1064" t="str">
        <f t="shared" si="32"/>
        <v>High</v>
      </c>
      <c r="N1064" t="str">
        <f t="shared" si="33"/>
        <v>Average</v>
      </c>
    </row>
    <row r="1065" spans="1:14">
      <c r="A1065" t="s">
        <v>39</v>
      </c>
      <c r="B1065">
        <v>2021</v>
      </c>
      <c r="C1065" t="s">
        <v>2501</v>
      </c>
      <c r="D1065" t="s">
        <v>33</v>
      </c>
      <c r="E1065" t="s">
        <v>2502</v>
      </c>
      <c r="F1065" t="s">
        <v>57</v>
      </c>
      <c r="G1065">
        <v>26.14</v>
      </c>
      <c r="H1065">
        <v>100</v>
      </c>
      <c r="I1065" t="s">
        <v>29</v>
      </c>
      <c r="J1065" t="s">
        <v>24</v>
      </c>
      <c r="K1065" t="s">
        <v>2503</v>
      </c>
      <c r="L1065">
        <v>84</v>
      </c>
      <c r="M1065" t="str">
        <f t="shared" si="32"/>
        <v>Medium</v>
      </c>
      <c r="N1065" t="str">
        <f t="shared" si="33"/>
        <v>Excellent</v>
      </c>
    </row>
    <row r="1066" spans="1:14">
      <c r="A1066" t="s">
        <v>65</v>
      </c>
      <c r="B1066">
        <v>2008</v>
      </c>
      <c r="C1066" t="s">
        <v>2504</v>
      </c>
      <c r="D1066" t="s">
        <v>14</v>
      </c>
      <c r="E1066" t="s">
        <v>2505</v>
      </c>
      <c r="F1066" t="s">
        <v>46</v>
      </c>
      <c r="G1066">
        <v>25.41</v>
      </c>
      <c r="H1066">
        <v>96</v>
      </c>
      <c r="I1066" t="s">
        <v>36</v>
      </c>
      <c r="J1066" t="s">
        <v>18</v>
      </c>
      <c r="K1066" t="s">
        <v>1944</v>
      </c>
      <c r="L1066">
        <v>59</v>
      </c>
      <c r="M1066" t="str">
        <f t="shared" si="32"/>
        <v>Medium</v>
      </c>
      <c r="N1066" t="str">
        <f t="shared" si="33"/>
        <v>Excellent</v>
      </c>
    </row>
    <row r="1067" spans="1:14">
      <c r="A1067" t="s">
        <v>39</v>
      </c>
      <c r="B1067">
        <v>2016</v>
      </c>
      <c r="C1067" t="s">
        <v>2506</v>
      </c>
      <c r="D1067" t="s">
        <v>14</v>
      </c>
      <c r="E1067" t="s">
        <v>2507</v>
      </c>
      <c r="F1067" t="s">
        <v>35</v>
      </c>
      <c r="G1067">
        <v>7.42</v>
      </c>
      <c r="H1067">
        <v>51</v>
      </c>
      <c r="I1067" t="s">
        <v>61</v>
      </c>
      <c r="J1067" t="s">
        <v>24</v>
      </c>
      <c r="K1067" t="s">
        <v>65</v>
      </c>
      <c r="L1067">
        <v>82</v>
      </c>
      <c r="M1067" t="str">
        <f t="shared" si="32"/>
        <v>Low</v>
      </c>
      <c r="N1067" t="str">
        <f t="shared" si="33"/>
        <v>Average</v>
      </c>
    </row>
    <row r="1068" spans="1:14">
      <c r="A1068" t="s">
        <v>12</v>
      </c>
      <c r="B1068">
        <v>2004</v>
      </c>
      <c r="C1068" t="s">
        <v>2508</v>
      </c>
      <c r="D1068" t="s">
        <v>14</v>
      </c>
      <c r="E1068" t="s">
        <v>2509</v>
      </c>
      <c r="F1068" t="s">
        <v>57</v>
      </c>
      <c r="G1068">
        <v>3.98</v>
      </c>
      <c r="H1068">
        <v>92</v>
      </c>
      <c r="I1068" t="s">
        <v>23</v>
      </c>
      <c r="J1068" t="s">
        <v>37</v>
      </c>
      <c r="K1068" t="s">
        <v>31</v>
      </c>
      <c r="L1068">
        <v>289</v>
      </c>
      <c r="M1068" t="str">
        <f t="shared" si="32"/>
        <v>Low</v>
      </c>
      <c r="N1068" t="str">
        <f t="shared" si="33"/>
        <v>Excellent</v>
      </c>
    </row>
    <row r="1069" spans="1:14">
      <c r="A1069" t="s">
        <v>39</v>
      </c>
      <c r="B1069">
        <v>2009</v>
      </c>
      <c r="C1069" t="s">
        <v>2510</v>
      </c>
      <c r="D1069" t="s">
        <v>33</v>
      </c>
      <c r="E1069" t="s">
        <v>2511</v>
      </c>
      <c r="F1069" t="s">
        <v>57</v>
      </c>
      <c r="G1069">
        <v>23.12</v>
      </c>
      <c r="H1069">
        <v>75</v>
      </c>
      <c r="I1069" t="s">
        <v>17</v>
      </c>
      <c r="J1069" t="s">
        <v>37</v>
      </c>
      <c r="K1069" t="s">
        <v>65</v>
      </c>
      <c r="L1069">
        <v>92</v>
      </c>
      <c r="M1069" t="str">
        <f t="shared" si="32"/>
        <v>Medium</v>
      </c>
      <c r="N1069" t="str">
        <f t="shared" si="33"/>
        <v>Good</v>
      </c>
    </row>
    <row r="1070" spans="1:14">
      <c r="A1070" t="s">
        <v>68</v>
      </c>
      <c r="B1070">
        <v>2009</v>
      </c>
      <c r="C1070" t="s">
        <v>2512</v>
      </c>
      <c r="D1070" t="s">
        <v>33</v>
      </c>
      <c r="E1070" t="s">
        <v>2513</v>
      </c>
      <c r="F1070" t="s">
        <v>46</v>
      </c>
      <c r="G1070">
        <v>30.07</v>
      </c>
      <c r="H1070">
        <v>92</v>
      </c>
      <c r="I1070" t="s">
        <v>61</v>
      </c>
      <c r="J1070" t="s">
        <v>24</v>
      </c>
      <c r="K1070" t="s">
        <v>47</v>
      </c>
      <c r="L1070">
        <v>254</v>
      </c>
      <c r="M1070" t="str">
        <f t="shared" si="32"/>
        <v>Medium</v>
      </c>
      <c r="N1070" t="str">
        <f t="shared" si="33"/>
        <v>Excellent</v>
      </c>
    </row>
    <row r="1071" spans="1:14">
      <c r="A1071" t="s">
        <v>39</v>
      </c>
      <c r="B1071">
        <v>2004</v>
      </c>
      <c r="C1071" t="s">
        <v>2514</v>
      </c>
      <c r="D1071" t="s">
        <v>14</v>
      </c>
      <c r="E1071" t="s">
        <v>2515</v>
      </c>
      <c r="F1071" t="s">
        <v>42</v>
      </c>
      <c r="G1071">
        <v>13.75</v>
      </c>
      <c r="H1071">
        <v>58</v>
      </c>
      <c r="I1071" t="s">
        <v>36</v>
      </c>
      <c r="J1071" t="s">
        <v>37</v>
      </c>
      <c r="K1071" t="s">
        <v>1237</v>
      </c>
      <c r="L1071">
        <v>227</v>
      </c>
      <c r="M1071" t="str">
        <f t="shared" si="32"/>
        <v>Low</v>
      </c>
      <c r="N1071" t="str">
        <f t="shared" si="33"/>
        <v>Average</v>
      </c>
    </row>
    <row r="1072" spans="1:14">
      <c r="A1072" t="s">
        <v>47</v>
      </c>
      <c r="B1072">
        <v>2014</v>
      </c>
      <c r="C1072" t="s">
        <v>2516</v>
      </c>
      <c r="D1072" t="s">
        <v>33</v>
      </c>
      <c r="E1072" t="s">
        <v>449</v>
      </c>
      <c r="F1072" t="s">
        <v>57</v>
      </c>
      <c r="G1072">
        <v>19.440000000000001</v>
      </c>
      <c r="H1072">
        <v>86</v>
      </c>
      <c r="I1072" t="s">
        <v>36</v>
      </c>
      <c r="J1072" t="s">
        <v>24</v>
      </c>
      <c r="K1072" t="s">
        <v>2517</v>
      </c>
      <c r="L1072">
        <v>305</v>
      </c>
      <c r="M1072" t="str">
        <f t="shared" si="32"/>
        <v>Medium</v>
      </c>
      <c r="N1072" t="str">
        <f t="shared" si="33"/>
        <v>Good</v>
      </c>
    </row>
    <row r="1073" spans="1:14">
      <c r="A1073" t="s">
        <v>31</v>
      </c>
      <c r="B1073">
        <v>2004</v>
      </c>
      <c r="C1073" t="s">
        <v>2518</v>
      </c>
      <c r="D1073" t="s">
        <v>14</v>
      </c>
      <c r="E1073" t="s">
        <v>2519</v>
      </c>
      <c r="F1073" t="s">
        <v>57</v>
      </c>
      <c r="G1073">
        <v>46.23</v>
      </c>
      <c r="H1073">
        <v>58</v>
      </c>
      <c r="I1073" t="s">
        <v>23</v>
      </c>
      <c r="J1073" t="s">
        <v>37</v>
      </c>
      <c r="K1073" t="s">
        <v>68</v>
      </c>
      <c r="L1073">
        <v>7</v>
      </c>
      <c r="M1073" t="str">
        <f t="shared" si="32"/>
        <v>High</v>
      </c>
      <c r="N1073" t="str">
        <f t="shared" si="33"/>
        <v>Average</v>
      </c>
    </row>
    <row r="1074" spans="1:14">
      <c r="A1074" t="s">
        <v>39</v>
      </c>
      <c r="B1074">
        <v>2001</v>
      </c>
      <c r="C1074" t="s">
        <v>2520</v>
      </c>
      <c r="D1074" t="s">
        <v>14</v>
      </c>
      <c r="E1074" t="s">
        <v>2521</v>
      </c>
      <c r="F1074" t="s">
        <v>42</v>
      </c>
      <c r="G1074">
        <v>30.67</v>
      </c>
      <c r="H1074">
        <v>57</v>
      </c>
      <c r="I1074" t="s">
        <v>29</v>
      </c>
      <c r="J1074" t="s">
        <v>24</v>
      </c>
      <c r="K1074" t="s">
        <v>2522</v>
      </c>
      <c r="L1074">
        <v>312</v>
      </c>
      <c r="M1074" t="str">
        <f t="shared" si="32"/>
        <v>Medium</v>
      </c>
      <c r="N1074" t="str">
        <f t="shared" si="33"/>
        <v>Average</v>
      </c>
    </row>
    <row r="1075" spans="1:14">
      <c r="A1075" t="s">
        <v>31</v>
      </c>
      <c r="B1075">
        <v>2018</v>
      </c>
      <c r="C1075" t="s">
        <v>2523</v>
      </c>
      <c r="D1075" t="s">
        <v>14</v>
      </c>
      <c r="E1075" t="s">
        <v>2524</v>
      </c>
      <c r="F1075" t="s">
        <v>16</v>
      </c>
      <c r="G1075">
        <v>25.86</v>
      </c>
      <c r="H1075">
        <v>92</v>
      </c>
      <c r="I1075" t="s">
        <v>61</v>
      </c>
      <c r="J1075" t="s">
        <v>24</v>
      </c>
      <c r="K1075" t="s">
        <v>2525</v>
      </c>
      <c r="L1075">
        <v>100</v>
      </c>
      <c r="M1075" t="str">
        <f t="shared" si="32"/>
        <v>Medium</v>
      </c>
      <c r="N1075" t="str">
        <f t="shared" si="33"/>
        <v>Excellent</v>
      </c>
    </row>
    <row r="1076" spans="1:14">
      <c r="A1076" t="s">
        <v>39</v>
      </c>
      <c r="B1076">
        <v>2024</v>
      </c>
      <c r="C1076" t="s">
        <v>2526</v>
      </c>
      <c r="D1076" t="s">
        <v>14</v>
      </c>
      <c r="E1076" t="s">
        <v>2527</v>
      </c>
      <c r="F1076" t="s">
        <v>57</v>
      </c>
      <c r="G1076">
        <v>40.9</v>
      </c>
      <c r="H1076">
        <v>53</v>
      </c>
      <c r="I1076" t="s">
        <v>36</v>
      </c>
      <c r="J1076" t="s">
        <v>37</v>
      </c>
      <c r="K1076" t="s">
        <v>20</v>
      </c>
      <c r="L1076">
        <v>135</v>
      </c>
      <c r="M1076" t="str">
        <f t="shared" si="32"/>
        <v>High</v>
      </c>
      <c r="N1076" t="str">
        <f t="shared" si="33"/>
        <v>Average</v>
      </c>
    </row>
    <row r="1077" spans="1:14">
      <c r="A1077" t="s">
        <v>47</v>
      </c>
      <c r="B1077">
        <v>2014</v>
      </c>
      <c r="C1077" t="s">
        <v>2528</v>
      </c>
      <c r="D1077" t="s">
        <v>33</v>
      </c>
      <c r="E1077" t="s">
        <v>2529</v>
      </c>
      <c r="F1077" t="s">
        <v>35</v>
      </c>
      <c r="G1077">
        <v>33.880000000000003</v>
      </c>
      <c r="H1077">
        <v>72</v>
      </c>
      <c r="I1077" t="s">
        <v>23</v>
      </c>
      <c r="J1077" t="s">
        <v>18</v>
      </c>
      <c r="K1077" t="s">
        <v>2530</v>
      </c>
      <c r="L1077">
        <v>242</v>
      </c>
      <c r="M1077" t="str">
        <f t="shared" si="32"/>
        <v>Medium</v>
      </c>
      <c r="N1077" t="str">
        <f t="shared" si="33"/>
        <v>Average</v>
      </c>
    </row>
    <row r="1078" spans="1:14">
      <c r="A1078" t="s">
        <v>65</v>
      </c>
      <c r="B1078">
        <v>2002</v>
      </c>
      <c r="C1078" t="s">
        <v>2531</v>
      </c>
      <c r="D1078" t="s">
        <v>33</v>
      </c>
      <c r="E1078" t="s">
        <v>2532</v>
      </c>
      <c r="F1078" t="s">
        <v>57</v>
      </c>
      <c r="G1078">
        <v>15.79</v>
      </c>
      <c r="H1078">
        <v>71</v>
      </c>
      <c r="I1078" t="s">
        <v>23</v>
      </c>
      <c r="J1078" t="s">
        <v>37</v>
      </c>
      <c r="K1078" t="s">
        <v>201</v>
      </c>
      <c r="L1078">
        <v>288</v>
      </c>
      <c r="M1078" t="str">
        <f t="shared" si="32"/>
        <v>Medium</v>
      </c>
      <c r="N1078" t="str">
        <f t="shared" si="33"/>
        <v>Average</v>
      </c>
    </row>
    <row r="1079" spans="1:14">
      <c r="A1079" t="s">
        <v>47</v>
      </c>
      <c r="B1079">
        <v>2012</v>
      </c>
      <c r="C1079" t="s">
        <v>2533</v>
      </c>
      <c r="D1079" t="s">
        <v>14</v>
      </c>
      <c r="E1079" t="s">
        <v>2534</v>
      </c>
      <c r="F1079" t="s">
        <v>42</v>
      </c>
      <c r="G1079">
        <v>36.32</v>
      </c>
      <c r="H1079">
        <v>59</v>
      </c>
      <c r="I1079" t="s">
        <v>61</v>
      </c>
      <c r="J1079" t="s">
        <v>18</v>
      </c>
      <c r="K1079" t="s">
        <v>348</v>
      </c>
      <c r="L1079">
        <v>36</v>
      </c>
      <c r="M1079" t="str">
        <f t="shared" si="32"/>
        <v>High</v>
      </c>
      <c r="N1079" t="str">
        <f t="shared" si="33"/>
        <v>Average</v>
      </c>
    </row>
    <row r="1080" spans="1:14">
      <c r="A1080" t="s">
        <v>20</v>
      </c>
      <c r="B1080">
        <v>2010</v>
      </c>
      <c r="C1080" t="s">
        <v>2535</v>
      </c>
      <c r="D1080" t="s">
        <v>14</v>
      </c>
      <c r="E1080" t="s">
        <v>2536</v>
      </c>
      <c r="F1080" t="s">
        <v>57</v>
      </c>
      <c r="G1080">
        <v>49.93</v>
      </c>
      <c r="H1080">
        <v>50</v>
      </c>
      <c r="I1080" t="s">
        <v>23</v>
      </c>
      <c r="J1080" t="s">
        <v>24</v>
      </c>
      <c r="K1080" t="s">
        <v>931</v>
      </c>
      <c r="L1080">
        <v>203</v>
      </c>
      <c r="M1080" t="str">
        <f t="shared" si="32"/>
        <v>High</v>
      </c>
      <c r="N1080" t="str">
        <f t="shared" si="33"/>
        <v>Average</v>
      </c>
    </row>
    <row r="1081" spans="1:14">
      <c r="A1081" t="s">
        <v>48</v>
      </c>
      <c r="B1081">
        <v>2005</v>
      </c>
      <c r="C1081" t="s">
        <v>2537</v>
      </c>
      <c r="D1081" t="s">
        <v>14</v>
      </c>
      <c r="E1081" t="s">
        <v>2538</v>
      </c>
      <c r="F1081" t="s">
        <v>35</v>
      </c>
      <c r="G1081">
        <v>45.21</v>
      </c>
      <c r="H1081">
        <v>74</v>
      </c>
      <c r="I1081" t="s">
        <v>17</v>
      </c>
      <c r="J1081" t="s">
        <v>18</v>
      </c>
      <c r="K1081" t="s">
        <v>2539</v>
      </c>
      <c r="L1081">
        <v>339</v>
      </c>
      <c r="M1081" t="str">
        <f t="shared" si="32"/>
        <v>High</v>
      </c>
      <c r="N1081" t="str">
        <f t="shared" si="33"/>
        <v>Average</v>
      </c>
    </row>
    <row r="1082" spans="1:14">
      <c r="A1082" t="s">
        <v>65</v>
      </c>
      <c r="B1082">
        <v>2008</v>
      </c>
      <c r="C1082" t="s">
        <v>2540</v>
      </c>
      <c r="D1082" t="s">
        <v>33</v>
      </c>
      <c r="E1082" t="s">
        <v>2541</v>
      </c>
      <c r="F1082" t="s">
        <v>46</v>
      </c>
      <c r="G1082">
        <v>26.76</v>
      </c>
      <c r="H1082">
        <v>57</v>
      </c>
      <c r="I1082" t="s">
        <v>36</v>
      </c>
      <c r="J1082" t="s">
        <v>37</v>
      </c>
      <c r="K1082" t="s">
        <v>48</v>
      </c>
      <c r="L1082">
        <v>207</v>
      </c>
      <c r="M1082" t="str">
        <f t="shared" si="32"/>
        <v>Medium</v>
      </c>
      <c r="N1082" t="str">
        <f t="shared" si="33"/>
        <v>Average</v>
      </c>
    </row>
    <row r="1083" spans="1:14">
      <c r="A1083" t="s">
        <v>12</v>
      </c>
      <c r="B1083">
        <v>2003</v>
      </c>
      <c r="C1083" t="s">
        <v>2542</v>
      </c>
      <c r="D1083" t="s">
        <v>14</v>
      </c>
      <c r="E1083" t="s">
        <v>2543</v>
      </c>
      <c r="F1083" t="s">
        <v>42</v>
      </c>
      <c r="G1083">
        <v>8.9</v>
      </c>
      <c r="H1083">
        <v>68</v>
      </c>
      <c r="I1083" t="s">
        <v>36</v>
      </c>
      <c r="J1083" t="s">
        <v>37</v>
      </c>
      <c r="K1083" t="s">
        <v>254</v>
      </c>
      <c r="L1083">
        <v>41</v>
      </c>
      <c r="M1083" t="str">
        <f t="shared" si="32"/>
        <v>Low</v>
      </c>
      <c r="N1083" t="str">
        <f t="shared" si="33"/>
        <v>Average</v>
      </c>
    </row>
    <row r="1084" spans="1:14">
      <c r="A1084" t="s">
        <v>12</v>
      </c>
      <c r="B1084">
        <v>2011</v>
      </c>
      <c r="C1084" t="s">
        <v>2544</v>
      </c>
      <c r="D1084" t="s">
        <v>33</v>
      </c>
      <c r="E1084" t="s">
        <v>2545</v>
      </c>
      <c r="F1084" t="s">
        <v>42</v>
      </c>
      <c r="G1084">
        <v>17.309999999999999</v>
      </c>
      <c r="H1084">
        <v>92</v>
      </c>
      <c r="I1084" t="s">
        <v>17</v>
      </c>
      <c r="J1084" t="s">
        <v>37</v>
      </c>
      <c r="K1084" t="s">
        <v>151</v>
      </c>
      <c r="L1084">
        <v>261</v>
      </c>
      <c r="M1084" t="str">
        <f t="shared" si="32"/>
        <v>Medium</v>
      </c>
      <c r="N1084" t="str">
        <f t="shared" si="33"/>
        <v>Excellent</v>
      </c>
    </row>
    <row r="1085" spans="1:14">
      <c r="A1085" t="s">
        <v>26</v>
      </c>
      <c r="B1085">
        <v>2002</v>
      </c>
      <c r="C1085" t="s">
        <v>2546</v>
      </c>
      <c r="D1085" t="s">
        <v>33</v>
      </c>
      <c r="E1085" t="s">
        <v>2547</v>
      </c>
      <c r="F1085" t="s">
        <v>35</v>
      </c>
      <c r="G1085">
        <v>14.73</v>
      </c>
      <c r="H1085">
        <v>97</v>
      </c>
      <c r="I1085" t="s">
        <v>23</v>
      </c>
      <c r="J1085" t="s">
        <v>37</v>
      </c>
      <c r="K1085" t="s">
        <v>48</v>
      </c>
      <c r="L1085">
        <v>238</v>
      </c>
      <c r="M1085" t="str">
        <f t="shared" si="32"/>
        <v>Low</v>
      </c>
      <c r="N1085" t="str">
        <f t="shared" si="33"/>
        <v>Excellent</v>
      </c>
    </row>
    <row r="1086" spans="1:14">
      <c r="A1086" t="s">
        <v>31</v>
      </c>
      <c r="B1086">
        <v>2004</v>
      </c>
      <c r="C1086" t="s">
        <v>2548</v>
      </c>
      <c r="D1086" t="s">
        <v>14</v>
      </c>
      <c r="E1086" t="s">
        <v>2549</v>
      </c>
      <c r="F1086" t="s">
        <v>16</v>
      </c>
      <c r="G1086">
        <v>43.55</v>
      </c>
      <c r="H1086">
        <v>67</v>
      </c>
      <c r="I1086" t="s">
        <v>17</v>
      </c>
      <c r="J1086" t="s">
        <v>37</v>
      </c>
      <c r="K1086" t="s">
        <v>311</v>
      </c>
      <c r="L1086">
        <v>179</v>
      </c>
      <c r="M1086" t="str">
        <f t="shared" si="32"/>
        <v>High</v>
      </c>
      <c r="N1086" t="str">
        <f t="shared" si="33"/>
        <v>Average</v>
      </c>
    </row>
    <row r="1087" spans="1:14">
      <c r="A1087" t="s">
        <v>20</v>
      </c>
      <c r="B1087">
        <v>2014</v>
      </c>
      <c r="C1087" t="s">
        <v>2550</v>
      </c>
      <c r="D1087" t="s">
        <v>14</v>
      </c>
      <c r="E1087" t="s">
        <v>2551</v>
      </c>
      <c r="F1087" t="s">
        <v>35</v>
      </c>
      <c r="G1087">
        <v>31.66</v>
      </c>
      <c r="H1087">
        <v>89</v>
      </c>
      <c r="I1087" t="s">
        <v>23</v>
      </c>
      <c r="J1087" t="s">
        <v>24</v>
      </c>
      <c r="K1087" t="s">
        <v>1019</v>
      </c>
      <c r="L1087">
        <v>68</v>
      </c>
      <c r="M1087" t="str">
        <f t="shared" si="32"/>
        <v>Medium</v>
      </c>
      <c r="N1087" t="str">
        <f t="shared" si="33"/>
        <v>Good</v>
      </c>
    </row>
    <row r="1088" spans="1:14">
      <c r="A1088" t="s">
        <v>26</v>
      </c>
      <c r="B1088">
        <v>2002</v>
      </c>
      <c r="C1088" t="s">
        <v>2552</v>
      </c>
      <c r="D1088" t="s">
        <v>14</v>
      </c>
      <c r="E1088" t="s">
        <v>2553</v>
      </c>
      <c r="F1088" t="s">
        <v>46</v>
      </c>
      <c r="G1088">
        <v>38.450000000000003</v>
      </c>
      <c r="H1088">
        <v>81</v>
      </c>
      <c r="I1088" t="s">
        <v>29</v>
      </c>
      <c r="J1088" t="s">
        <v>18</v>
      </c>
      <c r="K1088" t="s">
        <v>2554</v>
      </c>
      <c r="L1088">
        <v>342</v>
      </c>
      <c r="M1088" t="str">
        <f t="shared" si="32"/>
        <v>High</v>
      </c>
      <c r="N1088" t="str">
        <f t="shared" si="33"/>
        <v>Good</v>
      </c>
    </row>
    <row r="1089" spans="1:14">
      <c r="A1089" t="s">
        <v>20</v>
      </c>
      <c r="B1089">
        <v>2005</v>
      </c>
      <c r="C1089" t="s">
        <v>2555</v>
      </c>
      <c r="D1089" t="s">
        <v>14</v>
      </c>
      <c r="E1089" t="s">
        <v>2556</v>
      </c>
      <c r="F1089" t="s">
        <v>35</v>
      </c>
      <c r="G1089">
        <v>46.01</v>
      </c>
      <c r="H1089">
        <v>58</v>
      </c>
      <c r="I1089" t="s">
        <v>61</v>
      </c>
      <c r="J1089" t="s">
        <v>18</v>
      </c>
      <c r="K1089" t="s">
        <v>20</v>
      </c>
      <c r="L1089">
        <v>149</v>
      </c>
      <c r="M1089" t="str">
        <f t="shared" si="32"/>
        <v>High</v>
      </c>
      <c r="N1089" t="str">
        <f t="shared" si="33"/>
        <v>Average</v>
      </c>
    </row>
    <row r="1090" spans="1:14">
      <c r="A1090" t="s">
        <v>68</v>
      </c>
      <c r="B1090">
        <v>2001</v>
      </c>
      <c r="C1090" t="s">
        <v>2557</v>
      </c>
      <c r="D1090" t="s">
        <v>14</v>
      </c>
      <c r="E1090" t="s">
        <v>2558</v>
      </c>
      <c r="F1090" t="s">
        <v>42</v>
      </c>
      <c r="G1090">
        <v>14.08</v>
      </c>
      <c r="H1090">
        <v>67</v>
      </c>
      <c r="I1090" t="s">
        <v>29</v>
      </c>
      <c r="J1090" t="s">
        <v>37</v>
      </c>
      <c r="K1090" t="s">
        <v>58</v>
      </c>
      <c r="L1090">
        <v>103</v>
      </c>
      <c r="M1090" t="str">
        <f t="shared" si="32"/>
        <v>Low</v>
      </c>
      <c r="N1090" t="str">
        <f t="shared" si="33"/>
        <v>Average</v>
      </c>
    </row>
    <row r="1091" spans="1:14">
      <c r="A1091" t="s">
        <v>26</v>
      </c>
      <c r="B1091">
        <v>2009</v>
      </c>
      <c r="C1091" t="s">
        <v>2559</v>
      </c>
      <c r="D1091" t="s">
        <v>14</v>
      </c>
      <c r="E1091" t="s">
        <v>2560</v>
      </c>
      <c r="F1091" t="s">
        <v>42</v>
      </c>
      <c r="G1091">
        <v>9.9499999999999993</v>
      </c>
      <c r="H1091">
        <v>54</v>
      </c>
      <c r="I1091" t="s">
        <v>23</v>
      </c>
      <c r="J1091" t="s">
        <v>24</v>
      </c>
      <c r="K1091" t="s">
        <v>2020</v>
      </c>
      <c r="L1091">
        <v>275</v>
      </c>
      <c r="M1091" t="str">
        <f t="shared" ref="M1091:M1154" si="34">IF(G1091&lt;15,"Low",IF(G1091&lt;35,"Medium","High"))</f>
        <v>Low</v>
      </c>
      <c r="N1091" t="str">
        <f t="shared" ref="N1091:N1154" si="35">IF(H1091&gt;=90,"Excellent",IF(H1091&gt;=75,"Good","Average"))</f>
        <v>Average</v>
      </c>
    </row>
    <row r="1092" spans="1:14">
      <c r="A1092" t="s">
        <v>20</v>
      </c>
      <c r="B1092">
        <v>2017</v>
      </c>
      <c r="C1092" t="s">
        <v>2561</v>
      </c>
      <c r="D1092" t="s">
        <v>33</v>
      </c>
      <c r="E1092" t="s">
        <v>2562</v>
      </c>
      <c r="F1092" t="s">
        <v>46</v>
      </c>
      <c r="G1092">
        <v>3.54</v>
      </c>
      <c r="H1092">
        <v>93</v>
      </c>
      <c r="I1092" t="s">
        <v>61</v>
      </c>
      <c r="J1092" t="s">
        <v>18</v>
      </c>
      <c r="K1092" t="s">
        <v>2563</v>
      </c>
      <c r="L1092">
        <v>318</v>
      </c>
      <c r="M1092" t="str">
        <f t="shared" si="34"/>
        <v>Low</v>
      </c>
      <c r="N1092" t="str">
        <f t="shared" si="35"/>
        <v>Excellent</v>
      </c>
    </row>
    <row r="1093" spans="1:14">
      <c r="A1093" t="s">
        <v>38</v>
      </c>
      <c r="B1093">
        <v>2010</v>
      </c>
      <c r="C1093" t="s">
        <v>2564</v>
      </c>
      <c r="D1093" t="s">
        <v>14</v>
      </c>
      <c r="E1093" t="s">
        <v>2565</v>
      </c>
      <c r="F1093" t="s">
        <v>35</v>
      </c>
      <c r="G1093">
        <v>8.5399999999999991</v>
      </c>
      <c r="H1093">
        <v>69</v>
      </c>
      <c r="I1093" t="s">
        <v>29</v>
      </c>
      <c r="J1093" t="s">
        <v>18</v>
      </c>
      <c r="K1093" t="s">
        <v>20</v>
      </c>
      <c r="L1093">
        <v>29</v>
      </c>
      <c r="M1093" t="str">
        <f t="shared" si="34"/>
        <v>Low</v>
      </c>
      <c r="N1093" t="str">
        <f t="shared" si="35"/>
        <v>Average</v>
      </c>
    </row>
    <row r="1094" spans="1:14">
      <c r="A1094" t="s">
        <v>20</v>
      </c>
      <c r="B1094">
        <v>2014</v>
      </c>
      <c r="C1094" t="s">
        <v>2566</v>
      </c>
      <c r="D1094" t="s">
        <v>33</v>
      </c>
      <c r="E1094" t="s">
        <v>2567</v>
      </c>
      <c r="F1094" t="s">
        <v>16</v>
      </c>
      <c r="G1094">
        <v>41.14</v>
      </c>
      <c r="H1094">
        <v>84</v>
      </c>
      <c r="I1094" t="s">
        <v>29</v>
      </c>
      <c r="J1094" t="s">
        <v>37</v>
      </c>
      <c r="K1094" t="s">
        <v>2568</v>
      </c>
      <c r="L1094">
        <v>198</v>
      </c>
      <c r="M1094" t="str">
        <f t="shared" si="34"/>
        <v>High</v>
      </c>
      <c r="N1094" t="str">
        <f t="shared" si="35"/>
        <v>Good</v>
      </c>
    </row>
    <row r="1095" spans="1:14">
      <c r="A1095" t="s">
        <v>31</v>
      </c>
      <c r="B1095">
        <v>2025</v>
      </c>
      <c r="C1095" t="s">
        <v>2569</v>
      </c>
      <c r="D1095" t="s">
        <v>14</v>
      </c>
      <c r="E1095" t="s">
        <v>2570</v>
      </c>
      <c r="F1095" t="s">
        <v>35</v>
      </c>
      <c r="G1095">
        <v>6</v>
      </c>
      <c r="H1095">
        <v>60</v>
      </c>
      <c r="I1095" t="s">
        <v>61</v>
      </c>
      <c r="J1095" t="s">
        <v>18</v>
      </c>
      <c r="K1095" t="s">
        <v>65</v>
      </c>
      <c r="L1095">
        <v>168</v>
      </c>
      <c r="M1095" t="str">
        <f t="shared" si="34"/>
        <v>Low</v>
      </c>
      <c r="N1095" t="str">
        <f t="shared" si="35"/>
        <v>Average</v>
      </c>
    </row>
    <row r="1096" spans="1:14">
      <c r="A1096" t="s">
        <v>39</v>
      </c>
      <c r="B1096">
        <v>2000</v>
      </c>
      <c r="C1096" t="s">
        <v>2571</v>
      </c>
      <c r="D1096" t="s">
        <v>14</v>
      </c>
      <c r="E1096" t="s">
        <v>2572</v>
      </c>
      <c r="F1096" t="s">
        <v>42</v>
      </c>
      <c r="G1096">
        <v>20.12</v>
      </c>
      <c r="H1096">
        <v>67</v>
      </c>
      <c r="I1096" t="s">
        <v>61</v>
      </c>
      <c r="J1096" t="s">
        <v>37</v>
      </c>
      <c r="K1096" t="s">
        <v>47</v>
      </c>
      <c r="L1096">
        <v>243</v>
      </c>
      <c r="M1096" t="str">
        <f t="shared" si="34"/>
        <v>Medium</v>
      </c>
      <c r="N1096" t="str">
        <f t="shared" si="35"/>
        <v>Average</v>
      </c>
    </row>
    <row r="1097" spans="1:14">
      <c r="A1097" t="s">
        <v>26</v>
      </c>
      <c r="B1097">
        <v>2022</v>
      </c>
      <c r="C1097" t="s">
        <v>2573</v>
      </c>
      <c r="D1097" t="s">
        <v>14</v>
      </c>
      <c r="E1097" t="s">
        <v>2574</v>
      </c>
      <c r="F1097" t="s">
        <v>46</v>
      </c>
      <c r="G1097">
        <v>7.36</v>
      </c>
      <c r="H1097">
        <v>75</v>
      </c>
      <c r="I1097" t="s">
        <v>61</v>
      </c>
      <c r="J1097" t="s">
        <v>24</v>
      </c>
      <c r="K1097" t="s">
        <v>48</v>
      </c>
      <c r="L1097">
        <v>229</v>
      </c>
      <c r="M1097" t="str">
        <f t="shared" si="34"/>
        <v>Low</v>
      </c>
      <c r="N1097" t="str">
        <f t="shared" si="35"/>
        <v>Good</v>
      </c>
    </row>
    <row r="1098" spans="1:14">
      <c r="A1098" t="s">
        <v>20</v>
      </c>
      <c r="B1098">
        <v>2013</v>
      </c>
      <c r="C1098" t="s">
        <v>2575</v>
      </c>
      <c r="D1098" t="s">
        <v>14</v>
      </c>
      <c r="E1098" t="s">
        <v>2576</v>
      </c>
      <c r="F1098" t="s">
        <v>35</v>
      </c>
      <c r="G1098">
        <v>10.210000000000001</v>
      </c>
      <c r="H1098">
        <v>76</v>
      </c>
      <c r="I1098" t="s">
        <v>61</v>
      </c>
      <c r="J1098" t="s">
        <v>24</v>
      </c>
      <c r="K1098" t="s">
        <v>48</v>
      </c>
      <c r="L1098">
        <v>328</v>
      </c>
      <c r="M1098" t="str">
        <f t="shared" si="34"/>
        <v>Low</v>
      </c>
      <c r="N1098" t="str">
        <f t="shared" si="35"/>
        <v>Good</v>
      </c>
    </row>
    <row r="1099" spans="1:14">
      <c r="A1099" t="s">
        <v>65</v>
      </c>
      <c r="B1099">
        <v>2023</v>
      </c>
      <c r="C1099" t="s">
        <v>2577</v>
      </c>
      <c r="D1099" t="s">
        <v>14</v>
      </c>
      <c r="E1099" t="s">
        <v>2578</v>
      </c>
      <c r="F1099" t="s">
        <v>42</v>
      </c>
      <c r="G1099">
        <v>42.96</v>
      </c>
      <c r="H1099">
        <v>55</v>
      </c>
      <c r="I1099" t="s">
        <v>17</v>
      </c>
      <c r="J1099" t="s">
        <v>37</v>
      </c>
      <c r="K1099" t="s">
        <v>31</v>
      </c>
      <c r="L1099">
        <v>314</v>
      </c>
      <c r="M1099" t="str">
        <f t="shared" si="34"/>
        <v>High</v>
      </c>
      <c r="N1099" t="str">
        <f t="shared" si="35"/>
        <v>Average</v>
      </c>
    </row>
    <row r="1100" spans="1:14">
      <c r="A1100" t="s">
        <v>38</v>
      </c>
      <c r="B1100">
        <v>2014</v>
      </c>
      <c r="C1100" t="s">
        <v>2579</v>
      </c>
      <c r="D1100" t="s">
        <v>14</v>
      </c>
      <c r="E1100" t="s">
        <v>2580</v>
      </c>
      <c r="F1100" t="s">
        <v>42</v>
      </c>
      <c r="G1100">
        <v>18.5</v>
      </c>
      <c r="H1100">
        <v>67</v>
      </c>
      <c r="I1100" t="s">
        <v>23</v>
      </c>
      <c r="J1100" t="s">
        <v>37</v>
      </c>
      <c r="K1100" t="s">
        <v>2581</v>
      </c>
      <c r="L1100">
        <v>329</v>
      </c>
      <c r="M1100" t="str">
        <f t="shared" si="34"/>
        <v>Medium</v>
      </c>
      <c r="N1100" t="str">
        <f t="shared" si="35"/>
        <v>Average</v>
      </c>
    </row>
    <row r="1101" spans="1:14">
      <c r="A1101" t="s">
        <v>12</v>
      </c>
      <c r="B1101">
        <v>2003</v>
      </c>
      <c r="C1101" t="s">
        <v>2582</v>
      </c>
      <c r="D1101" t="s">
        <v>33</v>
      </c>
      <c r="E1101" t="s">
        <v>2583</v>
      </c>
      <c r="F1101" t="s">
        <v>57</v>
      </c>
      <c r="G1101">
        <v>7.97</v>
      </c>
      <c r="H1101">
        <v>92</v>
      </c>
      <c r="I1101" t="s">
        <v>36</v>
      </c>
      <c r="J1101" t="s">
        <v>18</v>
      </c>
      <c r="K1101" t="s">
        <v>2584</v>
      </c>
      <c r="L1101">
        <v>300</v>
      </c>
      <c r="M1101" t="str">
        <f t="shared" si="34"/>
        <v>Low</v>
      </c>
      <c r="N1101" t="str">
        <f t="shared" si="35"/>
        <v>Excellent</v>
      </c>
    </row>
    <row r="1102" spans="1:14">
      <c r="A1102" t="s">
        <v>31</v>
      </c>
      <c r="B1102">
        <v>2014</v>
      </c>
      <c r="C1102" t="s">
        <v>2585</v>
      </c>
      <c r="D1102" t="s">
        <v>14</v>
      </c>
      <c r="E1102" t="s">
        <v>2586</v>
      </c>
      <c r="F1102" t="s">
        <v>16</v>
      </c>
      <c r="G1102">
        <v>7.02</v>
      </c>
      <c r="H1102">
        <v>50</v>
      </c>
      <c r="I1102" t="s">
        <v>23</v>
      </c>
      <c r="J1102" t="s">
        <v>18</v>
      </c>
      <c r="K1102" t="s">
        <v>31</v>
      </c>
      <c r="L1102">
        <v>201</v>
      </c>
      <c r="M1102" t="str">
        <f t="shared" si="34"/>
        <v>Low</v>
      </c>
      <c r="N1102" t="str">
        <f t="shared" si="35"/>
        <v>Average</v>
      </c>
    </row>
    <row r="1103" spans="1:14">
      <c r="A1103" t="s">
        <v>39</v>
      </c>
      <c r="B1103">
        <v>2003</v>
      </c>
      <c r="C1103" t="s">
        <v>2587</v>
      </c>
      <c r="D1103" t="s">
        <v>33</v>
      </c>
      <c r="E1103" t="s">
        <v>2588</v>
      </c>
      <c r="F1103" t="s">
        <v>16</v>
      </c>
      <c r="G1103">
        <v>3.71</v>
      </c>
      <c r="H1103">
        <v>100</v>
      </c>
      <c r="I1103" t="s">
        <v>17</v>
      </c>
      <c r="J1103" t="s">
        <v>24</v>
      </c>
      <c r="K1103" t="s">
        <v>2589</v>
      </c>
      <c r="L1103">
        <v>312</v>
      </c>
      <c r="M1103" t="str">
        <f t="shared" si="34"/>
        <v>Low</v>
      </c>
      <c r="N1103" t="str">
        <f t="shared" si="35"/>
        <v>Excellent</v>
      </c>
    </row>
    <row r="1104" spans="1:14">
      <c r="A1104" t="s">
        <v>20</v>
      </c>
      <c r="B1104">
        <v>2014</v>
      </c>
      <c r="C1104" t="s">
        <v>2590</v>
      </c>
      <c r="D1104" t="s">
        <v>33</v>
      </c>
      <c r="E1104" t="s">
        <v>2038</v>
      </c>
      <c r="F1104" t="s">
        <v>46</v>
      </c>
      <c r="G1104">
        <v>32.81</v>
      </c>
      <c r="H1104">
        <v>60</v>
      </c>
      <c r="I1104" t="s">
        <v>61</v>
      </c>
      <c r="J1104" t="s">
        <v>37</v>
      </c>
      <c r="K1104" t="s">
        <v>2591</v>
      </c>
      <c r="L1104">
        <v>294</v>
      </c>
      <c r="M1104" t="str">
        <f t="shared" si="34"/>
        <v>Medium</v>
      </c>
      <c r="N1104" t="str">
        <f t="shared" si="35"/>
        <v>Average</v>
      </c>
    </row>
    <row r="1105" spans="1:14">
      <c r="A1105" t="s">
        <v>20</v>
      </c>
      <c r="B1105">
        <v>2003</v>
      </c>
      <c r="C1105" t="s">
        <v>2592</v>
      </c>
      <c r="D1105" t="s">
        <v>33</v>
      </c>
      <c r="E1105" t="s">
        <v>2593</v>
      </c>
      <c r="F1105" t="s">
        <v>46</v>
      </c>
      <c r="G1105">
        <v>12.93</v>
      </c>
      <c r="H1105">
        <v>84</v>
      </c>
      <c r="I1105" t="s">
        <v>36</v>
      </c>
      <c r="J1105" t="s">
        <v>24</v>
      </c>
      <c r="K1105" t="s">
        <v>38</v>
      </c>
      <c r="L1105">
        <v>2</v>
      </c>
      <c r="M1105" t="str">
        <f t="shared" si="34"/>
        <v>Low</v>
      </c>
      <c r="N1105" t="str">
        <f t="shared" si="35"/>
        <v>Good</v>
      </c>
    </row>
    <row r="1106" spans="1:14">
      <c r="A1106" t="s">
        <v>38</v>
      </c>
      <c r="B1106">
        <v>2008</v>
      </c>
      <c r="C1106" t="s">
        <v>2594</v>
      </c>
      <c r="D1106" t="s">
        <v>14</v>
      </c>
      <c r="E1106" t="s">
        <v>2595</v>
      </c>
      <c r="F1106" t="s">
        <v>42</v>
      </c>
      <c r="G1106">
        <v>14.75</v>
      </c>
      <c r="H1106">
        <v>74</v>
      </c>
      <c r="I1106" t="s">
        <v>29</v>
      </c>
      <c r="J1106" t="s">
        <v>24</v>
      </c>
      <c r="K1106" t="s">
        <v>12</v>
      </c>
      <c r="L1106">
        <v>137</v>
      </c>
      <c r="M1106" t="str">
        <f t="shared" si="34"/>
        <v>Low</v>
      </c>
      <c r="N1106" t="str">
        <f t="shared" si="35"/>
        <v>Average</v>
      </c>
    </row>
    <row r="1107" spans="1:14">
      <c r="A1107" t="s">
        <v>48</v>
      </c>
      <c r="B1107">
        <v>2016</v>
      </c>
      <c r="C1107" t="s">
        <v>2596</v>
      </c>
      <c r="D1107" t="s">
        <v>14</v>
      </c>
      <c r="E1107" t="s">
        <v>2597</v>
      </c>
      <c r="F1107" t="s">
        <v>42</v>
      </c>
      <c r="G1107">
        <v>7.41</v>
      </c>
      <c r="H1107">
        <v>86</v>
      </c>
      <c r="I1107" t="s">
        <v>17</v>
      </c>
      <c r="J1107" t="s">
        <v>18</v>
      </c>
      <c r="K1107" t="s">
        <v>314</v>
      </c>
      <c r="L1107">
        <v>191</v>
      </c>
      <c r="M1107" t="str">
        <f t="shared" si="34"/>
        <v>Low</v>
      </c>
      <c r="N1107" t="str">
        <f t="shared" si="35"/>
        <v>Good</v>
      </c>
    </row>
    <row r="1108" spans="1:14">
      <c r="A1108" t="s">
        <v>47</v>
      </c>
      <c r="B1108">
        <v>2008</v>
      </c>
      <c r="C1108" t="s">
        <v>2598</v>
      </c>
      <c r="D1108" t="s">
        <v>14</v>
      </c>
      <c r="E1108" t="s">
        <v>2599</v>
      </c>
      <c r="F1108" t="s">
        <v>46</v>
      </c>
      <c r="G1108">
        <v>22.17</v>
      </c>
      <c r="H1108">
        <v>93</v>
      </c>
      <c r="I1108" t="s">
        <v>23</v>
      </c>
      <c r="J1108" t="s">
        <v>18</v>
      </c>
      <c r="K1108" t="s">
        <v>198</v>
      </c>
      <c r="L1108">
        <v>186</v>
      </c>
      <c r="M1108" t="str">
        <f t="shared" si="34"/>
        <v>Medium</v>
      </c>
      <c r="N1108" t="str">
        <f t="shared" si="35"/>
        <v>Excellent</v>
      </c>
    </row>
    <row r="1109" spans="1:14">
      <c r="A1109" t="s">
        <v>65</v>
      </c>
      <c r="B1109">
        <v>2018</v>
      </c>
      <c r="C1109" t="s">
        <v>2600</v>
      </c>
      <c r="D1109" t="s">
        <v>33</v>
      </c>
      <c r="E1109" t="s">
        <v>2601</v>
      </c>
      <c r="F1109" t="s">
        <v>16</v>
      </c>
      <c r="G1109">
        <v>33.85</v>
      </c>
      <c r="H1109">
        <v>95</v>
      </c>
      <c r="I1109" t="s">
        <v>61</v>
      </c>
      <c r="J1109" t="s">
        <v>18</v>
      </c>
      <c r="K1109" t="s">
        <v>232</v>
      </c>
      <c r="L1109">
        <v>333</v>
      </c>
      <c r="M1109" t="str">
        <f t="shared" si="34"/>
        <v>Medium</v>
      </c>
      <c r="N1109" t="str">
        <f t="shared" si="35"/>
        <v>Excellent</v>
      </c>
    </row>
    <row r="1110" spans="1:14">
      <c r="A1110" t="s">
        <v>39</v>
      </c>
      <c r="B1110">
        <v>2014</v>
      </c>
      <c r="C1110" t="s">
        <v>2602</v>
      </c>
      <c r="D1110" t="s">
        <v>33</v>
      </c>
      <c r="E1110" t="s">
        <v>1687</v>
      </c>
      <c r="F1110" t="s">
        <v>57</v>
      </c>
      <c r="G1110">
        <v>20.38</v>
      </c>
      <c r="H1110">
        <v>71</v>
      </c>
      <c r="I1110" t="s">
        <v>23</v>
      </c>
      <c r="J1110" t="s">
        <v>24</v>
      </c>
      <c r="K1110" t="s">
        <v>2603</v>
      </c>
      <c r="L1110">
        <v>108</v>
      </c>
      <c r="M1110" t="str">
        <f t="shared" si="34"/>
        <v>Medium</v>
      </c>
      <c r="N1110" t="str">
        <f t="shared" si="35"/>
        <v>Average</v>
      </c>
    </row>
    <row r="1111" spans="1:14">
      <c r="A1111" t="s">
        <v>26</v>
      </c>
      <c r="B1111">
        <v>2011</v>
      </c>
      <c r="C1111" t="s">
        <v>2604</v>
      </c>
      <c r="D1111" t="s">
        <v>33</v>
      </c>
      <c r="E1111" t="s">
        <v>2605</v>
      </c>
      <c r="F1111" t="s">
        <v>42</v>
      </c>
      <c r="G1111">
        <v>12.98</v>
      </c>
      <c r="H1111">
        <v>64</v>
      </c>
      <c r="I1111" t="s">
        <v>17</v>
      </c>
      <c r="J1111" t="s">
        <v>37</v>
      </c>
      <c r="K1111" t="s">
        <v>323</v>
      </c>
      <c r="L1111">
        <v>87</v>
      </c>
      <c r="M1111" t="str">
        <f t="shared" si="34"/>
        <v>Low</v>
      </c>
      <c r="N1111" t="str">
        <f t="shared" si="35"/>
        <v>Average</v>
      </c>
    </row>
    <row r="1112" spans="1:14">
      <c r="A1112" t="s">
        <v>31</v>
      </c>
      <c r="B1112">
        <v>2020</v>
      </c>
      <c r="C1112" t="s">
        <v>2606</v>
      </c>
      <c r="D1112" t="s">
        <v>14</v>
      </c>
      <c r="E1112" t="s">
        <v>2607</v>
      </c>
      <c r="F1112" t="s">
        <v>46</v>
      </c>
      <c r="G1112">
        <v>44.67</v>
      </c>
      <c r="H1112">
        <v>81</v>
      </c>
      <c r="I1112" t="s">
        <v>61</v>
      </c>
      <c r="J1112" t="s">
        <v>18</v>
      </c>
      <c r="K1112" t="s">
        <v>465</v>
      </c>
      <c r="L1112">
        <v>38</v>
      </c>
      <c r="M1112" t="str">
        <f t="shared" si="34"/>
        <v>High</v>
      </c>
      <c r="N1112" t="str">
        <f t="shared" si="35"/>
        <v>Good</v>
      </c>
    </row>
    <row r="1113" spans="1:14">
      <c r="A1113" t="s">
        <v>26</v>
      </c>
      <c r="B1113">
        <v>2012</v>
      </c>
      <c r="C1113" t="s">
        <v>2608</v>
      </c>
      <c r="D1113" t="s">
        <v>33</v>
      </c>
      <c r="E1113" t="s">
        <v>2609</v>
      </c>
      <c r="F1113" t="s">
        <v>16</v>
      </c>
      <c r="G1113">
        <v>3.43</v>
      </c>
      <c r="H1113">
        <v>68</v>
      </c>
      <c r="I1113" t="s">
        <v>29</v>
      </c>
      <c r="J1113" t="s">
        <v>18</v>
      </c>
      <c r="K1113" t="s">
        <v>2610</v>
      </c>
      <c r="L1113">
        <v>61</v>
      </c>
      <c r="M1113" t="str">
        <f t="shared" si="34"/>
        <v>Low</v>
      </c>
      <c r="N1113" t="str">
        <f t="shared" si="35"/>
        <v>Average</v>
      </c>
    </row>
    <row r="1114" spans="1:14">
      <c r="A1114" t="s">
        <v>26</v>
      </c>
      <c r="B1114">
        <v>2018</v>
      </c>
      <c r="C1114" t="s">
        <v>2611</v>
      </c>
      <c r="D1114" t="s">
        <v>14</v>
      </c>
      <c r="E1114" t="s">
        <v>2612</v>
      </c>
      <c r="F1114" t="s">
        <v>16</v>
      </c>
      <c r="G1114">
        <v>28.73</v>
      </c>
      <c r="H1114">
        <v>68</v>
      </c>
      <c r="I1114" t="s">
        <v>23</v>
      </c>
      <c r="J1114" t="s">
        <v>24</v>
      </c>
      <c r="K1114" t="s">
        <v>2414</v>
      </c>
      <c r="L1114">
        <v>181</v>
      </c>
      <c r="M1114" t="str">
        <f t="shared" si="34"/>
        <v>Medium</v>
      </c>
      <c r="N1114" t="str">
        <f t="shared" si="35"/>
        <v>Average</v>
      </c>
    </row>
    <row r="1115" spans="1:14">
      <c r="A1115" t="s">
        <v>31</v>
      </c>
      <c r="B1115">
        <v>2021</v>
      </c>
      <c r="C1115" t="s">
        <v>2613</v>
      </c>
      <c r="D1115" t="s">
        <v>14</v>
      </c>
      <c r="E1115" t="s">
        <v>2614</v>
      </c>
      <c r="F1115" t="s">
        <v>46</v>
      </c>
      <c r="G1115">
        <v>22.58</v>
      </c>
      <c r="H1115">
        <v>71</v>
      </c>
      <c r="I1115" t="s">
        <v>36</v>
      </c>
      <c r="J1115" t="s">
        <v>24</v>
      </c>
      <c r="K1115" t="s">
        <v>26</v>
      </c>
      <c r="L1115">
        <v>254</v>
      </c>
      <c r="M1115" t="str">
        <f t="shared" si="34"/>
        <v>Medium</v>
      </c>
      <c r="N1115" t="str">
        <f t="shared" si="35"/>
        <v>Average</v>
      </c>
    </row>
    <row r="1116" spans="1:14">
      <c r="A1116" t="s">
        <v>20</v>
      </c>
      <c r="B1116">
        <v>2022</v>
      </c>
      <c r="C1116" t="s">
        <v>2615</v>
      </c>
      <c r="D1116" t="s">
        <v>33</v>
      </c>
      <c r="E1116" t="s">
        <v>2616</v>
      </c>
      <c r="F1116" t="s">
        <v>57</v>
      </c>
      <c r="G1116">
        <v>17.02</v>
      </c>
      <c r="H1116">
        <v>87</v>
      </c>
      <c r="I1116" t="s">
        <v>29</v>
      </c>
      <c r="J1116" t="s">
        <v>37</v>
      </c>
      <c r="K1116" t="s">
        <v>26</v>
      </c>
      <c r="L1116">
        <v>134</v>
      </c>
      <c r="M1116" t="str">
        <f t="shared" si="34"/>
        <v>Medium</v>
      </c>
      <c r="N1116" t="str">
        <f t="shared" si="35"/>
        <v>Good</v>
      </c>
    </row>
    <row r="1117" spans="1:14">
      <c r="A1117" t="s">
        <v>68</v>
      </c>
      <c r="B1117">
        <v>2023</v>
      </c>
      <c r="C1117" t="s">
        <v>2617</v>
      </c>
      <c r="D1117" t="s">
        <v>33</v>
      </c>
      <c r="E1117" t="s">
        <v>2618</v>
      </c>
      <c r="F1117" t="s">
        <v>57</v>
      </c>
      <c r="G1117">
        <v>47.22</v>
      </c>
      <c r="H1117">
        <v>92</v>
      </c>
      <c r="I1117" t="s">
        <v>29</v>
      </c>
      <c r="J1117" t="s">
        <v>18</v>
      </c>
      <c r="K1117" t="s">
        <v>1873</v>
      </c>
      <c r="L1117">
        <v>294</v>
      </c>
      <c r="M1117" t="str">
        <f t="shared" si="34"/>
        <v>High</v>
      </c>
      <c r="N1117" t="str">
        <f t="shared" si="35"/>
        <v>Excellent</v>
      </c>
    </row>
    <row r="1118" spans="1:14">
      <c r="A1118" t="s">
        <v>38</v>
      </c>
      <c r="B1118">
        <v>2002</v>
      </c>
      <c r="C1118" t="s">
        <v>2619</v>
      </c>
      <c r="D1118" t="s">
        <v>14</v>
      </c>
      <c r="E1118" t="s">
        <v>1025</v>
      </c>
      <c r="F1118" t="s">
        <v>16</v>
      </c>
      <c r="G1118">
        <v>24.62</v>
      </c>
      <c r="H1118">
        <v>69</v>
      </c>
      <c r="I1118" t="s">
        <v>17</v>
      </c>
      <c r="J1118" t="s">
        <v>37</v>
      </c>
      <c r="K1118" t="s">
        <v>97</v>
      </c>
      <c r="L1118">
        <v>7</v>
      </c>
      <c r="M1118" t="str">
        <f t="shared" si="34"/>
        <v>Medium</v>
      </c>
      <c r="N1118" t="str">
        <f t="shared" si="35"/>
        <v>Average</v>
      </c>
    </row>
    <row r="1119" spans="1:14">
      <c r="A1119" t="s">
        <v>26</v>
      </c>
      <c r="B1119">
        <v>2022</v>
      </c>
      <c r="C1119" t="s">
        <v>2620</v>
      </c>
      <c r="D1119" t="s">
        <v>14</v>
      </c>
      <c r="E1119" t="s">
        <v>2621</v>
      </c>
      <c r="F1119" t="s">
        <v>16</v>
      </c>
      <c r="G1119">
        <v>13.34</v>
      </c>
      <c r="H1119">
        <v>82</v>
      </c>
      <c r="I1119" t="s">
        <v>29</v>
      </c>
      <c r="J1119" t="s">
        <v>37</v>
      </c>
      <c r="K1119" t="s">
        <v>1900</v>
      </c>
      <c r="L1119">
        <v>360</v>
      </c>
      <c r="M1119" t="str">
        <f t="shared" si="34"/>
        <v>Low</v>
      </c>
      <c r="N1119" t="str">
        <f t="shared" si="35"/>
        <v>Good</v>
      </c>
    </row>
    <row r="1120" spans="1:14">
      <c r="A1120" t="s">
        <v>39</v>
      </c>
      <c r="B1120">
        <v>2003</v>
      </c>
      <c r="C1120" t="s">
        <v>2622</v>
      </c>
      <c r="D1120" t="s">
        <v>33</v>
      </c>
      <c r="E1120" t="s">
        <v>776</v>
      </c>
      <c r="F1120" t="s">
        <v>42</v>
      </c>
      <c r="G1120">
        <v>39.01</v>
      </c>
      <c r="H1120">
        <v>82</v>
      </c>
      <c r="I1120" t="s">
        <v>17</v>
      </c>
      <c r="J1120" t="s">
        <v>24</v>
      </c>
      <c r="K1120" t="s">
        <v>1853</v>
      </c>
      <c r="L1120">
        <v>230</v>
      </c>
      <c r="M1120" t="str">
        <f t="shared" si="34"/>
        <v>High</v>
      </c>
      <c r="N1120" t="str">
        <f t="shared" si="35"/>
        <v>Good</v>
      </c>
    </row>
    <row r="1121" spans="1:14">
      <c r="A1121" t="s">
        <v>12</v>
      </c>
      <c r="B1121">
        <v>2000</v>
      </c>
      <c r="C1121" t="s">
        <v>2623</v>
      </c>
      <c r="D1121" t="s">
        <v>33</v>
      </c>
      <c r="E1121" t="s">
        <v>2624</v>
      </c>
      <c r="F1121" t="s">
        <v>46</v>
      </c>
      <c r="G1121">
        <v>46.43</v>
      </c>
      <c r="H1121">
        <v>86</v>
      </c>
      <c r="I1121" t="s">
        <v>29</v>
      </c>
      <c r="J1121" t="s">
        <v>24</v>
      </c>
      <c r="K1121" t="s">
        <v>38</v>
      </c>
      <c r="L1121">
        <v>118</v>
      </c>
      <c r="M1121" t="str">
        <f t="shared" si="34"/>
        <v>High</v>
      </c>
      <c r="N1121" t="str">
        <f t="shared" si="35"/>
        <v>Good</v>
      </c>
    </row>
    <row r="1122" spans="1:14">
      <c r="A1122" t="s">
        <v>31</v>
      </c>
      <c r="B1122">
        <v>2012</v>
      </c>
      <c r="C1122" t="s">
        <v>2625</v>
      </c>
      <c r="D1122" t="s">
        <v>33</v>
      </c>
      <c r="E1122" t="s">
        <v>2626</v>
      </c>
      <c r="F1122" t="s">
        <v>35</v>
      </c>
      <c r="G1122">
        <v>11.94</v>
      </c>
      <c r="H1122">
        <v>100</v>
      </c>
      <c r="I1122" t="s">
        <v>36</v>
      </c>
      <c r="J1122" t="s">
        <v>37</v>
      </c>
      <c r="K1122" t="s">
        <v>206</v>
      </c>
      <c r="L1122">
        <v>334</v>
      </c>
      <c r="M1122" t="str">
        <f t="shared" si="34"/>
        <v>Low</v>
      </c>
      <c r="N1122" t="str">
        <f t="shared" si="35"/>
        <v>Excellent</v>
      </c>
    </row>
    <row r="1123" spans="1:14">
      <c r="A1123" t="s">
        <v>38</v>
      </c>
      <c r="B1123">
        <v>2023</v>
      </c>
      <c r="C1123" t="s">
        <v>2627</v>
      </c>
      <c r="D1123" t="s">
        <v>14</v>
      </c>
      <c r="E1123" t="s">
        <v>1368</v>
      </c>
      <c r="F1123" t="s">
        <v>57</v>
      </c>
      <c r="G1123">
        <v>36.33</v>
      </c>
      <c r="H1123">
        <v>94</v>
      </c>
      <c r="I1123" t="s">
        <v>36</v>
      </c>
      <c r="J1123" t="s">
        <v>24</v>
      </c>
      <c r="K1123" t="s">
        <v>39</v>
      </c>
      <c r="L1123">
        <v>317</v>
      </c>
      <c r="M1123" t="str">
        <f t="shared" si="34"/>
        <v>High</v>
      </c>
      <c r="N1123" t="str">
        <f t="shared" si="35"/>
        <v>Excellent</v>
      </c>
    </row>
    <row r="1124" spans="1:14">
      <c r="A1124" t="s">
        <v>47</v>
      </c>
      <c r="B1124">
        <v>2008</v>
      </c>
      <c r="C1124" t="s">
        <v>2628</v>
      </c>
      <c r="D1124" t="s">
        <v>33</v>
      </c>
      <c r="E1124" t="s">
        <v>2629</v>
      </c>
      <c r="F1124" t="s">
        <v>16</v>
      </c>
      <c r="G1124">
        <v>34.619999999999997</v>
      </c>
      <c r="H1124">
        <v>97</v>
      </c>
      <c r="I1124" t="s">
        <v>23</v>
      </c>
      <c r="J1124" t="s">
        <v>37</v>
      </c>
      <c r="K1124" t="s">
        <v>441</v>
      </c>
      <c r="L1124">
        <v>167</v>
      </c>
      <c r="M1124" t="str">
        <f t="shared" si="34"/>
        <v>Medium</v>
      </c>
      <c r="N1124" t="str">
        <f t="shared" si="35"/>
        <v>Excellent</v>
      </c>
    </row>
    <row r="1125" spans="1:14">
      <c r="A1125" t="s">
        <v>20</v>
      </c>
      <c r="B1125">
        <v>2024</v>
      </c>
      <c r="C1125" t="s">
        <v>2630</v>
      </c>
      <c r="D1125" t="s">
        <v>33</v>
      </c>
      <c r="E1125" t="s">
        <v>2631</v>
      </c>
      <c r="F1125" t="s">
        <v>57</v>
      </c>
      <c r="G1125">
        <v>35.880000000000003</v>
      </c>
      <c r="H1125">
        <v>93</v>
      </c>
      <c r="I1125" t="s">
        <v>23</v>
      </c>
      <c r="J1125" t="s">
        <v>18</v>
      </c>
      <c r="K1125" t="s">
        <v>795</v>
      </c>
      <c r="L1125">
        <v>76</v>
      </c>
      <c r="M1125" t="str">
        <f t="shared" si="34"/>
        <v>High</v>
      </c>
      <c r="N1125" t="str">
        <f t="shared" si="35"/>
        <v>Excellent</v>
      </c>
    </row>
    <row r="1126" spans="1:14">
      <c r="A1126" t="s">
        <v>65</v>
      </c>
      <c r="B1126">
        <v>2021</v>
      </c>
      <c r="C1126" t="s">
        <v>2632</v>
      </c>
      <c r="D1126" t="s">
        <v>33</v>
      </c>
      <c r="E1126" t="s">
        <v>2633</v>
      </c>
      <c r="F1126" t="s">
        <v>16</v>
      </c>
      <c r="G1126">
        <v>20</v>
      </c>
      <c r="H1126">
        <v>100</v>
      </c>
      <c r="I1126" t="s">
        <v>29</v>
      </c>
      <c r="J1126" t="s">
        <v>24</v>
      </c>
      <c r="K1126" t="s">
        <v>398</v>
      </c>
      <c r="L1126">
        <v>252</v>
      </c>
      <c r="M1126" t="str">
        <f t="shared" si="34"/>
        <v>Medium</v>
      </c>
      <c r="N1126" t="str">
        <f t="shared" si="35"/>
        <v>Excellent</v>
      </c>
    </row>
    <row r="1127" spans="1:14">
      <c r="A1127" t="s">
        <v>26</v>
      </c>
      <c r="B1127">
        <v>2011</v>
      </c>
      <c r="C1127" t="s">
        <v>2634</v>
      </c>
      <c r="D1127" t="s">
        <v>33</v>
      </c>
      <c r="E1127" t="s">
        <v>2635</v>
      </c>
      <c r="F1127" t="s">
        <v>16</v>
      </c>
      <c r="G1127">
        <v>1.34</v>
      </c>
      <c r="H1127">
        <v>85</v>
      </c>
      <c r="I1127" t="s">
        <v>61</v>
      </c>
      <c r="J1127" t="s">
        <v>37</v>
      </c>
      <c r="K1127" t="s">
        <v>1671</v>
      </c>
      <c r="L1127">
        <v>255</v>
      </c>
      <c r="M1127" t="str">
        <f t="shared" si="34"/>
        <v>Low</v>
      </c>
      <c r="N1127" t="str">
        <f t="shared" si="35"/>
        <v>Good</v>
      </c>
    </row>
    <row r="1128" spans="1:14">
      <c r="A1128" t="s">
        <v>26</v>
      </c>
      <c r="B1128">
        <v>2022</v>
      </c>
      <c r="C1128" t="s">
        <v>2636</v>
      </c>
      <c r="D1128" t="s">
        <v>33</v>
      </c>
      <c r="E1128" t="s">
        <v>2637</v>
      </c>
      <c r="F1128" t="s">
        <v>57</v>
      </c>
      <c r="G1128">
        <v>8.81</v>
      </c>
      <c r="H1128">
        <v>78</v>
      </c>
      <c r="I1128" t="s">
        <v>23</v>
      </c>
      <c r="J1128" t="s">
        <v>24</v>
      </c>
      <c r="K1128" t="s">
        <v>58</v>
      </c>
      <c r="L1128">
        <v>20</v>
      </c>
      <c r="M1128" t="str">
        <f t="shared" si="34"/>
        <v>Low</v>
      </c>
      <c r="N1128" t="str">
        <f t="shared" si="35"/>
        <v>Good</v>
      </c>
    </row>
    <row r="1129" spans="1:14">
      <c r="A1129" t="s">
        <v>48</v>
      </c>
      <c r="B1129">
        <v>2018</v>
      </c>
      <c r="C1129" t="s">
        <v>2638</v>
      </c>
      <c r="D1129" t="s">
        <v>33</v>
      </c>
      <c r="E1129" t="s">
        <v>2639</v>
      </c>
      <c r="F1129" t="s">
        <v>42</v>
      </c>
      <c r="G1129">
        <v>20.61</v>
      </c>
      <c r="H1129">
        <v>80</v>
      </c>
      <c r="I1129" t="s">
        <v>23</v>
      </c>
      <c r="J1129" t="s">
        <v>24</v>
      </c>
      <c r="K1129" t="s">
        <v>465</v>
      </c>
      <c r="L1129">
        <v>343</v>
      </c>
      <c r="M1129" t="str">
        <f t="shared" si="34"/>
        <v>Medium</v>
      </c>
      <c r="N1129" t="str">
        <f t="shared" si="35"/>
        <v>Good</v>
      </c>
    </row>
    <row r="1130" spans="1:14">
      <c r="A1130" t="s">
        <v>31</v>
      </c>
      <c r="B1130">
        <v>2007</v>
      </c>
      <c r="C1130" t="s">
        <v>2640</v>
      </c>
      <c r="D1130" t="s">
        <v>14</v>
      </c>
      <c r="E1130" t="s">
        <v>2641</v>
      </c>
      <c r="F1130" t="s">
        <v>16</v>
      </c>
      <c r="G1130">
        <v>40.75</v>
      </c>
      <c r="H1130">
        <v>87</v>
      </c>
      <c r="I1130" t="s">
        <v>23</v>
      </c>
      <c r="J1130" t="s">
        <v>18</v>
      </c>
      <c r="K1130" t="s">
        <v>65</v>
      </c>
      <c r="L1130">
        <v>315</v>
      </c>
      <c r="M1130" t="str">
        <f t="shared" si="34"/>
        <v>High</v>
      </c>
      <c r="N1130" t="str">
        <f t="shared" si="35"/>
        <v>Good</v>
      </c>
    </row>
    <row r="1131" spans="1:14">
      <c r="A1131" t="s">
        <v>47</v>
      </c>
      <c r="B1131">
        <v>2008</v>
      </c>
      <c r="C1131" t="s">
        <v>2642</v>
      </c>
      <c r="D1131" t="s">
        <v>14</v>
      </c>
      <c r="E1131" t="s">
        <v>2643</v>
      </c>
      <c r="F1131" t="s">
        <v>46</v>
      </c>
      <c r="G1131">
        <v>2.9</v>
      </c>
      <c r="H1131">
        <v>75</v>
      </c>
      <c r="I1131" t="s">
        <v>17</v>
      </c>
      <c r="J1131" t="s">
        <v>37</v>
      </c>
      <c r="K1131" t="s">
        <v>2644</v>
      </c>
      <c r="L1131">
        <v>181</v>
      </c>
      <c r="M1131" t="str">
        <f t="shared" si="34"/>
        <v>Low</v>
      </c>
      <c r="N1131" t="str">
        <f t="shared" si="35"/>
        <v>Good</v>
      </c>
    </row>
    <row r="1132" spans="1:14">
      <c r="A1132" t="s">
        <v>38</v>
      </c>
      <c r="B1132">
        <v>2017</v>
      </c>
      <c r="C1132" t="s">
        <v>2645</v>
      </c>
      <c r="D1132" t="s">
        <v>14</v>
      </c>
      <c r="E1132" t="s">
        <v>2646</v>
      </c>
      <c r="F1132" t="s">
        <v>57</v>
      </c>
      <c r="G1132">
        <v>12.45</v>
      </c>
      <c r="H1132">
        <v>91</v>
      </c>
      <c r="I1132" t="s">
        <v>61</v>
      </c>
      <c r="J1132" t="s">
        <v>37</v>
      </c>
      <c r="K1132" t="s">
        <v>2647</v>
      </c>
      <c r="L1132">
        <v>150</v>
      </c>
      <c r="M1132" t="str">
        <f t="shared" si="34"/>
        <v>Low</v>
      </c>
      <c r="N1132" t="str">
        <f t="shared" si="35"/>
        <v>Excellent</v>
      </c>
    </row>
    <row r="1133" spans="1:14">
      <c r="A1133" t="s">
        <v>12</v>
      </c>
      <c r="B1133">
        <v>2021</v>
      </c>
      <c r="C1133" t="s">
        <v>2648</v>
      </c>
      <c r="D1133" t="s">
        <v>33</v>
      </c>
      <c r="E1133" t="s">
        <v>2649</v>
      </c>
      <c r="F1133" t="s">
        <v>16</v>
      </c>
      <c r="G1133">
        <v>44.78</v>
      </c>
      <c r="H1133">
        <v>78</v>
      </c>
      <c r="I1133" t="s">
        <v>61</v>
      </c>
      <c r="J1133" t="s">
        <v>37</v>
      </c>
      <c r="K1133" t="s">
        <v>2650</v>
      </c>
      <c r="L1133">
        <v>188</v>
      </c>
      <c r="M1133" t="str">
        <f t="shared" si="34"/>
        <v>High</v>
      </c>
      <c r="N1133" t="str">
        <f t="shared" si="35"/>
        <v>Good</v>
      </c>
    </row>
    <row r="1134" spans="1:14">
      <c r="A1134" t="s">
        <v>68</v>
      </c>
      <c r="B1134">
        <v>2007</v>
      </c>
      <c r="C1134" t="s">
        <v>2651</v>
      </c>
      <c r="D1134" t="s">
        <v>14</v>
      </c>
      <c r="E1134" t="s">
        <v>2652</v>
      </c>
      <c r="F1134" t="s">
        <v>16</v>
      </c>
      <c r="G1134">
        <v>31.73</v>
      </c>
      <c r="H1134">
        <v>56</v>
      </c>
      <c r="I1134" t="s">
        <v>23</v>
      </c>
      <c r="J1134" t="s">
        <v>18</v>
      </c>
      <c r="K1134" t="s">
        <v>2653</v>
      </c>
      <c r="L1134">
        <v>307</v>
      </c>
      <c r="M1134" t="str">
        <f t="shared" si="34"/>
        <v>Medium</v>
      </c>
      <c r="N1134" t="str">
        <f t="shared" si="35"/>
        <v>Average</v>
      </c>
    </row>
    <row r="1135" spans="1:14">
      <c r="A1135" t="s">
        <v>38</v>
      </c>
      <c r="B1135">
        <v>2008</v>
      </c>
      <c r="C1135" t="s">
        <v>2654</v>
      </c>
      <c r="D1135" t="s">
        <v>14</v>
      </c>
      <c r="E1135" t="s">
        <v>2655</v>
      </c>
      <c r="F1135" t="s">
        <v>16</v>
      </c>
      <c r="G1135">
        <v>26.5</v>
      </c>
      <c r="H1135">
        <v>94</v>
      </c>
      <c r="I1135" t="s">
        <v>23</v>
      </c>
      <c r="J1135" t="s">
        <v>24</v>
      </c>
      <c r="K1135" t="s">
        <v>12</v>
      </c>
      <c r="L1135">
        <v>73</v>
      </c>
      <c r="M1135" t="str">
        <f t="shared" si="34"/>
        <v>Medium</v>
      </c>
      <c r="N1135" t="str">
        <f t="shared" si="35"/>
        <v>Excellent</v>
      </c>
    </row>
    <row r="1136" spans="1:14">
      <c r="A1136" t="s">
        <v>20</v>
      </c>
      <c r="B1136">
        <v>2005</v>
      </c>
      <c r="C1136" t="s">
        <v>2656</v>
      </c>
      <c r="D1136" t="s">
        <v>14</v>
      </c>
      <c r="E1136" t="s">
        <v>2657</v>
      </c>
      <c r="F1136" t="s">
        <v>46</v>
      </c>
      <c r="G1136">
        <v>14.25</v>
      </c>
      <c r="H1136">
        <v>78</v>
      </c>
      <c r="I1136" t="s">
        <v>23</v>
      </c>
      <c r="J1136" t="s">
        <v>18</v>
      </c>
      <c r="K1136" t="s">
        <v>2658</v>
      </c>
      <c r="L1136">
        <v>346</v>
      </c>
      <c r="M1136" t="str">
        <f t="shared" si="34"/>
        <v>Low</v>
      </c>
      <c r="N1136" t="str">
        <f t="shared" si="35"/>
        <v>Good</v>
      </c>
    </row>
    <row r="1137" spans="1:14">
      <c r="A1137" t="s">
        <v>31</v>
      </c>
      <c r="B1137">
        <v>2001</v>
      </c>
      <c r="C1137" t="s">
        <v>2659</v>
      </c>
      <c r="D1137" t="s">
        <v>14</v>
      </c>
      <c r="E1137" t="s">
        <v>2660</v>
      </c>
      <c r="F1137" t="s">
        <v>35</v>
      </c>
      <c r="G1137">
        <v>8.1199999999999992</v>
      </c>
      <c r="H1137">
        <v>58</v>
      </c>
      <c r="I1137" t="s">
        <v>17</v>
      </c>
      <c r="J1137" t="s">
        <v>18</v>
      </c>
      <c r="K1137" t="s">
        <v>220</v>
      </c>
      <c r="L1137">
        <v>293</v>
      </c>
      <c r="M1137" t="str">
        <f t="shared" si="34"/>
        <v>Low</v>
      </c>
      <c r="N1137" t="str">
        <f t="shared" si="35"/>
        <v>Average</v>
      </c>
    </row>
    <row r="1138" spans="1:14">
      <c r="A1138" t="s">
        <v>31</v>
      </c>
      <c r="B1138">
        <v>2010</v>
      </c>
      <c r="C1138" t="s">
        <v>2661</v>
      </c>
      <c r="D1138" t="s">
        <v>33</v>
      </c>
      <c r="E1138" t="s">
        <v>2662</v>
      </c>
      <c r="F1138" t="s">
        <v>57</v>
      </c>
      <c r="G1138">
        <v>22.39</v>
      </c>
      <c r="H1138">
        <v>91</v>
      </c>
      <c r="I1138" t="s">
        <v>61</v>
      </c>
      <c r="J1138" t="s">
        <v>18</v>
      </c>
      <c r="K1138" t="s">
        <v>26</v>
      </c>
      <c r="L1138">
        <v>196</v>
      </c>
      <c r="M1138" t="str">
        <f t="shared" si="34"/>
        <v>Medium</v>
      </c>
      <c r="N1138" t="str">
        <f t="shared" si="35"/>
        <v>Excellent</v>
      </c>
    </row>
    <row r="1139" spans="1:14">
      <c r="A1139" t="s">
        <v>38</v>
      </c>
      <c r="B1139">
        <v>2013</v>
      </c>
      <c r="C1139" t="s">
        <v>2663</v>
      </c>
      <c r="D1139" t="s">
        <v>14</v>
      </c>
      <c r="E1139" t="s">
        <v>1280</v>
      </c>
      <c r="F1139" t="s">
        <v>35</v>
      </c>
      <c r="G1139">
        <v>40.82</v>
      </c>
      <c r="H1139">
        <v>75</v>
      </c>
      <c r="I1139" t="s">
        <v>36</v>
      </c>
      <c r="J1139" t="s">
        <v>18</v>
      </c>
      <c r="K1139" t="s">
        <v>38</v>
      </c>
      <c r="L1139">
        <v>181</v>
      </c>
      <c r="M1139" t="str">
        <f t="shared" si="34"/>
        <v>High</v>
      </c>
      <c r="N1139" t="str">
        <f t="shared" si="35"/>
        <v>Good</v>
      </c>
    </row>
    <row r="1140" spans="1:14">
      <c r="A1140" t="s">
        <v>48</v>
      </c>
      <c r="B1140">
        <v>2010</v>
      </c>
      <c r="C1140" t="s">
        <v>2664</v>
      </c>
      <c r="D1140" t="s">
        <v>33</v>
      </c>
      <c r="E1140" t="s">
        <v>2665</v>
      </c>
      <c r="F1140" t="s">
        <v>42</v>
      </c>
      <c r="G1140">
        <v>48.04</v>
      </c>
      <c r="H1140">
        <v>66</v>
      </c>
      <c r="I1140" t="s">
        <v>36</v>
      </c>
      <c r="J1140" t="s">
        <v>37</v>
      </c>
      <c r="K1140" t="s">
        <v>610</v>
      </c>
      <c r="L1140">
        <v>19</v>
      </c>
      <c r="M1140" t="str">
        <f t="shared" si="34"/>
        <v>High</v>
      </c>
      <c r="N1140" t="str">
        <f t="shared" si="35"/>
        <v>Average</v>
      </c>
    </row>
    <row r="1141" spans="1:14">
      <c r="A1141" t="s">
        <v>20</v>
      </c>
      <c r="B1141">
        <v>2023</v>
      </c>
      <c r="C1141" t="s">
        <v>2666</v>
      </c>
      <c r="D1141" t="s">
        <v>14</v>
      </c>
      <c r="E1141" t="s">
        <v>2667</v>
      </c>
      <c r="F1141" t="s">
        <v>46</v>
      </c>
      <c r="G1141">
        <v>12.75</v>
      </c>
      <c r="H1141">
        <v>69</v>
      </c>
      <c r="I1141" t="s">
        <v>36</v>
      </c>
      <c r="J1141" t="s">
        <v>37</v>
      </c>
      <c r="K1141" t="s">
        <v>1604</v>
      </c>
      <c r="L1141">
        <v>61</v>
      </c>
      <c r="M1141" t="str">
        <f t="shared" si="34"/>
        <v>Low</v>
      </c>
      <c r="N1141" t="str">
        <f t="shared" si="35"/>
        <v>Average</v>
      </c>
    </row>
    <row r="1142" spans="1:14">
      <c r="A1142" t="s">
        <v>31</v>
      </c>
      <c r="B1142">
        <v>2018</v>
      </c>
      <c r="C1142" t="s">
        <v>2668</v>
      </c>
      <c r="D1142" t="s">
        <v>33</v>
      </c>
      <c r="E1142" t="s">
        <v>2669</v>
      </c>
      <c r="F1142" t="s">
        <v>57</v>
      </c>
      <c r="G1142">
        <v>5.59</v>
      </c>
      <c r="H1142">
        <v>61</v>
      </c>
      <c r="I1142" t="s">
        <v>36</v>
      </c>
      <c r="J1142" t="s">
        <v>18</v>
      </c>
      <c r="K1142" t="s">
        <v>2670</v>
      </c>
      <c r="L1142">
        <v>211</v>
      </c>
      <c r="M1142" t="str">
        <f t="shared" si="34"/>
        <v>Low</v>
      </c>
      <c r="N1142" t="str">
        <f t="shared" si="35"/>
        <v>Average</v>
      </c>
    </row>
    <row r="1143" spans="1:14">
      <c r="A1143" t="s">
        <v>31</v>
      </c>
      <c r="B1143">
        <v>2000</v>
      </c>
      <c r="C1143" t="s">
        <v>2671</v>
      </c>
      <c r="D1143" t="s">
        <v>33</v>
      </c>
      <c r="E1143" t="s">
        <v>2672</v>
      </c>
      <c r="F1143" t="s">
        <v>42</v>
      </c>
      <c r="G1143">
        <v>47.78</v>
      </c>
      <c r="H1143">
        <v>72</v>
      </c>
      <c r="I1143" t="s">
        <v>29</v>
      </c>
      <c r="J1143" t="s">
        <v>24</v>
      </c>
      <c r="K1143" t="s">
        <v>1234</v>
      </c>
      <c r="L1143">
        <v>343</v>
      </c>
      <c r="M1143" t="str">
        <f t="shared" si="34"/>
        <v>High</v>
      </c>
      <c r="N1143" t="str">
        <f t="shared" si="35"/>
        <v>Average</v>
      </c>
    </row>
    <row r="1144" spans="1:14">
      <c r="A1144" t="s">
        <v>65</v>
      </c>
      <c r="B1144">
        <v>2010</v>
      </c>
      <c r="C1144" t="s">
        <v>2673</v>
      </c>
      <c r="D1144" t="s">
        <v>14</v>
      </c>
      <c r="E1144" t="s">
        <v>2674</v>
      </c>
      <c r="F1144" t="s">
        <v>35</v>
      </c>
      <c r="G1144">
        <v>10.56</v>
      </c>
      <c r="H1144">
        <v>78</v>
      </c>
      <c r="I1144" t="s">
        <v>29</v>
      </c>
      <c r="J1144" t="s">
        <v>18</v>
      </c>
      <c r="K1144" t="s">
        <v>38</v>
      </c>
      <c r="L1144">
        <v>117</v>
      </c>
      <c r="M1144" t="str">
        <f t="shared" si="34"/>
        <v>Low</v>
      </c>
      <c r="N1144" t="str">
        <f t="shared" si="35"/>
        <v>Good</v>
      </c>
    </row>
    <row r="1145" spans="1:14">
      <c r="A1145" t="s">
        <v>65</v>
      </c>
      <c r="B1145">
        <v>2002</v>
      </c>
      <c r="C1145" t="s">
        <v>2675</v>
      </c>
      <c r="D1145" t="s">
        <v>14</v>
      </c>
      <c r="E1145" t="s">
        <v>2676</v>
      </c>
      <c r="F1145" t="s">
        <v>46</v>
      </c>
      <c r="G1145">
        <v>13.47</v>
      </c>
      <c r="H1145">
        <v>54</v>
      </c>
      <c r="I1145" t="s">
        <v>61</v>
      </c>
      <c r="J1145" t="s">
        <v>18</v>
      </c>
      <c r="K1145" t="s">
        <v>26</v>
      </c>
      <c r="L1145">
        <v>358</v>
      </c>
      <c r="M1145" t="str">
        <f t="shared" si="34"/>
        <v>Low</v>
      </c>
      <c r="N1145" t="str">
        <f t="shared" si="35"/>
        <v>Average</v>
      </c>
    </row>
    <row r="1146" spans="1:14">
      <c r="A1146" t="s">
        <v>31</v>
      </c>
      <c r="B1146">
        <v>2006</v>
      </c>
      <c r="C1146" t="s">
        <v>2677</v>
      </c>
      <c r="D1146" t="s">
        <v>14</v>
      </c>
      <c r="E1146" t="s">
        <v>2678</v>
      </c>
      <c r="F1146" t="s">
        <v>46</v>
      </c>
      <c r="G1146">
        <v>28.26</v>
      </c>
      <c r="H1146">
        <v>87</v>
      </c>
      <c r="I1146" t="s">
        <v>23</v>
      </c>
      <c r="J1146" t="s">
        <v>18</v>
      </c>
      <c r="K1146" t="s">
        <v>47</v>
      </c>
      <c r="L1146">
        <v>74</v>
      </c>
      <c r="M1146" t="str">
        <f t="shared" si="34"/>
        <v>Medium</v>
      </c>
      <c r="N1146" t="str">
        <f t="shared" si="35"/>
        <v>Good</v>
      </c>
    </row>
    <row r="1147" spans="1:14">
      <c r="A1147" t="s">
        <v>12</v>
      </c>
      <c r="B1147">
        <v>2024</v>
      </c>
      <c r="C1147" t="s">
        <v>2679</v>
      </c>
      <c r="D1147" t="s">
        <v>33</v>
      </c>
      <c r="E1147" t="s">
        <v>2680</v>
      </c>
      <c r="F1147" t="s">
        <v>42</v>
      </c>
      <c r="G1147">
        <v>4.3099999999999996</v>
      </c>
      <c r="H1147">
        <v>96</v>
      </c>
      <c r="I1147" t="s">
        <v>29</v>
      </c>
      <c r="J1147" t="s">
        <v>37</v>
      </c>
      <c r="K1147" t="s">
        <v>1944</v>
      </c>
      <c r="L1147">
        <v>213</v>
      </c>
      <c r="M1147" t="str">
        <f t="shared" si="34"/>
        <v>Low</v>
      </c>
      <c r="N1147" t="str">
        <f t="shared" si="35"/>
        <v>Excellent</v>
      </c>
    </row>
    <row r="1148" spans="1:14">
      <c r="A1148" t="s">
        <v>65</v>
      </c>
      <c r="B1148">
        <v>2025</v>
      </c>
      <c r="C1148" t="s">
        <v>2681</v>
      </c>
      <c r="D1148" t="s">
        <v>14</v>
      </c>
      <c r="E1148" t="s">
        <v>2682</v>
      </c>
      <c r="F1148" t="s">
        <v>16</v>
      </c>
      <c r="G1148">
        <v>45.33</v>
      </c>
      <c r="H1148">
        <v>54</v>
      </c>
      <c r="I1148" t="s">
        <v>29</v>
      </c>
      <c r="J1148" t="s">
        <v>18</v>
      </c>
      <c r="K1148" t="s">
        <v>47</v>
      </c>
      <c r="L1148">
        <v>272</v>
      </c>
      <c r="M1148" t="str">
        <f t="shared" si="34"/>
        <v>High</v>
      </c>
      <c r="N1148" t="str">
        <f t="shared" si="35"/>
        <v>Average</v>
      </c>
    </row>
    <row r="1149" spans="1:14">
      <c r="A1149" t="s">
        <v>38</v>
      </c>
      <c r="B1149">
        <v>2023</v>
      </c>
      <c r="C1149" t="s">
        <v>2683</v>
      </c>
      <c r="D1149" t="s">
        <v>14</v>
      </c>
      <c r="E1149" t="s">
        <v>2684</v>
      </c>
      <c r="F1149" t="s">
        <v>57</v>
      </c>
      <c r="G1149">
        <v>46.87</v>
      </c>
      <c r="H1149">
        <v>57</v>
      </c>
      <c r="I1149" t="s">
        <v>17</v>
      </c>
      <c r="J1149" t="s">
        <v>24</v>
      </c>
      <c r="K1149" t="s">
        <v>2685</v>
      </c>
      <c r="L1149">
        <v>307</v>
      </c>
      <c r="M1149" t="str">
        <f t="shared" si="34"/>
        <v>High</v>
      </c>
      <c r="N1149" t="str">
        <f t="shared" si="35"/>
        <v>Average</v>
      </c>
    </row>
    <row r="1150" spans="1:14">
      <c r="A1150" t="s">
        <v>48</v>
      </c>
      <c r="B1150">
        <v>2022</v>
      </c>
      <c r="C1150" t="s">
        <v>2686</v>
      </c>
      <c r="D1150" t="s">
        <v>33</v>
      </c>
      <c r="E1150" t="s">
        <v>2687</v>
      </c>
      <c r="F1150" t="s">
        <v>46</v>
      </c>
      <c r="G1150">
        <v>41.63</v>
      </c>
      <c r="H1150">
        <v>57</v>
      </c>
      <c r="I1150" t="s">
        <v>36</v>
      </c>
      <c r="J1150" t="s">
        <v>37</v>
      </c>
      <c r="K1150" t="s">
        <v>39</v>
      </c>
      <c r="L1150">
        <v>225</v>
      </c>
      <c r="M1150" t="str">
        <f t="shared" si="34"/>
        <v>High</v>
      </c>
      <c r="N1150" t="str">
        <f t="shared" si="35"/>
        <v>Average</v>
      </c>
    </row>
    <row r="1151" spans="1:14">
      <c r="A1151" t="s">
        <v>12</v>
      </c>
      <c r="B1151">
        <v>2018</v>
      </c>
      <c r="C1151" t="s">
        <v>2688</v>
      </c>
      <c r="D1151" t="s">
        <v>14</v>
      </c>
      <c r="E1151" t="s">
        <v>2689</v>
      </c>
      <c r="F1151" t="s">
        <v>42</v>
      </c>
      <c r="G1151">
        <v>24.84</v>
      </c>
      <c r="H1151">
        <v>70</v>
      </c>
      <c r="I1151" t="s">
        <v>36</v>
      </c>
      <c r="J1151" t="s">
        <v>24</v>
      </c>
      <c r="K1151" t="s">
        <v>20</v>
      </c>
      <c r="L1151">
        <v>203</v>
      </c>
      <c r="M1151" t="str">
        <f t="shared" si="34"/>
        <v>Medium</v>
      </c>
      <c r="N1151" t="str">
        <f t="shared" si="35"/>
        <v>Average</v>
      </c>
    </row>
    <row r="1152" spans="1:14">
      <c r="A1152" t="s">
        <v>65</v>
      </c>
      <c r="B1152">
        <v>2005</v>
      </c>
      <c r="C1152" t="s">
        <v>2690</v>
      </c>
      <c r="D1152" t="s">
        <v>33</v>
      </c>
      <c r="E1152" t="s">
        <v>2691</v>
      </c>
      <c r="F1152" t="s">
        <v>16</v>
      </c>
      <c r="G1152">
        <v>20.11</v>
      </c>
      <c r="H1152">
        <v>66</v>
      </c>
      <c r="I1152" t="s">
        <v>36</v>
      </c>
      <c r="J1152" t="s">
        <v>24</v>
      </c>
      <c r="K1152" t="s">
        <v>48</v>
      </c>
      <c r="L1152">
        <v>99</v>
      </c>
      <c r="M1152" t="str">
        <f t="shared" si="34"/>
        <v>Medium</v>
      </c>
      <c r="N1152" t="str">
        <f t="shared" si="35"/>
        <v>Average</v>
      </c>
    </row>
    <row r="1153" spans="1:14">
      <c r="A1153" t="s">
        <v>68</v>
      </c>
      <c r="B1153">
        <v>2018</v>
      </c>
      <c r="C1153" t="s">
        <v>2692</v>
      </c>
      <c r="D1153" t="s">
        <v>14</v>
      </c>
      <c r="E1153" t="s">
        <v>2693</v>
      </c>
      <c r="F1153" t="s">
        <v>16</v>
      </c>
      <c r="G1153">
        <v>31.76</v>
      </c>
      <c r="H1153">
        <v>61</v>
      </c>
      <c r="I1153" t="s">
        <v>17</v>
      </c>
      <c r="J1153" t="s">
        <v>37</v>
      </c>
      <c r="K1153" t="s">
        <v>64</v>
      </c>
      <c r="L1153">
        <v>162</v>
      </c>
      <c r="M1153" t="str">
        <f t="shared" si="34"/>
        <v>Medium</v>
      </c>
      <c r="N1153" t="str">
        <f t="shared" si="35"/>
        <v>Average</v>
      </c>
    </row>
    <row r="1154" spans="1:14">
      <c r="A1154" t="s">
        <v>48</v>
      </c>
      <c r="B1154">
        <v>2019</v>
      </c>
      <c r="C1154" t="s">
        <v>2694</v>
      </c>
      <c r="D1154" t="s">
        <v>33</v>
      </c>
      <c r="E1154" t="s">
        <v>2695</v>
      </c>
      <c r="F1154" t="s">
        <v>46</v>
      </c>
      <c r="G1154">
        <v>39.19</v>
      </c>
      <c r="H1154">
        <v>74</v>
      </c>
      <c r="I1154" t="s">
        <v>36</v>
      </c>
      <c r="J1154" t="s">
        <v>18</v>
      </c>
      <c r="K1154" t="s">
        <v>20</v>
      </c>
      <c r="L1154">
        <v>37</v>
      </c>
      <c r="M1154" t="str">
        <f t="shared" si="34"/>
        <v>High</v>
      </c>
      <c r="N1154" t="str">
        <f t="shared" si="35"/>
        <v>Average</v>
      </c>
    </row>
    <row r="1155" spans="1:14">
      <c r="A1155" t="s">
        <v>39</v>
      </c>
      <c r="B1155">
        <v>2021</v>
      </c>
      <c r="C1155" t="s">
        <v>2696</v>
      </c>
      <c r="D1155" t="s">
        <v>33</v>
      </c>
      <c r="E1155" t="s">
        <v>2697</v>
      </c>
      <c r="F1155" t="s">
        <v>57</v>
      </c>
      <c r="G1155">
        <v>8.92</v>
      </c>
      <c r="H1155">
        <v>84</v>
      </c>
      <c r="I1155" t="s">
        <v>23</v>
      </c>
      <c r="J1155" t="s">
        <v>37</v>
      </c>
      <c r="K1155" t="s">
        <v>441</v>
      </c>
      <c r="L1155">
        <v>126</v>
      </c>
      <c r="M1155" t="str">
        <f t="shared" ref="M1155:M1218" si="36">IF(G1155&lt;15,"Low",IF(G1155&lt;35,"Medium","High"))</f>
        <v>Low</v>
      </c>
      <c r="N1155" t="str">
        <f t="shared" ref="N1155:N1218" si="37">IF(H1155&gt;=90,"Excellent",IF(H1155&gt;=75,"Good","Average"))</f>
        <v>Good</v>
      </c>
    </row>
    <row r="1156" spans="1:14">
      <c r="A1156" t="s">
        <v>47</v>
      </c>
      <c r="B1156">
        <v>2017</v>
      </c>
      <c r="C1156" t="s">
        <v>2698</v>
      </c>
      <c r="D1156" t="s">
        <v>14</v>
      </c>
      <c r="E1156" t="s">
        <v>2699</v>
      </c>
      <c r="F1156" t="s">
        <v>16</v>
      </c>
      <c r="G1156">
        <v>29.35</v>
      </c>
      <c r="H1156">
        <v>76</v>
      </c>
      <c r="I1156" t="s">
        <v>61</v>
      </c>
      <c r="J1156" t="s">
        <v>37</v>
      </c>
      <c r="K1156" t="s">
        <v>12</v>
      </c>
      <c r="L1156">
        <v>97</v>
      </c>
      <c r="M1156" t="str">
        <f t="shared" si="36"/>
        <v>Medium</v>
      </c>
      <c r="N1156" t="str">
        <f t="shared" si="37"/>
        <v>Good</v>
      </c>
    </row>
    <row r="1157" spans="1:14">
      <c r="A1157" t="s">
        <v>12</v>
      </c>
      <c r="B1157">
        <v>2014</v>
      </c>
      <c r="C1157" t="s">
        <v>2700</v>
      </c>
      <c r="D1157" t="s">
        <v>33</v>
      </c>
      <c r="E1157" t="s">
        <v>2701</v>
      </c>
      <c r="F1157" t="s">
        <v>42</v>
      </c>
      <c r="G1157">
        <v>22</v>
      </c>
      <c r="H1157">
        <v>79</v>
      </c>
      <c r="I1157" t="s">
        <v>23</v>
      </c>
      <c r="J1157" t="s">
        <v>37</v>
      </c>
      <c r="K1157" t="s">
        <v>38</v>
      </c>
      <c r="L1157">
        <v>180</v>
      </c>
      <c r="M1157" t="str">
        <f t="shared" si="36"/>
        <v>Medium</v>
      </c>
      <c r="N1157" t="str">
        <f t="shared" si="37"/>
        <v>Good</v>
      </c>
    </row>
    <row r="1158" spans="1:14">
      <c r="A1158" t="s">
        <v>20</v>
      </c>
      <c r="B1158">
        <v>2001</v>
      </c>
      <c r="C1158" t="s">
        <v>2702</v>
      </c>
      <c r="D1158" t="s">
        <v>14</v>
      </c>
      <c r="E1158" t="s">
        <v>2703</v>
      </c>
      <c r="F1158" t="s">
        <v>42</v>
      </c>
      <c r="G1158">
        <v>8.26</v>
      </c>
      <c r="H1158">
        <v>54</v>
      </c>
      <c r="I1158" t="s">
        <v>23</v>
      </c>
      <c r="J1158" t="s">
        <v>37</v>
      </c>
      <c r="K1158" t="s">
        <v>68</v>
      </c>
      <c r="L1158">
        <v>234</v>
      </c>
      <c r="M1158" t="str">
        <f t="shared" si="36"/>
        <v>Low</v>
      </c>
      <c r="N1158" t="str">
        <f t="shared" si="37"/>
        <v>Average</v>
      </c>
    </row>
    <row r="1159" spans="1:14">
      <c r="A1159" t="s">
        <v>26</v>
      </c>
      <c r="B1159">
        <v>2015</v>
      </c>
      <c r="C1159" t="s">
        <v>2704</v>
      </c>
      <c r="D1159" t="s">
        <v>14</v>
      </c>
      <c r="E1159" t="s">
        <v>2705</v>
      </c>
      <c r="F1159" t="s">
        <v>42</v>
      </c>
      <c r="G1159">
        <v>0.82</v>
      </c>
      <c r="H1159">
        <v>76</v>
      </c>
      <c r="I1159" t="s">
        <v>23</v>
      </c>
      <c r="J1159" t="s">
        <v>24</v>
      </c>
      <c r="K1159" t="s">
        <v>2706</v>
      </c>
      <c r="L1159">
        <v>308</v>
      </c>
      <c r="M1159" t="str">
        <f t="shared" si="36"/>
        <v>Low</v>
      </c>
      <c r="N1159" t="str">
        <f t="shared" si="37"/>
        <v>Good</v>
      </c>
    </row>
    <row r="1160" spans="1:14">
      <c r="A1160" t="s">
        <v>48</v>
      </c>
      <c r="B1160">
        <v>2002</v>
      </c>
      <c r="C1160" t="s">
        <v>2707</v>
      </c>
      <c r="D1160" t="s">
        <v>14</v>
      </c>
      <c r="E1160" t="s">
        <v>2708</v>
      </c>
      <c r="F1160" t="s">
        <v>42</v>
      </c>
      <c r="G1160">
        <v>31.84</v>
      </c>
      <c r="H1160">
        <v>90</v>
      </c>
      <c r="I1160" t="s">
        <v>17</v>
      </c>
      <c r="J1160" t="s">
        <v>24</v>
      </c>
      <c r="K1160" t="s">
        <v>2709</v>
      </c>
      <c r="L1160">
        <v>185</v>
      </c>
      <c r="M1160" t="str">
        <f t="shared" si="36"/>
        <v>Medium</v>
      </c>
      <c r="N1160" t="str">
        <f t="shared" si="37"/>
        <v>Excellent</v>
      </c>
    </row>
    <row r="1161" spans="1:14">
      <c r="A1161" t="s">
        <v>68</v>
      </c>
      <c r="B1161">
        <v>2010</v>
      </c>
      <c r="C1161" t="s">
        <v>2710</v>
      </c>
      <c r="D1161" t="s">
        <v>14</v>
      </c>
      <c r="E1161" t="s">
        <v>2711</v>
      </c>
      <c r="F1161" t="s">
        <v>35</v>
      </c>
      <c r="G1161">
        <v>30.09</v>
      </c>
      <c r="H1161">
        <v>70</v>
      </c>
      <c r="I1161" t="s">
        <v>23</v>
      </c>
      <c r="J1161" t="s">
        <v>18</v>
      </c>
      <c r="K1161" t="s">
        <v>2712</v>
      </c>
      <c r="L1161">
        <v>272</v>
      </c>
      <c r="M1161" t="str">
        <f t="shared" si="36"/>
        <v>Medium</v>
      </c>
      <c r="N1161" t="str">
        <f t="shared" si="37"/>
        <v>Average</v>
      </c>
    </row>
    <row r="1162" spans="1:14">
      <c r="A1162" t="s">
        <v>31</v>
      </c>
      <c r="B1162">
        <v>2016</v>
      </c>
      <c r="C1162" t="s">
        <v>2713</v>
      </c>
      <c r="D1162" t="s">
        <v>33</v>
      </c>
      <c r="E1162" t="s">
        <v>2714</v>
      </c>
      <c r="F1162" t="s">
        <v>42</v>
      </c>
      <c r="G1162">
        <v>36.21</v>
      </c>
      <c r="H1162">
        <v>93</v>
      </c>
      <c r="I1162" t="s">
        <v>29</v>
      </c>
      <c r="J1162" t="s">
        <v>18</v>
      </c>
      <c r="K1162" t="s">
        <v>433</v>
      </c>
      <c r="L1162">
        <v>5</v>
      </c>
      <c r="M1162" t="str">
        <f t="shared" si="36"/>
        <v>High</v>
      </c>
      <c r="N1162" t="str">
        <f t="shared" si="37"/>
        <v>Excellent</v>
      </c>
    </row>
    <row r="1163" spans="1:14">
      <c r="A1163" t="s">
        <v>39</v>
      </c>
      <c r="B1163">
        <v>2018</v>
      </c>
      <c r="C1163" t="s">
        <v>2715</v>
      </c>
      <c r="D1163" t="s">
        <v>33</v>
      </c>
      <c r="E1163" t="s">
        <v>2716</v>
      </c>
      <c r="F1163" t="s">
        <v>46</v>
      </c>
      <c r="G1163">
        <v>44.05</v>
      </c>
      <c r="H1163">
        <v>56</v>
      </c>
      <c r="I1163" t="s">
        <v>23</v>
      </c>
      <c r="J1163" t="s">
        <v>24</v>
      </c>
      <c r="K1163" t="s">
        <v>26</v>
      </c>
      <c r="L1163">
        <v>345</v>
      </c>
      <c r="M1163" t="str">
        <f t="shared" si="36"/>
        <v>High</v>
      </c>
      <c r="N1163" t="str">
        <f t="shared" si="37"/>
        <v>Average</v>
      </c>
    </row>
    <row r="1164" spans="1:14">
      <c r="A1164" t="s">
        <v>47</v>
      </c>
      <c r="B1164">
        <v>2010</v>
      </c>
      <c r="C1164" t="s">
        <v>2717</v>
      </c>
      <c r="D1164" t="s">
        <v>33</v>
      </c>
      <c r="E1164" t="s">
        <v>2718</v>
      </c>
      <c r="F1164" t="s">
        <v>35</v>
      </c>
      <c r="G1164">
        <v>29.49</v>
      </c>
      <c r="H1164">
        <v>97</v>
      </c>
      <c r="I1164" t="s">
        <v>29</v>
      </c>
      <c r="J1164" t="s">
        <v>37</v>
      </c>
      <c r="K1164" t="s">
        <v>931</v>
      </c>
      <c r="L1164">
        <v>118</v>
      </c>
      <c r="M1164" t="str">
        <f t="shared" si="36"/>
        <v>Medium</v>
      </c>
      <c r="N1164" t="str">
        <f t="shared" si="37"/>
        <v>Excellent</v>
      </c>
    </row>
    <row r="1165" spans="1:14">
      <c r="A1165" t="s">
        <v>47</v>
      </c>
      <c r="B1165">
        <v>2012</v>
      </c>
      <c r="C1165" t="s">
        <v>2719</v>
      </c>
      <c r="D1165" t="s">
        <v>14</v>
      </c>
      <c r="E1165" t="s">
        <v>523</v>
      </c>
      <c r="F1165" t="s">
        <v>46</v>
      </c>
      <c r="G1165">
        <v>30.26</v>
      </c>
      <c r="H1165">
        <v>96</v>
      </c>
      <c r="I1165" t="s">
        <v>61</v>
      </c>
      <c r="J1165" t="s">
        <v>37</v>
      </c>
      <c r="K1165" t="s">
        <v>2125</v>
      </c>
      <c r="L1165">
        <v>10</v>
      </c>
      <c r="M1165" t="str">
        <f t="shared" si="36"/>
        <v>Medium</v>
      </c>
      <c r="N1165" t="str">
        <f t="shared" si="37"/>
        <v>Excellent</v>
      </c>
    </row>
    <row r="1166" spans="1:14">
      <c r="A1166" t="s">
        <v>48</v>
      </c>
      <c r="B1166">
        <v>2011</v>
      </c>
      <c r="C1166" t="s">
        <v>2720</v>
      </c>
      <c r="D1166" t="s">
        <v>14</v>
      </c>
      <c r="E1166" t="s">
        <v>2721</v>
      </c>
      <c r="F1166" t="s">
        <v>57</v>
      </c>
      <c r="G1166">
        <v>15.23</v>
      </c>
      <c r="H1166">
        <v>70</v>
      </c>
      <c r="I1166" t="s">
        <v>36</v>
      </c>
      <c r="J1166" t="s">
        <v>37</v>
      </c>
      <c r="K1166" t="s">
        <v>2722</v>
      </c>
      <c r="L1166">
        <v>248</v>
      </c>
      <c r="M1166" t="str">
        <f t="shared" si="36"/>
        <v>Medium</v>
      </c>
      <c r="N1166" t="str">
        <f t="shared" si="37"/>
        <v>Average</v>
      </c>
    </row>
    <row r="1167" spans="1:14">
      <c r="A1167" t="s">
        <v>12</v>
      </c>
      <c r="B1167">
        <v>2025</v>
      </c>
      <c r="C1167" t="s">
        <v>2723</v>
      </c>
      <c r="D1167" t="s">
        <v>33</v>
      </c>
      <c r="E1167" t="s">
        <v>2724</v>
      </c>
      <c r="F1167" t="s">
        <v>46</v>
      </c>
      <c r="G1167">
        <v>18.39</v>
      </c>
      <c r="H1167">
        <v>89</v>
      </c>
      <c r="I1167" t="s">
        <v>36</v>
      </c>
      <c r="J1167" t="s">
        <v>18</v>
      </c>
      <c r="K1167" t="s">
        <v>262</v>
      </c>
      <c r="L1167">
        <v>116</v>
      </c>
      <c r="M1167" t="str">
        <f t="shared" si="36"/>
        <v>Medium</v>
      </c>
      <c r="N1167" t="str">
        <f t="shared" si="37"/>
        <v>Good</v>
      </c>
    </row>
    <row r="1168" spans="1:14">
      <c r="A1168" t="s">
        <v>12</v>
      </c>
      <c r="B1168">
        <v>2008</v>
      </c>
      <c r="C1168" t="s">
        <v>2725</v>
      </c>
      <c r="D1168" t="s">
        <v>33</v>
      </c>
      <c r="E1168" t="s">
        <v>2726</v>
      </c>
      <c r="F1168" t="s">
        <v>16</v>
      </c>
      <c r="G1168">
        <v>29.35</v>
      </c>
      <c r="H1168">
        <v>77</v>
      </c>
      <c r="I1168" t="s">
        <v>61</v>
      </c>
      <c r="J1168" t="s">
        <v>24</v>
      </c>
      <c r="K1168" t="s">
        <v>2397</v>
      </c>
      <c r="L1168">
        <v>29</v>
      </c>
      <c r="M1168" t="str">
        <f t="shared" si="36"/>
        <v>Medium</v>
      </c>
      <c r="N1168" t="str">
        <f t="shared" si="37"/>
        <v>Good</v>
      </c>
    </row>
    <row r="1169" spans="1:14">
      <c r="A1169" t="s">
        <v>65</v>
      </c>
      <c r="B1169">
        <v>2018</v>
      </c>
      <c r="C1169" t="s">
        <v>2727</v>
      </c>
      <c r="D1169" t="s">
        <v>14</v>
      </c>
      <c r="E1169" t="s">
        <v>2728</v>
      </c>
      <c r="F1169" t="s">
        <v>42</v>
      </c>
      <c r="G1169">
        <v>41.18</v>
      </c>
      <c r="H1169">
        <v>98</v>
      </c>
      <c r="I1169" t="s">
        <v>61</v>
      </c>
      <c r="J1169" t="s">
        <v>37</v>
      </c>
      <c r="K1169" t="s">
        <v>12</v>
      </c>
      <c r="L1169">
        <v>69</v>
      </c>
      <c r="M1169" t="str">
        <f t="shared" si="36"/>
        <v>High</v>
      </c>
      <c r="N1169" t="str">
        <f t="shared" si="37"/>
        <v>Excellent</v>
      </c>
    </row>
    <row r="1170" spans="1:14">
      <c r="A1170" t="s">
        <v>20</v>
      </c>
      <c r="B1170">
        <v>2015</v>
      </c>
      <c r="C1170" t="s">
        <v>2729</v>
      </c>
      <c r="D1170" t="s">
        <v>14</v>
      </c>
      <c r="E1170" t="s">
        <v>2730</v>
      </c>
      <c r="F1170" t="s">
        <v>46</v>
      </c>
      <c r="G1170">
        <v>31.88</v>
      </c>
      <c r="H1170">
        <v>77</v>
      </c>
      <c r="I1170" t="s">
        <v>17</v>
      </c>
      <c r="J1170" t="s">
        <v>24</v>
      </c>
      <c r="K1170" t="s">
        <v>20</v>
      </c>
      <c r="L1170">
        <v>286</v>
      </c>
      <c r="M1170" t="str">
        <f t="shared" si="36"/>
        <v>Medium</v>
      </c>
      <c r="N1170" t="str">
        <f t="shared" si="37"/>
        <v>Good</v>
      </c>
    </row>
    <row r="1171" spans="1:14">
      <c r="A1171" t="s">
        <v>47</v>
      </c>
      <c r="B1171">
        <v>2022</v>
      </c>
      <c r="C1171" t="s">
        <v>2731</v>
      </c>
      <c r="D1171" t="s">
        <v>14</v>
      </c>
      <c r="E1171" t="s">
        <v>2732</v>
      </c>
      <c r="F1171" t="s">
        <v>16</v>
      </c>
      <c r="G1171">
        <v>28.06</v>
      </c>
      <c r="H1171">
        <v>52</v>
      </c>
      <c r="I1171" t="s">
        <v>17</v>
      </c>
      <c r="J1171" t="s">
        <v>18</v>
      </c>
      <c r="K1171" t="s">
        <v>1172</v>
      </c>
      <c r="L1171">
        <v>64</v>
      </c>
      <c r="M1171" t="str">
        <f t="shared" si="36"/>
        <v>Medium</v>
      </c>
      <c r="N1171" t="str">
        <f t="shared" si="37"/>
        <v>Average</v>
      </c>
    </row>
    <row r="1172" spans="1:14">
      <c r="A1172" t="s">
        <v>12</v>
      </c>
      <c r="B1172">
        <v>2005</v>
      </c>
      <c r="C1172" t="s">
        <v>2733</v>
      </c>
      <c r="D1172" t="s">
        <v>14</v>
      </c>
      <c r="E1172" t="s">
        <v>2734</v>
      </c>
      <c r="F1172" t="s">
        <v>57</v>
      </c>
      <c r="G1172">
        <v>11.64</v>
      </c>
      <c r="H1172">
        <v>74</v>
      </c>
      <c r="I1172" t="s">
        <v>29</v>
      </c>
      <c r="J1172" t="s">
        <v>37</v>
      </c>
      <c r="K1172" t="s">
        <v>2735</v>
      </c>
      <c r="L1172">
        <v>351</v>
      </c>
      <c r="M1172" t="str">
        <f t="shared" si="36"/>
        <v>Low</v>
      </c>
      <c r="N1172" t="str">
        <f t="shared" si="37"/>
        <v>Average</v>
      </c>
    </row>
    <row r="1173" spans="1:14">
      <c r="A1173" t="s">
        <v>68</v>
      </c>
      <c r="B1173">
        <v>2010</v>
      </c>
      <c r="C1173" t="s">
        <v>2736</v>
      </c>
      <c r="D1173" t="s">
        <v>33</v>
      </c>
      <c r="E1173" t="s">
        <v>2737</v>
      </c>
      <c r="F1173" t="s">
        <v>57</v>
      </c>
      <c r="G1173">
        <v>21.23</v>
      </c>
      <c r="H1173">
        <v>61</v>
      </c>
      <c r="I1173" t="s">
        <v>36</v>
      </c>
      <c r="J1173" t="s">
        <v>18</v>
      </c>
      <c r="K1173" t="s">
        <v>31</v>
      </c>
      <c r="L1173">
        <v>339</v>
      </c>
      <c r="M1173" t="str">
        <f t="shared" si="36"/>
        <v>Medium</v>
      </c>
      <c r="N1173" t="str">
        <f t="shared" si="37"/>
        <v>Average</v>
      </c>
    </row>
    <row r="1174" spans="1:14">
      <c r="A1174" t="s">
        <v>47</v>
      </c>
      <c r="B1174">
        <v>2013</v>
      </c>
      <c r="C1174" t="s">
        <v>2738</v>
      </c>
      <c r="D1174" t="s">
        <v>33</v>
      </c>
      <c r="E1174" t="s">
        <v>2739</v>
      </c>
      <c r="F1174" t="s">
        <v>35</v>
      </c>
      <c r="G1174">
        <v>35.369999999999997</v>
      </c>
      <c r="H1174">
        <v>93</v>
      </c>
      <c r="I1174" t="s">
        <v>61</v>
      </c>
      <c r="J1174" t="s">
        <v>37</v>
      </c>
      <c r="K1174" t="s">
        <v>209</v>
      </c>
      <c r="L1174">
        <v>365</v>
      </c>
      <c r="M1174" t="str">
        <f t="shared" si="36"/>
        <v>High</v>
      </c>
      <c r="N1174" t="str">
        <f t="shared" si="37"/>
        <v>Excellent</v>
      </c>
    </row>
    <row r="1175" spans="1:14">
      <c r="A1175" t="s">
        <v>20</v>
      </c>
      <c r="B1175">
        <v>2019</v>
      </c>
      <c r="C1175" t="s">
        <v>2740</v>
      </c>
      <c r="D1175" t="s">
        <v>33</v>
      </c>
      <c r="E1175" t="s">
        <v>2741</v>
      </c>
      <c r="F1175" t="s">
        <v>57</v>
      </c>
      <c r="G1175">
        <v>30.97</v>
      </c>
      <c r="H1175">
        <v>61</v>
      </c>
      <c r="I1175" t="s">
        <v>36</v>
      </c>
      <c r="J1175" t="s">
        <v>24</v>
      </c>
      <c r="K1175" t="s">
        <v>926</v>
      </c>
      <c r="L1175">
        <v>209</v>
      </c>
      <c r="M1175" t="str">
        <f t="shared" si="36"/>
        <v>Medium</v>
      </c>
      <c r="N1175" t="str">
        <f t="shared" si="37"/>
        <v>Average</v>
      </c>
    </row>
    <row r="1176" spans="1:14">
      <c r="A1176" t="s">
        <v>48</v>
      </c>
      <c r="B1176">
        <v>2006</v>
      </c>
      <c r="C1176" t="s">
        <v>2742</v>
      </c>
      <c r="D1176" t="s">
        <v>14</v>
      </c>
      <c r="E1176" t="s">
        <v>2743</v>
      </c>
      <c r="F1176" t="s">
        <v>57</v>
      </c>
      <c r="G1176">
        <v>46.78</v>
      </c>
      <c r="H1176">
        <v>75</v>
      </c>
      <c r="I1176" t="s">
        <v>23</v>
      </c>
      <c r="J1176" t="s">
        <v>37</v>
      </c>
      <c r="K1176" t="s">
        <v>1260</v>
      </c>
      <c r="L1176">
        <v>51</v>
      </c>
      <c r="M1176" t="str">
        <f t="shared" si="36"/>
        <v>High</v>
      </c>
      <c r="N1176" t="str">
        <f t="shared" si="37"/>
        <v>Good</v>
      </c>
    </row>
    <row r="1177" spans="1:14">
      <c r="A1177" t="s">
        <v>39</v>
      </c>
      <c r="B1177">
        <v>2010</v>
      </c>
      <c r="C1177" t="s">
        <v>2744</v>
      </c>
      <c r="D1177" t="s">
        <v>14</v>
      </c>
      <c r="E1177" t="s">
        <v>2745</v>
      </c>
      <c r="F1177" t="s">
        <v>57</v>
      </c>
      <c r="G1177">
        <v>8.01</v>
      </c>
      <c r="H1177">
        <v>86</v>
      </c>
      <c r="I1177" t="s">
        <v>17</v>
      </c>
      <c r="J1177" t="s">
        <v>24</v>
      </c>
      <c r="K1177" t="s">
        <v>2110</v>
      </c>
      <c r="L1177">
        <v>139</v>
      </c>
      <c r="M1177" t="str">
        <f t="shared" si="36"/>
        <v>Low</v>
      </c>
      <c r="N1177" t="str">
        <f t="shared" si="37"/>
        <v>Good</v>
      </c>
    </row>
    <row r="1178" spans="1:14">
      <c r="A1178" t="s">
        <v>31</v>
      </c>
      <c r="B1178">
        <v>2010</v>
      </c>
      <c r="C1178" t="s">
        <v>2746</v>
      </c>
      <c r="D1178" t="s">
        <v>14</v>
      </c>
      <c r="E1178" t="s">
        <v>2747</v>
      </c>
      <c r="F1178" t="s">
        <v>35</v>
      </c>
      <c r="G1178">
        <v>16.14</v>
      </c>
      <c r="H1178">
        <v>100</v>
      </c>
      <c r="I1178" t="s">
        <v>23</v>
      </c>
      <c r="J1178" t="s">
        <v>18</v>
      </c>
      <c r="K1178" t="s">
        <v>2748</v>
      </c>
      <c r="L1178">
        <v>210</v>
      </c>
      <c r="M1178" t="str">
        <f t="shared" si="36"/>
        <v>Medium</v>
      </c>
      <c r="N1178" t="str">
        <f t="shared" si="37"/>
        <v>Excellent</v>
      </c>
    </row>
    <row r="1179" spans="1:14">
      <c r="A1179" t="s">
        <v>68</v>
      </c>
      <c r="B1179">
        <v>2016</v>
      </c>
      <c r="C1179" t="s">
        <v>2749</v>
      </c>
      <c r="D1179" t="s">
        <v>14</v>
      </c>
      <c r="E1179" t="s">
        <v>2750</v>
      </c>
      <c r="F1179" t="s">
        <v>35</v>
      </c>
      <c r="G1179">
        <v>35.46</v>
      </c>
      <c r="H1179">
        <v>62</v>
      </c>
      <c r="I1179" t="s">
        <v>17</v>
      </c>
      <c r="J1179" t="s">
        <v>37</v>
      </c>
      <c r="K1179" t="s">
        <v>31</v>
      </c>
      <c r="L1179">
        <v>10</v>
      </c>
      <c r="M1179" t="str">
        <f t="shared" si="36"/>
        <v>High</v>
      </c>
      <c r="N1179" t="str">
        <f t="shared" si="37"/>
        <v>Average</v>
      </c>
    </row>
    <row r="1180" spans="1:14">
      <c r="A1180" t="s">
        <v>12</v>
      </c>
      <c r="B1180">
        <v>2002</v>
      </c>
      <c r="C1180" t="s">
        <v>2751</v>
      </c>
      <c r="D1180" t="s">
        <v>14</v>
      </c>
      <c r="E1180" t="s">
        <v>2752</v>
      </c>
      <c r="F1180" t="s">
        <v>57</v>
      </c>
      <c r="G1180">
        <v>12.19</v>
      </c>
      <c r="H1180">
        <v>56</v>
      </c>
      <c r="I1180" t="s">
        <v>36</v>
      </c>
      <c r="J1180" t="s">
        <v>18</v>
      </c>
      <c r="K1180" t="s">
        <v>12</v>
      </c>
      <c r="L1180">
        <v>265</v>
      </c>
      <c r="M1180" t="str">
        <f t="shared" si="36"/>
        <v>Low</v>
      </c>
      <c r="N1180" t="str">
        <f t="shared" si="37"/>
        <v>Average</v>
      </c>
    </row>
    <row r="1181" spans="1:14">
      <c r="A1181" t="s">
        <v>31</v>
      </c>
      <c r="B1181">
        <v>2010</v>
      </c>
      <c r="C1181" t="s">
        <v>2753</v>
      </c>
      <c r="D1181" t="s">
        <v>14</v>
      </c>
      <c r="E1181" t="s">
        <v>2754</v>
      </c>
      <c r="F1181" t="s">
        <v>46</v>
      </c>
      <c r="G1181">
        <v>5.73</v>
      </c>
      <c r="H1181">
        <v>70</v>
      </c>
      <c r="I1181" t="s">
        <v>36</v>
      </c>
      <c r="J1181" t="s">
        <v>24</v>
      </c>
      <c r="K1181" t="s">
        <v>286</v>
      </c>
      <c r="L1181">
        <v>8</v>
      </c>
      <c r="M1181" t="str">
        <f t="shared" si="36"/>
        <v>Low</v>
      </c>
      <c r="N1181" t="str">
        <f t="shared" si="37"/>
        <v>Average</v>
      </c>
    </row>
    <row r="1182" spans="1:14">
      <c r="A1182" t="s">
        <v>20</v>
      </c>
      <c r="B1182">
        <v>2016</v>
      </c>
      <c r="C1182" t="s">
        <v>2755</v>
      </c>
      <c r="D1182" t="s">
        <v>33</v>
      </c>
      <c r="E1182" t="s">
        <v>2756</v>
      </c>
      <c r="F1182" t="s">
        <v>46</v>
      </c>
      <c r="G1182">
        <v>28.75</v>
      </c>
      <c r="H1182">
        <v>92</v>
      </c>
      <c r="I1182" t="s">
        <v>23</v>
      </c>
      <c r="J1182" t="s">
        <v>37</v>
      </c>
      <c r="K1182" t="s">
        <v>26</v>
      </c>
      <c r="L1182">
        <v>252</v>
      </c>
      <c r="M1182" t="str">
        <f t="shared" si="36"/>
        <v>Medium</v>
      </c>
      <c r="N1182" t="str">
        <f t="shared" si="37"/>
        <v>Excellent</v>
      </c>
    </row>
    <row r="1183" spans="1:14">
      <c r="A1183" t="s">
        <v>20</v>
      </c>
      <c r="B1183">
        <v>2014</v>
      </c>
      <c r="C1183" t="s">
        <v>2757</v>
      </c>
      <c r="D1183" t="s">
        <v>14</v>
      </c>
      <c r="E1183" t="s">
        <v>2758</v>
      </c>
      <c r="F1183" t="s">
        <v>42</v>
      </c>
      <c r="G1183">
        <v>49.71</v>
      </c>
      <c r="H1183">
        <v>95</v>
      </c>
      <c r="I1183" t="s">
        <v>61</v>
      </c>
      <c r="J1183" t="s">
        <v>18</v>
      </c>
      <c r="K1183" t="s">
        <v>2759</v>
      </c>
      <c r="L1183">
        <v>161</v>
      </c>
      <c r="M1183" t="str">
        <f t="shared" si="36"/>
        <v>High</v>
      </c>
      <c r="N1183" t="str">
        <f t="shared" si="37"/>
        <v>Excellent</v>
      </c>
    </row>
    <row r="1184" spans="1:14">
      <c r="A1184" t="s">
        <v>47</v>
      </c>
      <c r="B1184">
        <v>2004</v>
      </c>
      <c r="C1184" t="s">
        <v>2760</v>
      </c>
      <c r="D1184" t="s">
        <v>14</v>
      </c>
      <c r="E1184" t="s">
        <v>350</v>
      </c>
      <c r="F1184" t="s">
        <v>57</v>
      </c>
      <c r="G1184">
        <v>30.49</v>
      </c>
      <c r="H1184">
        <v>76</v>
      </c>
      <c r="I1184" t="s">
        <v>61</v>
      </c>
      <c r="J1184" t="s">
        <v>37</v>
      </c>
      <c r="K1184" t="s">
        <v>20</v>
      </c>
      <c r="L1184">
        <v>297</v>
      </c>
      <c r="M1184" t="str">
        <f t="shared" si="36"/>
        <v>Medium</v>
      </c>
      <c r="N1184" t="str">
        <f t="shared" si="37"/>
        <v>Good</v>
      </c>
    </row>
    <row r="1185" spans="1:14">
      <c r="A1185" t="s">
        <v>38</v>
      </c>
      <c r="B1185">
        <v>2011</v>
      </c>
      <c r="C1185" t="s">
        <v>2761</v>
      </c>
      <c r="D1185" t="s">
        <v>14</v>
      </c>
      <c r="E1185" t="s">
        <v>2762</v>
      </c>
      <c r="F1185" t="s">
        <v>46</v>
      </c>
      <c r="G1185">
        <v>1.08</v>
      </c>
      <c r="H1185">
        <v>50</v>
      </c>
      <c r="I1185" t="s">
        <v>23</v>
      </c>
      <c r="J1185" t="s">
        <v>37</v>
      </c>
      <c r="K1185" t="s">
        <v>292</v>
      </c>
      <c r="L1185">
        <v>173</v>
      </c>
      <c r="M1185" t="str">
        <f t="shared" si="36"/>
        <v>Low</v>
      </c>
      <c r="N1185" t="str">
        <f t="shared" si="37"/>
        <v>Average</v>
      </c>
    </row>
    <row r="1186" spans="1:14">
      <c r="A1186" t="s">
        <v>31</v>
      </c>
      <c r="B1186">
        <v>2001</v>
      </c>
      <c r="C1186" t="s">
        <v>2763</v>
      </c>
      <c r="D1186" t="s">
        <v>33</v>
      </c>
      <c r="E1186" t="s">
        <v>2764</v>
      </c>
      <c r="F1186" t="s">
        <v>57</v>
      </c>
      <c r="G1186">
        <v>41.11</v>
      </c>
      <c r="H1186">
        <v>88</v>
      </c>
      <c r="I1186" t="s">
        <v>36</v>
      </c>
      <c r="J1186" t="s">
        <v>18</v>
      </c>
      <c r="K1186" t="s">
        <v>433</v>
      </c>
      <c r="L1186">
        <v>256</v>
      </c>
      <c r="M1186" t="str">
        <f t="shared" si="36"/>
        <v>High</v>
      </c>
      <c r="N1186" t="str">
        <f t="shared" si="37"/>
        <v>Good</v>
      </c>
    </row>
    <row r="1187" spans="1:14">
      <c r="A1187" t="s">
        <v>68</v>
      </c>
      <c r="B1187">
        <v>2008</v>
      </c>
      <c r="C1187" t="s">
        <v>2765</v>
      </c>
      <c r="D1187" t="s">
        <v>14</v>
      </c>
      <c r="E1187" t="s">
        <v>2766</v>
      </c>
      <c r="F1187" t="s">
        <v>57</v>
      </c>
      <c r="G1187">
        <v>37.25</v>
      </c>
      <c r="H1187">
        <v>54</v>
      </c>
      <c r="I1187" t="s">
        <v>23</v>
      </c>
      <c r="J1187" t="s">
        <v>24</v>
      </c>
      <c r="K1187" t="s">
        <v>2066</v>
      </c>
      <c r="L1187">
        <v>280</v>
      </c>
      <c r="M1187" t="str">
        <f t="shared" si="36"/>
        <v>High</v>
      </c>
      <c r="N1187" t="str">
        <f t="shared" si="37"/>
        <v>Average</v>
      </c>
    </row>
    <row r="1188" spans="1:14">
      <c r="A1188" t="s">
        <v>48</v>
      </c>
      <c r="B1188">
        <v>2010</v>
      </c>
      <c r="C1188" t="s">
        <v>2767</v>
      </c>
      <c r="D1188" t="s">
        <v>14</v>
      </c>
      <c r="E1188" t="s">
        <v>2768</v>
      </c>
      <c r="F1188" t="s">
        <v>57</v>
      </c>
      <c r="G1188">
        <v>39.96</v>
      </c>
      <c r="H1188">
        <v>77</v>
      </c>
      <c r="I1188" t="s">
        <v>23</v>
      </c>
      <c r="J1188" t="s">
        <v>37</v>
      </c>
      <c r="K1188" t="s">
        <v>2100</v>
      </c>
      <c r="L1188">
        <v>258</v>
      </c>
      <c r="M1188" t="str">
        <f t="shared" si="36"/>
        <v>High</v>
      </c>
      <c r="N1188" t="str">
        <f t="shared" si="37"/>
        <v>Good</v>
      </c>
    </row>
    <row r="1189" spans="1:14">
      <c r="A1189" t="s">
        <v>12</v>
      </c>
      <c r="B1189">
        <v>2025</v>
      </c>
      <c r="C1189" t="s">
        <v>2769</v>
      </c>
      <c r="D1189" t="s">
        <v>33</v>
      </c>
      <c r="E1189" t="s">
        <v>2770</v>
      </c>
      <c r="F1189" t="s">
        <v>16</v>
      </c>
      <c r="G1189">
        <v>12.25</v>
      </c>
      <c r="H1189">
        <v>92</v>
      </c>
      <c r="I1189" t="s">
        <v>29</v>
      </c>
      <c r="J1189" t="s">
        <v>24</v>
      </c>
      <c r="K1189" t="s">
        <v>26</v>
      </c>
      <c r="L1189">
        <v>76</v>
      </c>
      <c r="M1189" t="str">
        <f t="shared" si="36"/>
        <v>Low</v>
      </c>
      <c r="N1189" t="str">
        <f t="shared" si="37"/>
        <v>Excellent</v>
      </c>
    </row>
    <row r="1190" spans="1:14">
      <c r="A1190" t="s">
        <v>31</v>
      </c>
      <c r="B1190">
        <v>2015</v>
      </c>
      <c r="C1190" t="s">
        <v>2771</v>
      </c>
      <c r="D1190" t="s">
        <v>14</v>
      </c>
      <c r="E1190" t="s">
        <v>500</v>
      </c>
      <c r="F1190" t="s">
        <v>35</v>
      </c>
      <c r="G1190">
        <v>10.65</v>
      </c>
      <c r="H1190">
        <v>61</v>
      </c>
      <c r="I1190" t="s">
        <v>17</v>
      </c>
      <c r="J1190" t="s">
        <v>24</v>
      </c>
      <c r="K1190" t="s">
        <v>68</v>
      </c>
      <c r="L1190">
        <v>186</v>
      </c>
      <c r="M1190" t="str">
        <f t="shared" si="36"/>
        <v>Low</v>
      </c>
      <c r="N1190" t="str">
        <f t="shared" si="37"/>
        <v>Average</v>
      </c>
    </row>
    <row r="1191" spans="1:14">
      <c r="A1191" t="s">
        <v>68</v>
      </c>
      <c r="B1191">
        <v>2010</v>
      </c>
      <c r="C1191" t="s">
        <v>2772</v>
      </c>
      <c r="D1191" t="s">
        <v>33</v>
      </c>
      <c r="E1191" t="s">
        <v>2773</v>
      </c>
      <c r="F1191" t="s">
        <v>57</v>
      </c>
      <c r="G1191">
        <v>9.17</v>
      </c>
      <c r="H1191">
        <v>50</v>
      </c>
      <c r="I1191" t="s">
        <v>36</v>
      </c>
      <c r="J1191" t="s">
        <v>18</v>
      </c>
      <c r="K1191" t="s">
        <v>47</v>
      </c>
      <c r="L1191">
        <v>236</v>
      </c>
      <c r="M1191" t="str">
        <f t="shared" si="36"/>
        <v>Low</v>
      </c>
      <c r="N1191" t="str">
        <f t="shared" si="37"/>
        <v>Average</v>
      </c>
    </row>
    <row r="1192" spans="1:14">
      <c r="A1192" t="s">
        <v>12</v>
      </c>
      <c r="B1192">
        <v>2014</v>
      </c>
      <c r="C1192" t="s">
        <v>2774</v>
      </c>
      <c r="D1192" t="s">
        <v>33</v>
      </c>
      <c r="E1192" t="s">
        <v>2775</v>
      </c>
      <c r="F1192" t="s">
        <v>46</v>
      </c>
      <c r="G1192">
        <v>8.68</v>
      </c>
      <c r="H1192">
        <v>64</v>
      </c>
      <c r="I1192" t="s">
        <v>23</v>
      </c>
      <c r="J1192" t="s">
        <v>24</v>
      </c>
      <c r="K1192" t="s">
        <v>2503</v>
      </c>
      <c r="L1192">
        <v>154</v>
      </c>
      <c r="M1192" t="str">
        <f t="shared" si="36"/>
        <v>Low</v>
      </c>
      <c r="N1192" t="str">
        <f t="shared" si="37"/>
        <v>Average</v>
      </c>
    </row>
    <row r="1193" spans="1:14">
      <c r="A1193" t="s">
        <v>26</v>
      </c>
      <c r="B1193">
        <v>2024</v>
      </c>
      <c r="C1193" t="s">
        <v>2776</v>
      </c>
      <c r="D1193" t="s">
        <v>14</v>
      </c>
      <c r="E1193" t="s">
        <v>2777</v>
      </c>
      <c r="F1193" t="s">
        <v>16</v>
      </c>
      <c r="G1193">
        <v>20.72</v>
      </c>
      <c r="H1193">
        <v>98</v>
      </c>
      <c r="I1193" t="s">
        <v>17</v>
      </c>
      <c r="J1193" t="s">
        <v>24</v>
      </c>
      <c r="K1193" t="s">
        <v>752</v>
      </c>
      <c r="L1193">
        <v>142</v>
      </c>
      <c r="M1193" t="str">
        <f t="shared" si="36"/>
        <v>Medium</v>
      </c>
      <c r="N1193" t="str">
        <f t="shared" si="37"/>
        <v>Excellent</v>
      </c>
    </row>
    <row r="1194" spans="1:14">
      <c r="A1194" t="s">
        <v>68</v>
      </c>
      <c r="B1194">
        <v>2000</v>
      </c>
      <c r="C1194" t="s">
        <v>2778</v>
      </c>
      <c r="D1194" t="s">
        <v>33</v>
      </c>
      <c r="E1194" t="s">
        <v>2779</v>
      </c>
      <c r="F1194" t="s">
        <v>57</v>
      </c>
      <c r="G1194">
        <v>0.86</v>
      </c>
      <c r="H1194">
        <v>74</v>
      </c>
      <c r="I1194" t="s">
        <v>29</v>
      </c>
      <c r="J1194" t="s">
        <v>18</v>
      </c>
      <c r="K1194" t="s">
        <v>48</v>
      </c>
      <c r="L1194">
        <v>104</v>
      </c>
      <c r="M1194" t="str">
        <f t="shared" si="36"/>
        <v>Low</v>
      </c>
      <c r="N1194" t="str">
        <f t="shared" si="37"/>
        <v>Average</v>
      </c>
    </row>
    <row r="1195" spans="1:14">
      <c r="A1195" t="s">
        <v>39</v>
      </c>
      <c r="B1195">
        <v>2009</v>
      </c>
      <c r="C1195" t="s">
        <v>2780</v>
      </c>
      <c r="D1195" t="s">
        <v>33</v>
      </c>
      <c r="E1195" t="s">
        <v>2781</v>
      </c>
      <c r="F1195" t="s">
        <v>46</v>
      </c>
      <c r="G1195">
        <v>5.44</v>
      </c>
      <c r="H1195">
        <v>60</v>
      </c>
      <c r="I1195" t="s">
        <v>17</v>
      </c>
      <c r="J1195" t="s">
        <v>18</v>
      </c>
      <c r="K1195" t="s">
        <v>2782</v>
      </c>
      <c r="L1195">
        <v>175</v>
      </c>
      <c r="M1195" t="str">
        <f t="shared" si="36"/>
        <v>Low</v>
      </c>
      <c r="N1195" t="str">
        <f t="shared" si="37"/>
        <v>Average</v>
      </c>
    </row>
    <row r="1196" spans="1:14">
      <c r="A1196" t="s">
        <v>39</v>
      </c>
      <c r="B1196">
        <v>2008</v>
      </c>
      <c r="C1196" t="s">
        <v>2783</v>
      </c>
      <c r="D1196" t="s">
        <v>33</v>
      </c>
      <c r="E1196" t="s">
        <v>2784</v>
      </c>
      <c r="F1196" t="s">
        <v>35</v>
      </c>
      <c r="G1196">
        <v>46.33</v>
      </c>
      <c r="H1196">
        <v>100</v>
      </c>
      <c r="I1196" t="s">
        <v>61</v>
      </c>
      <c r="J1196" t="s">
        <v>37</v>
      </c>
      <c r="K1196" t="s">
        <v>48</v>
      </c>
      <c r="L1196">
        <v>157</v>
      </c>
      <c r="M1196" t="str">
        <f t="shared" si="36"/>
        <v>High</v>
      </c>
      <c r="N1196" t="str">
        <f t="shared" si="37"/>
        <v>Excellent</v>
      </c>
    </row>
    <row r="1197" spans="1:14">
      <c r="A1197" t="s">
        <v>48</v>
      </c>
      <c r="B1197">
        <v>2005</v>
      </c>
      <c r="C1197" t="s">
        <v>2785</v>
      </c>
      <c r="D1197" t="s">
        <v>33</v>
      </c>
      <c r="E1197" t="s">
        <v>2786</v>
      </c>
      <c r="F1197" t="s">
        <v>35</v>
      </c>
      <c r="G1197">
        <v>45.54</v>
      </c>
      <c r="H1197">
        <v>61</v>
      </c>
      <c r="I1197" t="s">
        <v>17</v>
      </c>
      <c r="J1197" t="s">
        <v>18</v>
      </c>
      <c r="K1197" t="s">
        <v>54</v>
      </c>
      <c r="L1197">
        <v>116</v>
      </c>
      <c r="M1197" t="str">
        <f t="shared" si="36"/>
        <v>High</v>
      </c>
      <c r="N1197" t="str">
        <f t="shared" si="37"/>
        <v>Average</v>
      </c>
    </row>
    <row r="1198" spans="1:14">
      <c r="A1198" t="s">
        <v>20</v>
      </c>
      <c r="B1198">
        <v>2001</v>
      </c>
      <c r="C1198" t="s">
        <v>2787</v>
      </c>
      <c r="D1198" t="s">
        <v>14</v>
      </c>
      <c r="E1198" t="s">
        <v>2788</v>
      </c>
      <c r="F1198" t="s">
        <v>16</v>
      </c>
      <c r="G1198">
        <v>35.5</v>
      </c>
      <c r="H1198">
        <v>73</v>
      </c>
      <c r="I1198" t="s">
        <v>29</v>
      </c>
      <c r="J1198" t="s">
        <v>18</v>
      </c>
      <c r="K1198" t="s">
        <v>146</v>
      </c>
      <c r="L1198">
        <v>38</v>
      </c>
      <c r="M1198" t="str">
        <f t="shared" si="36"/>
        <v>High</v>
      </c>
      <c r="N1198" t="str">
        <f t="shared" si="37"/>
        <v>Average</v>
      </c>
    </row>
    <row r="1199" spans="1:14">
      <c r="A1199" t="s">
        <v>48</v>
      </c>
      <c r="B1199">
        <v>2012</v>
      </c>
      <c r="C1199" t="s">
        <v>2789</v>
      </c>
      <c r="D1199" t="s">
        <v>33</v>
      </c>
      <c r="E1199" t="s">
        <v>2790</v>
      </c>
      <c r="F1199" t="s">
        <v>46</v>
      </c>
      <c r="G1199">
        <v>1.2</v>
      </c>
      <c r="H1199">
        <v>76</v>
      </c>
      <c r="I1199" t="s">
        <v>17</v>
      </c>
      <c r="J1199" t="s">
        <v>24</v>
      </c>
      <c r="K1199" t="s">
        <v>65</v>
      </c>
      <c r="L1199">
        <v>315</v>
      </c>
      <c r="M1199" t="str">
        <f t="shared" si="36"/>
        <v>Low</v>
      </c>
      <c r="N1199" t="str">
        <f t="shared" si="37"/>
        <v>Good</v>
      </c>
    </row>
    <row r="1200" spans="1:14">
      <c r="A1200" t="s">
        <v>31</v>
      </c>
      <c r="B1200">
        <v>2011</v>
      </c>
      <c r="C1200" t="s">
        <v>2791</v>
      </c>
      <c r="D1200" t="s">
        <v>14</v>
      </c>
      <c r="E1200" t="s">
        <v>2792</v>
      </c>
      <c r="F1200" t="s">
        <v>46</v>
      </c>
      <c r="G1200">
        <v>48.21</v>
      </c>
      <c r="H1200">
        <v>77</v>
      </c>
      <c r="I1200" t="s">
        <v>29</v>
      </c>
      <c r="J1200" t="s">
        <v>18</v>
      </c>
      <c r="K1200" t="s">
        <v>68</v>
      </c>
      <c r="L1200">
        <v>287</v>
      </c>
      <c r="M1200" t="str">
        <f t="shared" si="36"/>
        <v>High</v>
      </c>
      <c r="N1200" t="str">
        <f t="shared" si="37"/>
        <v>Good</v>
      </c>
    </row>
    <row r="1201" spans="1:14">
      <c r="A1201" t="s">
        <v>47</v>
      </c>
      <c r="B1201">
        <v>2002</v>
      </c>
      <c r="C1201" t="s">
        <v>2793</v>
      </c>
      <c r="D1201" t="s">
        <v>33</v>
      </c>
      <c r="E1201" t="s">
        <v>2794</v>
      </c>
      <c r="F1201" t="s">
        <v>35</v>
      </c>
      <c r="G1201">
        <v>19.82</v>
      </c>
      <c r="H1201">
        <v>74</v>
      </c>
      <c r="I1201" t="s">
        <v>29</v>
      </c>
      <c r="J1201" t="s">
        <v>37</v>
      </c>
      <c r="K1201" t="s">
        <v>2795</v>
      </c>
      <c r="L1201">
        <v>217</v>
      </c>
      <c r="M1201" t="str">
        <f t="shared" si="36"/>
        <v>Medium</v>
      </c>
      <c r="N1201" t="str">
        <f t="shared" si="37"/>
        <v>Average</v>
      </c>
    </row>
    <row r="1202" spans="1:14">
      <c r="A1202" t="s">
        <v>65</v>
      </c>
      <c r="B1202">
        <v>2024</v>
      </c>
      <c r="C1202" t="s">
        <v>2796</v>
      </c>
      <c r="D1202" t="s">
        <v>33</v>
      </c>
      <c r="E1202" t="s">
        <v>2797</v>
      </c>
      <c r="F1202" t="s">
        <v>42</v>
      </c>
      <c r="G1202">
        <v>48.74</v>
      </c>
      <c r="H1202">
        <v>50</v>
      </c>
      <c r="I1202" t="s">
        <v>17</v>
      </c>
      <c r="J1202" t="s">
        <v>37</v>
      </c>
      <c r="K1202" t="s">
        <v>430</v>
      </c>
      <c r="L1202">
        <v>322</v>
      </c>
      <c r="M1202" t="str">
        <f t="shared" si="36"/>
        <v>High</v>
      </c>
      <c r="N1202" t="str">
        <f t="shared" si="37"/>
        <v>Average</v>
      </c>
    </row>
    <row r="1203" spans="1:14">
      <c r="A1203" t="s">
        <v>48</v>
      </c>
      <c r="B1203">
        <v>2021</v>
      </c>
      <c r="C1203" t="s">
        <v>2798</v>
      </c>
      <c r="D1203" t="s">
        <v>14</v>
      </c>
      <c r="E1203" t="s">
        <v>2799</v>
      </c>
      <c r="F1203" t="s">
        <v>46</v>
      </c>
      <c r="G1203">
        <v>26.93</v>
      </c>
      <c r="H1203">
        <v>90</v>
      </c>
      <c r="I1203" t="s">
        <v>61</v>
      </c>
      <c r="J1203" t="s">
        <v>18</v>
      </c>
      <c r="K1203" t="s">
        <v>795</v>
      </c>
      <c r="L1203">
        <v>92</v>
      </c>
      <c r="M1203" t="str">
        <f t="shared" si="36"/>
        <v>Medium</v>
      </c>
      <c r="N1203" t="str">
        <f t="shared" si="37"/>
        <v>Excellent</v>
      </c>
    </row>
    <row r="1204" spans="1:14">
      <c r="A1204" t="s">
        <v>26</v>
      </c>
      <c r="B1204">
        <v>2021</v>
      </c>
      <c r="C1204" t="s">
        <v>2800</v>
      </c>
      <c r="D1204" t="s">
        <v>14</v>
      </c>
      <c r="E1204" t="s">
        <v>2801</v>
      </c>
      <c r="F1204" t="s">
        <v>16</v>
      </c>
      <c r="G1204">
        <v>40.74</v>
      </c>
      <c r="H1204">
        <v>70</v>
      </c>
      <c r="I1204" t="s">
        <v>61</v>
      </c>
      <c r="J1204" t="s">
        <v>24</v>
      </c>
      <c r="K1204" t="s">
        <v>65</v>
      </c>
      <c r="L1204">
        <v>171</v>
      </c>
      <c r="M1204" t="str">
        <f t="shared" si="36"/>
        <v>High</v>
      </c>
      <c r="N1204" t="str">
        <f t="shared" si="37"/>
        <v>Average</v>
      </c>
    </row>
    <row r="1205" spans="1:14">
      <c r="A1205" t="s">
        <v>65</v>
      </c>
      <c r="B1205">
        <v>2014</v>
      </c>
      <c r="C1205" t="s">
        <v>2802</v>
      </c>
      <c r="D1205" t="s">
        <v>33</v>
      </c>
      <c r="E1205" t="s">
        <v>2803</v>
      </c>
      <c r="F1205" t="s">
        <v>57</v>
      </c>
      <c r="G1205">
        <v>44.61</v>
      </c>
      <c r="H1205">
        <v>53</v>
      </c>
      <c r="I1205" t="s">
        <v>17</v>
      </c>
      <c r="J1205" t="s">
        <v>24</v>
      </c>
      <c r="K1205" t="s">
        <v>48</v>
      </c>
      <c r="L1205">
        <v>313</v>
      </c>
      <c r="M1205" t="str">
        <f t="shared" si="36"/>
        <v>High</v>
      </c>
      <c r="N1205" t="str">
        <f t="shared" si="37"/>
        <v>Average</v>
      </c>
    </row>
    <row r="1206" spans="1:14">
      <c r="A1206" t="s">
        <v>38</v>
      </c>
      <c r="B1206">
        <v>2015</v>
      </c>
      <c r="C1206" t="s">
        <v>2804</v>
      </c>
      <c r="D1206" t="s">
        <v>33</v>
      </c>
      <c r="E1206" t="s">
        <v>2805</v>
      </c>
      <c r="F1206" t="s">
        <v>16</v>
      </c>
      <c r="G1206">
        <v>2.3199999999999998</v>
      </c>
      <c r="H1206">
        <v>66</v>
      </c>
      <c r="I1206" t="s">
        <v>17</v>
      </c>
      <c r="J1206" t="s">
        <v>37</v>
      </c>
      <c r="K1206" t="s">
        <v>2806</v>
      </c>
      <c r="L1206">
        <v>196</v>
      </c>
      <c r="M1206" t="str">
        <f t="shared" si="36"/>
        <v>Low</v>
      </c>
      <c r="N1206" t="str">
        <f t="shared" si="37"/>
        <v>Average</v>
      </c>
    </row>
    <row r="1207" spans="1:14">
      <c r="A1207" t="s">
        <v>39</v>
      </c>
      <c r="B1207">
        <v>2014</v>
      </c>
      <c r="C1207" t="s">
        <v>2807</v>
      </c>
      <c r="D1207" t="s">
        <v>33</v>
      </c>
      <c r="E1207" t="s">
        <v>2808</v>
      </c>
      <c r="F1207" t="s">
        <v>46</v>
      </c>
      <c r="G1207">
        <v>34.880000000000003</v>
      </c>
      <c r="H1207">
        <v>92</v>
      </c>
      <c r="I1207" t="s">
        <v>17</v>
      </c>
      <c r="J1207" t="s">
        <v>18</v>
      </c>
      <c r="K1207" t="s">
        <v>2020</v>
      </c>
      <c r="L1207">
        <v>108</v>
      </c>
      <c r="M1207" t="str">
        <f t="shared" si="36"/>
        <v>Medium</v>
      </c>
      <c r="N1207" t="str">
        <f t="shared" si="37"/>
        <v>Excellent</v>
      </c>
    </row>
    <row r="1208" spans="1:14">
      <c r="A1208" t="s">
        <v>39</v>
      </c>
      <c r="B1208">
        <v>2005</v>
      </c>
      <c r="C1208" t="s">
        <v>2809</v>
      </c>
      <c r="D1208" t="s">
        <v>14</v>
      </c>
      <c r="E1208" t="s">
        <v>2810</v>
      </c>
      <c r="F1208" t="s">
        <v>57</v>
      </c>
      <c r="G1208">
        <v>37.950000000000003</v>
      </c>
      <c r="H1208">
        <v>80</v>
      </c>
      <c r="I1208" t="s">
        <v>61</v>
      </c>
      <c r="J1208" t="s">
        <v>24</v>
      </c>
      <c r="K1208" t="s">
        <v>31</v>
      </c>
      <c r="L1208">
        <v>13</v>
      </c>
      <c r="M1208" t="str">
        <f t="shared" si="36"/>
        <v>High</v>
      </c>
      <c r="N1208" t="str">
        <f t="shared" si="37"/>
        <v>Good</v>
      </c>
    </row>
    <row r="1209" spans="1:14">
      <c r="A1209" t="s">
        <v>20</v>
      </c>
      <c r="B1209">
        <v>2003</v>
      </c>
      <c r="C1209" t="s">
        <v>2811</v>
      </c>
      <c r="D1209" t="s">
        <v>14</v>
      </c>
      <c r="E1209" t="s">
        <v>2812</v>
      </c>
      <c r="F1209" t="s">
        <v>16</v>
      </c>
      <c r="G1209">
        <v>46.56</v>
      </c>
      <c r="H1209">
        <v>52</v>
      </c>
      <c r="I1209" t="s">
        <v>29</v>
      </c>
      <c r="J1209" t="s">
        <v>37</v>
      </c>
      <c r="K1209" t="s">
        <v>129</v>
      </c>
      <c r="L1209">
        <v>232</v>
      </c>
      <c r="M1209" t="str">
        <f t="shared" si="36"/>
        <v>High</v>
      </c>
      <c r="N1209" t="str">
        <f t="shared" si="37"/>
        <v>Average</v>
      </c>
    </row>
    <row r="1210" spans="1:14">
      <c r="A1210" t="s">
        <v>39</v>
      </c>
      <c r="B1210">
        <v>2022</v>
      </c>
      <c r="C1210" t="s">
        <v>2813</v>
      </c>
      <c r="D1210" t="s">
        <v>33</v>
      </c>
      <c r="E1210" t="s">
        <v>2814</v>
      </c>
      <c r="F1210" t="s">
        <v>35</v>
      </c>
      <c r="G1210">
        <v>41.02</v>
      </c>
      <c r="H1210">
        <v>80</v>
      </c>
      <c r="I1210" t="s">
        <v>17</v>
      </c>
      <c r="J1210" t="s">
        <v>24</v>
      </c>
      <c r="K1210" t="s">
        <v>2815</v>
      </c>
      <c r="L1210">
        <v>142</v>
      </c>
      <c r="M1210" t="str">
        <f t="shared" si="36"/>
        <v>High</v>
      </c>
      <c r="N1210" t="str">
        <f t="shared" si="37"/>
        <v>Good</v>
      </c>
    </row>
    <row r="1211" spans="1:14">
      <c r="A1211" t="s">
        <v>26</v>
      </c>
      <c r="B1211">
        <v>2003</v>
      </c>
      <c r="C1211" t="s">
        <v>2816</v>
      </c>
      <c r="D1211" t="s">
        <v>33</v>
      </c>
      <c r="E1211" t="s">
        <v>2817</v>
      </c>
      <c r="F1211" t="s">
        <v>46</v>
      </c>
      <c r="G1211">
        <v>46.42</v>
      </c>
      <c r="H1211">
        <v>81</v>
      </c>
      <c r="I1211" t="s">
        <v>23</v>
      </c>
      <c r="J1211" t="s">
        <v>24</v>
      </c>
      <c r="K1211" t="s">
        <v>38</v>
      </c>
      <c r="L1211">
        <v>83</v>
      </c>
      <c r="M1211" t="str">
        <f t="shared" si="36"/>
        <v>High</v>
      </c>
      <c r="N1211" t="str">
        <f t="shared" si="37"/>
        <v>Good</v>
      </c>
    </row>
    <row r="1212" spans="1:14">
      <c r="A1212" t="s">
        <v>38</v>
      </c>
      <c r="B1212">
        <v>2021</v>
      </c>
      <c r="C1212" t="s">
        <v>2818</v>
      </c>
      <c r="D1212" t="s">
        <v>33</v>
      </c>
      <c r="E1212" t="s">
        <v>2819</v>
      </c>
      <c r="F1212" t="s">
        <v>42</v>
      </c>
      <c r="G1212">
        <v>40.57</v>
      </c>
      <c r="H1212">
        <v>56</v>
      </c>
      <c r="I1212" t="s">
        <v>17</v>
      </c>
      <c r="J1212" t="s">
        <v>24</v>
      </c>
      <c r="K1212" t="s">
        <v>151</v>
      </c>
      <c r="L1212">
        <v>2</v>
      </c>
      <c r="M1212" t="str">
        <f t="shared" si="36"/>
        <v>High</v>
      </c>
      <c r="N1212" t="str">
        <f t="shared" si="37"/>
        <v>Average</v>
      </c>
    </row>
    <row r="1213" spans="1:14">
      <c r="A1213" t="s">
        <v>12</v>
      </c>
      <c r="B1213">
        <v>2011</v>
      </c>
      <c r="C1213" t="s">
        <v>2820</v>
      </c>
      <c r="D1213" t="s">
        <v>14</v>
      </c>
      <c r="E1213" t="s">
        <v>2821</v>
      </c>
      <c r="F1213" t="s">
        <v>46</v>
      </c>
      <c r="G1213">
        <v>34.049999999999997</v>
      </c>
      <c r="H1213">
        <v>79</v>
      </c>
      <c r="I1213" t="s">
        <v>36</v>
      </c>
      <c r="J1213" t="s">
        <v>24</v>
      </c>
      <c r="K1213" t="s">
        <v>1604</v>
      </c>
      <c r="L1213">
        <v>147</v>
      </c>
      <c r="M1213" t="str">
        <f t="shared" si="36"/>
        <v>Medium</v>
      </c>
      <c r="N1213" t="str">
        <f t="shared" si="37"/>
        <v>Good</v>
      </c>
    </row>
    <row r="1214" spans="1:14">
      <c r="A1214" t="s">
        <v>39</v>
      </c>
      <c r="B1214">
        <v>2017</v>
      </c>
      <c r="C1214" t="s">
        <v>2822</v>
      </c>
      <c r="D1214" t="s">
        <v>33</v>
      </c>
      <c r="E1214" t="s">
        <v>2823</v>
      </c>
      <c r="F1214" t="s">
        <v>16</v>
      </c>
      <c r="G1214">
        <v>31.06</v>
      </c>
      <c r="H1214">
        <v>73</v>
      </c>
      <c r="I1214" t="s">
        <v>17</v>
      </c>
      <c r="J1214" t="s">
        <v>37</v>
      </c>
      <c r="K1214" t="s">
        <v>410</v>
      </c>
      <c r="L1214">
        <v>207</v>
      </c>
      <c r="M1214" t="str">
        <f t="shared" si="36"/>
        <v>Medium</v>
      </c>
      <c r="N1214" t="str">
        <f t="shared" si="37"/>
        <v>Average</v>
      </c>
    </row>
    <row r="1215" spans="1:14">
      <c r="A1215" t="s">
        <v>38</v>
      </c>
      <c r="B1215">
        <v>2006</v>
      </c>
      <c r="C1215" t="s">
        <v>2824</v>
      </c>
      <c r="D1215" t="s">
        <v>33</v>
      </c>
      <c r="E1215" t="s">
        <v>2825</v>
      </c>
      <c r="F1215" t="s">
        <v>42</v>
      </c>
      <c r="G1215">
        <v>36.619999999999997</v>
      </c>
      <c r="H1215">
        <v>60</v>
      </c>
      <c r="I1215" t="s">
        <v>23</v>
      </c>
      <c r="J1215" t="s">
        <v>18</v>
      </c>
      <c r="K1215" t="s">
        <v>39</v>
      </c>
      <c r="L1215">
        <v>41</v>
      </c>
      <c r="M1215" t="str">
        <f t="shared" si="36"/>
        <v>High</v>
      </c>
      <c r="N1215" t="str">
        <f t="shared" si="37"/>
        <v>Average</v>
      </c>
    </row>
    <row r="1216" spans="1:14">
      <c r="A1216" t="s">
        <v>39</v>
      </c>
      <c r="B1216">
        <v>2008</v>
      </c>
      <c r="C1216" t="s">
        <v>2826</v>
      </c>
      <c r="D1216" t="s">
        <v>33</v>
      </c>
      <c r="E1216" t="s">
        <v>2827</v>
      </c>
      <c r="F1216" t="s">
        <v>42</v>
      </c>
      <c r="G1216">
        <v>46.68</v>
      </c>
      <c r="H1216">
        <v>94</v>
      </c>
      <c r="I1216" t="s">
        <v>23</v>
      </c>
      <c r="J1216" t="s">
        <v>18</v>
      </c>
      <c r="K1216" t="s">
        <v>678</v>
      </c>
      <c r="L1216">
        <v>168</v>
      </c>
      <c r="M1216" t="str">
        <f t="shared" si="36"/>
        <v>High</v>
      </c>
      <c r="N1216" t="str">
        <f t="shared" si="37"/>
        <v>Excellent</v>
      </c>
    </row>
    <row r="1217" spans="1:14">
      <c r="A1217" t="s">
        <v>48</v>
      </c>
      <c r="B1217">
        <v>2000</v>
      </c>
      <c r="C1217" t="s">
        <v>2828</v>
      </c>
      <c r="D1217" t="s">
        <v>33</v>
      </c>
      <c r="E1217" t="s">
        <v>2829</v>
      </c>
      <c r="F1217" t="s">
        <v>35</v>
      </c>
      <c r="G1217">
        <v>18.41</v>
      </c>
      <c r="H1217">
        <v>96</v>
      </c>
      <c r="I1217" t="s">
        <v>61</v>
      </c>
      <c r="J1217" t="s">
        <v>37</v>
      </c>
      <c r="K1217" t="s">
        <v>68</v>
      </c>
      <c r="L1217">
        <v>88</v>
      </c>
      <c r="M1217" t="str">
        <f t="shared" si="36"/>
        <v>Medium</v>
      </c>
      <c r="N1217" t="str">
        <f t="shared" si="37"/>
        <v>Excellent</v>
      </c>
    </row>
    <row r="1218" spans="1:14">
      <c r="A1218" t="s">
        <v>26</v>
      </c>
      <c r="B1218">
        <v>2009</v>
      </c>
      <c r="C1218" t="s">
        <v>2830</v>
      </c>
      <c r="D1218" t="s">
        <v>14</v>
      </c>
      <c r="E1218" t="s">
        <v>2831</v>
      </c>
      <c r="F1218" t="s">
        <v>42</v>
      </c>
      <c r="G1218">
        <v>16.48</v>
      </c>
      <c r="H1218">
        <v>55</v>
      </c>
      <c r="I1218" t="s">
        <v>23</v>
      </c>
      <c r="J1218" t="s">
        <v>18</v>
      </c>
      <c r="K1218" t="s">
        <v>2832</v>
      </c>
      <c r="L1218">
        <v>71</v>
      </c>
      <c r="M1218" t="str">
        <f t="shared" si="36"/>
        <v>Medium</v>
      </c>
      <c r="N1218" t="str">
        <f t="shared" si="37"/>
        <v>Average</v>
      </c>
    </row>
    <row r="1219" spans="1:14">
      <c r="A1219" t="s">
        <v>65</v>
      </c>
      <c r="B1219">
        <v>2021</v>
      </c>
      <c r="C1219" t="s">
        <v>2833</v>
      </c>
      <c r="D1219" t="s">
        <v>33</v>
      </c>
      <c r="E1219" t="s">
        <v>2834</v>
      </c>
      <c r="F1219" t="s">
        <v>46</v>
      </c>
      <c r="G1219">
        <v>6.78</v>
      </c>
      <c r="H1219">
        <v>82</v>
      </c>
      <c r="I1219" t="s">
        <v>36</v>
      </c>
      <c r="J1219" t="s">
        <v>18</v>
      </c>
      <c r="K1219" t="s">
        <v>31</v>
      </c>
      <c r="L1219">
        <v>114</v>
      </c>
      <c r="M1219" t="str">
        <f t="shared" ref="M1219:M1282" si="38">IF(G1219&lt;15,"Low",IF(G1219&lt;35,"Medium","High"))</f>
        <v>Low</v>
      </c>
      <c r="N1219" t="str">
        <f t="shared" ref="N1219:N1282" si="39">IF(H1219&gt;=90,"Excellent",IF(H1219&gt;=75,"Good","Average"))</f>
        <v>Good</v>
      </c>
    </row>
    <row r="1220" spans="1:14">
      <c r="A1220" t="s">
        <v>65</v>
      </c>
      <c r="B1220">
        <v>2019</v>
      </c>
      <c r="C1220" t="s">
        <v>2835</v>
      </c>
      <c r="D1220" t="s">
        <v>33</v>
      </c>
      <c r="E1220" t="s">
        <v>2836</v>
      </c>
      <c r="F1220" t="s">
        <v>42</v>
      </c>
      <c r="G1220">
        <v>33.61</v>
      </c>
      <c r="H1220">
        <v>80</v>
      </c>
      <c r="I1220" t="s">
        <v>61</v>
      </c>
      <c r="J1220" t="s">
        <v>24</v>
      </c>
      <c r="K1220" t="s">
        <v>68</v>
      </c>
      <c r="L1220">
        <v>165</v>
      </c>
      <c r="M1220" t="str">
        <f t="shared" si="38"/>
        <v>Medium</v>
      </c>
      <c r="N1220" t="str">
        <f t="shared" si="39"/>
        <v>Good</v>
      </c>
    </row>
    <row r="1221" spans="1:14">
      <c r="A1221" t="s">
        <v>26</v>
      </c>
      <c r="B1221">
        <v>2008</v>
      </c>
      <c r="C1221" t="s">
        <v>2837</v>
      </c>
      <c r="D1221" t="s">
        <v>14</v>
      </c>
      <c r="E1221" t="s">
        <v>2838</v>
      </c>
      <c r="F1221" t="s">
        <v>16</v>
      </c>
      <c r="G1221">
        <v>16.2</v>
      </c>
      <c r="H1221">
        <v>59</v>
      </c>
      <c r="I1221" t="s">
        <v>61</v>
      </c>
      <c r="J1221" t="s">
        <v>24</v>
      </c>
      <c r="K1221" t="s">
        <v>2650</v>
      </c>
      <c r="L1221">
        <v>153</v>
      </c>
      <c r="M1221" t="str">
        <f t="shared" si="38"/>
        <v>Medium</v>
      </c>
      <c r="N1221" t="str">
        <f t="shared" si="39"/>
        <v>Average</v>
      </c>
    </row>
    <row r="1222" spans="1:14">
      <c r="A1222" t="s">
        <v>26</v>
      </c>
      <c r="B1222">
        <v>2007</v>
      </c>
      <c r="C1222" t="s">
        <v>2839</v>
      </c>
      <c r="D1222" t="s">
        <v>14</v>
      </c>
      <c r="E1222" t="s">
        <v>2840</v>
      </c>
      <c r="F1222" t="s">
        <v>57</v>
      </c>
      <c r="G1222">
        <v>23.13</v>
      </c>
      <c r="H1222">
        <v>59</v>
      </c>
      <c r="I1222" t="s">
        <v>29</v>
      </c>
      <c r="J1222" t="s">
        <v>37</v>
      </c>
      <c r="K1222" t="s">
        <v>2563</v>
      </c>
      <c r="L1222">
        <v>237</v>
      </c>
      <c r="M1222" t="str">
        <f t="shared" si="38"/>
        <v>Medium</v>
      </c>
      <c r="N1222" t="str">
        <f t="shared" si="39"/>
        <v>Average</v>
      </c>
    </row>
    <row r="1223" spans="1:14">
      <c r="A1223" t="s">
        <v>38</v>
      </c>
      <c r="B1223">
        <v>2004</v>
      </c>
      <c r="C1223" t="s">
        <v>2841</v>
      </c>
      <c r="D1223" t="s">
        <v>33</v>
      </c>
      <c r="E1223" t="s">
        <v>2842</v>
      </c>
      <c r="F1223" t="s">
        <v>46</v>
      </c>
      <c r="G1223">
        <v>27.27</v>
      </c>
      <c r="H1223">
        <v>96</v>
      </c>
      <c r="I1223" t="s">
        <v>61</v>
      </c>
      <c r="J1223" t="s">
        <v>37</v>
      </c>
      <c r="K1223" t="s">
        <v>636</v>
      </c>
      <c r="L1223">
        <v>77</v>
      </c>
      <c r="M1223" t="str">
        <f t="shared" si="38"/>
        <v>Medium</v>
      </c>
      <c r="N1223" t="str">
        <f t="shared" si="39"/>
        <v>Excellent</v>
      </c>
    </row>
    <row r="1224" spans="1:14">
      <c r="A1224" t="s">
        <v>38</v>
      </c>
      <c r="B1224">
        <v>2003</v>
      </c>
      <c r="C1224" t="s">
        <v>2843</v>
      </c>
      <c r="D1224" t="s">
        <v>14</v>
      </c>
      <c r="E1224" t="s">
        <v>2844</v>
      </c>
      <c r="F1224" t="s">
        <v>16</v>
      </c>
      <c r="G1224">
        <v>4.1100000000000003</v>
      </c>
      <c r="H1224">
        <v>96</v>
      </c>
      <c r="I1224" t="s">
        <v>36</v>
      </c>
      <c r="J1224" t="s">
        <v>18</v>
      </c>
      <c r="K1224" t="s">
        <v>1260</v>
      </c>
      <c r="L1224">
        <v>235</v>
      </c>
      <c r="M1224" t="str">
        <f t="shared" si="38"/>
        <v>Low</v>
      </c>
      <c r="N1224" t="str">
        <f t="shared" si="39"/>
        <v>Excellent</v>
      </c>
    </row>
    <row r="1225" spans="1:14">
      <c r="A1225" t="s">
        <v>20</v>
      </c>
      <c r="B1225">
        <v>2007</v>
      </c>
      <c r="C1225" t="s">
        <v>2845</v>
      </c>
      <c r="D1225" t="s">
        <v>33</v>
      </c>
      <c r="E1225" t="s">
        <v>2846</v>
      </c>
      <c r="F1225" t="s">
        <v>42</v>
      </c>
      <c r="G1225">
        <v>3.34</v>
      </c>
      <c r="H1225">
        <v>61</v>
      </c>
      <c r="I1225" t="s">
        <v>17</v>
      </c>
      <c r="J1225" t="s">
        <v>24</v>
      </c>
      <c r="K1225" t="s">
        <v>2847</v>
      </c>
      <c r="L1225">
        <v>255</v>
      </c>
      <c r="M1225" t="str">
        <f t="shared" si="38"/>
        <v>Low</v>
      </c>
      <c r="N1225" t="str">
        <f t="shared" si="39"/>
        <v>Average</v>
      </c>
    </row>
    <row r="1226" spans="1:14">
      <c r="A1226" t="s">
        <v>12</v>
      </c>
      <c r="B1226">
        <v>2007</v>
      </c>
      <c r="C1226" t="s">
        <v>2848</v>
      </c>
      <c r="D1226" t="s">
        <v>33</v>
      </c>
      <c r="E1226" t="s">
        <v>2849</v>
      </c>
      <c r="F1226" t="s">
        <v>46</v>
      </c>
      <c r="G1226">
        <v>13.13</v>
      </c>
      <c r="H1226">
        <v>54</v>
      </c>
      <c r="I1226" t="s">
        <v>36</v>
      </c>
      <c r="J1226" t="s">
        <v>18</v>
      </c>
      <c r="K1226" t="s">
        <v>2850</v>
      </c>
      <c r="L1226">
        <v>35</v>
      </c>
      <c r="M1226" t="str">
        <f t="shared" si="38"/>
        <v>Low</v>
      </c>
      <c r="N1226" t="str">
        <f t="shared" si="39"/>
        <v>Average</v>
      </c>
    </row>
    <row r="1227" spans="1:14">
      <c r="A1227" t="s">
        <v>68</v>
      </c>
      <c r="B1227">
        <v>2011</v>
      </c>
      <c r="C1227" t="s">
        <v>2851</v>
      </c>
      <c r="D1227" t="s">
        <v>33</v>
      </c>
      <c r="E1227" t="s">
        <v>2852</v>
      </c>
      <c r="F1227" t="s">
        <v>42</v>
      </c>
      <c r="G1227">
        <v>29.88</v>
      </c>
      <c r="H1227">
        <v>54</v>
      </c>
      <c r="I1227" t="s">
        <v>23</v>
      </c>
      <c r="J1227" t="s">
        <v>18</v>
      </c>
      <c r="K1227" t="s">
        <v>624</v>
      </c>
      <c r="L1227">
        <v>159</v>
      </c>
      <c r="M1227" t="str">
        <f t="shared" si="38"/>
        <v>Medium</v>
      </c>
      <c r="N1227" t="str">
        <f t="shared" si="39"/>
        <v>Average</v>
      </c>
    </row>
    <row r="1228" spans="1:14">
      <c r="A1228" t="s">
        <v>31</v>
      </c>
      <c r="B1228">
        <v>2021</v>
      </c>
      <c r="C1228" t="s">
        <v>2853</v>
      </c>
      <c r="D1228" t="s">
        <v>14</v>
      </c>
      <c r="E1228" t="s">
        <v>2854</v>
      </c>
      <c r="F1228" t="s">
        <v>35</v>
      </c>
      <c r="G1228">
        <v>31.25</v>
      </c>
      <c r="H1228">
        <v>97</v>
      </c>
      <c r="I1228" t="s">
        <v>36</v>
      </c>
      <c r="J1228" t="s">
        <v>18</v>
      </c>
      <c r="K1228" t="s">
        <v>2855</v>
      </c>
      <c r="L1228">
        <v>6</v>
      </c>
      <c r="M1228" t="str">
        <f t="shared" si="38"/>
        <v>Medium</v>
      </c>
      <c r="N1228" t="str">
        <f t="shared" si="39"/>
        <v>Excellent</v>
      </c>
    </row>
    <row r="1229" spans="1:14">
      <c r="A1229" t="s">
        <v>65</v>
      </c>
      <c r="B1229">
        <v>2013</v>
      </c>
      <c r="C1229" t="s">
        <v>2856</v>
      </c>
      <c r="D1229" t="s">
        <v>33</v>
      </c>
      <c r="E1229" t="s">
        <v>2857</v>
      </c>
      <c r="F1229" t="s">
        <v>16</v>
      </c>
      <c r="G1229">
        <v>24.26</v>
      </c>
      <c r="H1229">
        <v>62</v>
      </c>
      <c r="I1229" t="s">
        <v>29</v>
      </c>
      <c r="J1229" t="s">
        <v>18</v>
      </c>
      <c r="K1229" t="s">
        <v>47</v>
      </c>
      <c r="L1229">
        <v>102</v>
      </c>
      <c r="M1229" t="str">
        <f t="shared" si="38"/>
        <v>Medium</v>
      </c>
      <c r="N1229" t="str">
        <f t="shared" si="39"/>
        <v>Average</v>
      </c>
    </row>
    <row r="1230" spans="1:14">
      <c r="A1230" t="s">
        <v>31</v>
      </c>
      <c r="B1230">
        <v>2006</v>
      </c>
      <c r="C1230" t="s">
        <v>2858</v>
      </c>
      <c r="D1230" t="s">
        <v>33</v>
      </c>
      <c r="E1230" t="s">
        <v>1335</v>
      </c>
      <c r="F1230" t="s">
        <v>42</v>
      </c>
      <c r="G1230">
        <v>23.79</v>
      </c>
      <c r="H1230">
        <v>86</v>
      </c>
      <c r="I1230" t="s">
        <v>29</v>
      </c>
      <c r="J1230" t="s">
        <v>18</v>
      </c>
      <c r="K1230" t="s">
        <v>39</v>
      </c>
      <c r="L1230">
        <v>172</v>
      </c>
      <c r="M1230" t="str">
        <f t="shared" si="38"/>
        <v>Medium</v>
      </c>
      <c r="N1230" t="str">
        <f t="shared" si="39"/>
        <v>Good</v>
      </c>
    </row>
    <row r="1231" spans="1:14">
      <c r="A1231" t="s">
        <v>65</v>
      </c>
      <c r="B1231">
        <v>2017</v>
      </c>
      <c r="C1231" t="s">
        <v>2859</v>
      </c>
      <c r="D1231" t="s">
        <v>14</v>
      </c>
      <c r="E1231" t="s">
        <v>2860</v>
      </c>
      <c r="F1231" t="s">
        <v>16</v>
      </c>
      <c r="G1231">
        <v>15.95</v>
      </c>
      <c r="H1231">
        <v>77</v>
      </c>
      <c r="I1231" t="s">
        <v>36</v>
      </c>
      <c r="J1231" t="s">
        <v>18</v>
      </c>
      <c r="K1231" t="s">
        <v>513</v>
      </c>
      <c r="L1231">
        <v>312</v>
      </c>
      <c r="M1231" t="str">
        <f t="shared" si="38"/>
        <v>Medium</v>
      </c>
      <c r="N1231" t="str">
        <f t="shared" si="39"/>
        <v>Good</v>
      </c>
    </row>
    <row r="1232" spans="1:14">
      <c r="A1232" t="s">
        <v>48</v>
      </c>
      <c r="B1232">
        <v>2000</v>
      </c>
      <c r="C1232" t="s">
        <v>2861</v>
      </c>
      <c r="D1232" t="s">
        <v>14</v>
      </c>
      <c r="E1232" t="s">
        <v>2862</v>
      </c>
      <c r="F1232" t="s">
        <v>46</v>
      </c>
      <c r="G1232">
        <v>30.99</v>
      </c>
      <c r="H1232">
        <v>51</v>
      </c>
      <c r="I1232" t="s">
        <v>61</v>
      </c>
      <c r="J1232" t="s">
        <v>37</v>
      </c>
      <c r="K1232" t="s">
        <v>68</v>
      </c>
      <c r="L1232">
        <v>20</v>
      </c>
      <c r="M1232" t="str">
        <f t="shared" si="38"/>
        <v>Medium</v>
      </c>
      <c r="N1232" t="str">
        <f t="shared" si="39"/>
        <v>Average</v>
      </c>
    </row>
    <row r="1233" spans="1:14">
      <c r="A1233" t="s">
        <v>65</v>
      </c>
      <c r="B1233">
        <v>2002</v>
      </c>
      <c r="C1233" t="s">
        <v>2863</v>
      </c>
      <c r="D1233" t="s">
        <v>14</v>
      </c>
      <c r="E1233" t="s">
        <v>2864</v>
      </c>
      <c r="F1233" t="s">
        <v>42</v>
      </c>
      <c r="G1233">
        <v>42.62</v>
      </c>
      <c r="H1233">
        <v>78</v>
      </c>
      <c r="I1233" t="s">
        <v>36</v>
      </c>
      <c r="J1233" t="s">
        <v>37</v>
      </c>
      <c r="K1233" t="s">
        <v>1564</v>
      </c>
      <c r="L1233">
        <v>239</v>
      </c>
      <c r="M1233" t="str">
        <f t="shared" si="38"/>
        <v>High</v>
      </c>
      <c r="N1233" t="str">
        <f t="shared" si="39"/>
        <v>Good</v>
      </c>
    </row>
    <row r="1234" spans="1:14">
      <c r="A1234" t="s">
        <v>68</v>
      </c>
      <c r="B1234">
        <v>2024</v>
      </c>
      <c r="C1234" t="s">
        <v>2865</v>
      </c>
      <c r="D1234" t="s">
        <v>33</v>
      </c>
      <c r="E1234" t="s">
        <v>2866</v>
      </c>
      <c r="F1234" t="s">
        <v>35</v>
      </c>
      <c r="G1234">
        <v>25.43</v>
      </c>
      <c r="H1234">
        <v>89</v>
      </c>
      <c r="I1234" t="s">
        <v>36</v>
      </c>
      <c r="J1234" t="s">
        <v>18</v>
      </c>
      <c r="K1234" t="s">
        <v>20</v>
      </c>
      <c r="L1234">
        <v>286</v>
      </c>
      <c r="M1234" t="str">
        <f t="shared" si="38"/>
        <v>Medium</v>
      </c>
      <c r="N1234" t="str">
        <f t="shared" si="39"/>
        <v>Good</v>
      </c>
    </row>
    <row r="1235" spans="1:14">
      <c r="A1235" t="s">
        <v>38</v>
      </c>
      <c r="B1235">
        <v>2011</v>
      </c>
      <c r="C1235" t="s">
        <v>2867</v>
      </c>
      <c r="D1235" t="s">
        <v>33</v>
      </c>
      <c r="E1235" t="s">
        <v>2868</v>
      </c>
      <c r="F1235" t="s">
        <v>16</v>
      </c>
      <c r="G1235">
        <v>29.61</v>
      </c>
      <c r="H1235">
        <v>86</v>
      </c>
      <c r="I1235" t="s">
        <v>61</v>
      </c>
      <c r="J1235" t="s">
        <v>18</v>
      </c>
      <c r="K1235" t="s">
        <v>65</v>
      </c>
      <c r="L1235">
        <v>184</v>
      </c>
      <c r="M1235" t="str">
        <f t="shared" si="38"/>
        <v>Medium</v>
      </c>
      <c r="N1235" t="str">
        <f t="shared" si="39"/>
        <v>Good</v>
      </c>
    </row>
    <row r="1236" spans="1:14">
      <c r="A1236" t="s">
        <v>47</v>
      </c>
      <c r="B1236">
        <v>2024</v>
      </c>
      <c r="C1236" t="s">
        <v>2869</v>
      </c>
      <c r="D1236" t="s">
        <v>14</v>
      </c>
      <c r="E1236" t="s">
        <v>2870</v>
      </c>
      <c r="F1236" t="s">
        <v>16</v>
      </c>
      <c r="G1236">
        <v>8.33</v>
      </c>
      <c r="H1236">
        <v>88</v>
      </c>
      <c r="I1236" t="s">
        <v>29</v>
      </c>
      <c r="J1236" t="s">
        <v>18</v>
      </c>
      <c r="K1236" t="s">
        <v>47</v>
      </c>
      <c r="L1236">
        <v>171</v>
      </c>
      <c r="M1236" t="str">
        <f t="shared" si="38"/>
        <v>Low</v>
      </c>
      <c r="N1236" t="str">
        <f t="shared" si="39"/>
        <v>Good</v>
      </c>
    </row>
    <row r="1237" spans="1:14">
      <c r="A1237" t="s">
        <v>38</v>
      </c>
      <c r="B1237">
        <v>2012</v>
      </c>
      <c r="C1237" t="s">
        <v>2871</v>
      </c>
      <c r="D1237" t="s">
        <v>14</v>
      </c>
      <c r="E1237" t="s">
        <v>2872</v>
      </c>
      <c r="F1237" t="s">
        <v>35</v>
      </c>
      <c r="G1237">
        <v>42.06</v>
      </c>
      <c r="H1237">
        <v>87</v>
      </c>
      <c r="I1237" t="s">
        <v>29</v>
      </c>
      <c r="J1237" t="s">
        <v>18</v>
      </c>
      <c r="K1237" t="s">
        <v>2530</v>
      </c>
      <c r="L1237">
        <v>154</v>
      </c>
      <c r="M1237" t="str">
        <f t="shared" si="38"/>
        <v>High</v>
      </c>
      <c r="N1237" t="str">
        <f t="shared" si="39"/>
        <v>Good</v>
      </c>
    </row>
    <row r="1238" spans="1:14">
      <c r="A1238" t="s">
        <v>12</v>
      </c>
      <c r="B1238">
        <v>2004</v>
      </c>
      <c r="C1238" t="s">
        <v>2873</v>
      </c>
      <c r="D1238" t="s">
        <v>33</v>
      </c>
      <c r="E1238" t="s">
        <v>2874</v>
      </c>
      <c r="F1238" t="s">
        <v>46</v>
      </c>
      <c r="G1238">
        <v>18.46</v>
      </c>
      <c r="H1238">
        <v>60</v>
      </c>
      <c r="I1238" t="s">
        <v>36</v>
      </c>
      <c r="J1238" t="s">
        <v>18</v>
      </c>
      <c r="K1238" t="s">
        <v>68</v>
      </c>
      <c r="L1238">
        <v>234</v>
      </c>
      <c r="M1238" t="str">
        <f t="shared" si="38"/>
        <v>Medium</v>
      </c>
      <c r="N1238" t="str">
        <f t="shared" si="39"/>
        <v>Average</v>
      </c>
    </row>
    <row r="1239" spans="1:14">
      <c r="A1239" t="s">
        <v>68</v>
      </c>
      <c r="B1239">
        <v>2024</v>
      </c>
      <c r="C1239" t="s">
        <v>2875</v>
      </c>
      <c r="D1239" t="s">
        <v>14</v>
      </c>
      <c r="E1239" t="s">
        <v>2876</v>
      </c>
      <c r="F1239" t="s">
        <v>16</v>
      </c>
      <c r="G1239">
        <v>17.66</v>
      </c>
      <c r="H1239">
        <v>53</v>
      </c>
      <c r="I1239" t="s">
        <v>36</v>
      </c>
      <c r="J1239" t="s">
        <v>24</v>
      </c>
      <c r="K1239" t="s">
        <v>26</v>
      </c>
      <c r="L1239">
        <v>272</v>
      </c>
      <c r="M1239" t="str">
        <f t="shared" si="38"/>
        <v>Medium</v>
      </c>
      <c r="N1239" t="str">
        <f t="shared" si="39"/>
        <v>Average</v>
      </c>
    </row>
    <row r="1240" spans="1:14">
      <c r="A1240" t="s">
        <v>39</v>
      </c>
      <c r="B1240">
        <v>2004</v>
      </c>
      <c r="C1240" t="s">
        <v>2877</v>
      </c>
      <c r="D1240" t="s">
        <v>14</v>
      </c>
      <c r="E1240" t="s">
        <v>2878</v>
      </c>
      <c r="F1240" t="s">
        <v>46</v>
      </c>
      <c r="G1240">
        <v>19.38</v>
      </c>
      <c r="H1240">
        <v>73</v>
      </c>
      <c r="I1240" t="s">
        <v>61</v>
      </c>
      <c r="J1240" t="s">
        <v>37</v>
      </c>
      <c r="K1240" t="s">
        <v>20</v>
      </c>
      <c r="L1240">
        <v>297</v>
      </c>
      <c r="M1240" t="str">
        <f t="shared" si="38"/>
        <v>Medium</v>
      </c>
      <c r="N1240" t="str">
        <f t="shared" si="39"/>
        <v>Average</v>
      </c>
    </row>
    <row r="1241" spans="1:14">
      <c r="A1241" t="s">
        <v>26</v>
      </c>
      <c r="B1241">
        <v>2025</v>
      </c>
      <c r="C1241" t="s">
        <v>2879</v>
      </c>
      <c r="D1241" t="s">
        <v>14</v>
      </c>
      <c r="E1241" t="s">
        <v>2880</v>
      </c>
      <c r="F1241" t="s">
        <v>16</v>
      </c>
      <c r="G1241">
        <v>35.1</v>
      </c>
      <c r="H1241">
        <v>73</v>
      </c>
      <c r="I1241" t="s">
        <v>23</v>
      </c>
      <c r="J1241" t="s">
        <v>37</v>
      </c>
      <c r="K1241" t="s">
        <v>667</v>
      </c>
      <c r="L1241">
        <v>228</v>
      </c>
      <c r="M1241" t="str">
        <f t="shared" si="38"/>
        <v>High</v>
      </c>
      <c r="N1241" t="str">
        <f t="shared" si="39"/>
        <v>Average</v>
      </c>
    </row>
    <row r="1242" spans="1:14">
      <c r="A1242" t="s">
        <v>31</v>
      </c>
      <c r="B1242">
        <v>2018</v>
      </c>
      <c r="C1242" t="s">
        <v>2881</v>
      </c>
      <c r="D1242" t="s">
        <v>14</v>
      </c>
      <c r="E1242" t="s">
        <v>2882</v>
      </c>
      <c r="F1242" t="s">
        <v>16</v>
      </c>
      <c r="G1242">
        <v>18.62</v>
      </c>
      <c r="H1242">
        <v>52</v>
      </c>
      <c r="I1242" t="s">
        <v>17</v>
      </c>
      <c r="J1242" t="s">
        <v>37</v>
      </c>
      <c r="K1242" t="s">
        <v>831</v>
      </c>
      <c r="L1242">
        <v>79</v>
      </c>
      <c r="M1242" t="str">
        <f t="shared" si="38"/>
        <v>Medium</v>
      </c>
      <c r="N1242" t="str">
        <f t="shared" si="39"/>
        <v>Average</v>
      </c>
    </row>
    <row r="1243" spans="1:14">
      <c r="A1243" t="s">
        <v>68</v>
      </c>
      <c r="B1243">
        <v>2009</v>
      </c>
      <c r="C1243" t="s">
        <v>2883</v>
      </c>
      <c r="D1243" t="s">
        <v>33</v>
      </c>
      <c r="E1243" t="s">
        <v>2884</v>
      </c>
      <c r="F1243" t="s">
        <v>57</v>
      </c>
      <c r="G1243">
        <v>38.03</v>
      </c>
      <c r="H1243">
        <v>61</v>
      </c>
      <c r="I1243" t="s">
        <v>36</v>
      </c>
      <c r="J1243" t="s">
        <v>24</v>
      </c>
      <c r="K1243" t="s">
        <v>129</v>
      </c>
      <c r="L1243">
        <v>72</v>
      </c>
      <c r="M1243" t="str">
        <f t="shared" si="38"/>
        <v>High</v>
      </c>
      <c r="N1243" t="str">
        <f t="shared" si="39"/>
        <v>Average</v>
      </c>
    </row>
    <row r="1244" spans="1:14">
      <c r="A1244" t="s">
        <v>38</v>
      </c>
      <c r="B1244">
        <v>2001</v>
      </c>
      <c r="C1244" t="s">
        <v>2885</v>
      </c>
      <c r="D1244" t="s">
        <v>33</v>
      </c>
      <c r="E1244" t="s">
        <v>2886</v>
      </c>
      <c r="F1244" t="s">
        <v>46</v>
      </c>
      <c r="G1244">
        <v>9.42</v>
      </c>
      <c r="H1244">
        <v>83</v>
      </c>
      <c r="I1244" t="s">
        <v>36</v>
      </c>
      <c r="J1244" t="s">
        <v>37</v>
      </c>
      <c r="K1244" t="s">
        <v>2125</v>
      </c>
      <c r="L1244">
        <v>194</v>
      </c>
      <c r="M1244" t="str">
        <f t="shared" si="38"/>
        <v>Low</v>
      </c>
      <c r="N1244" t="str">
        <f t="shared" si="39"/>
        <v>Good</v>
      </c>
    </row>
    <row r="1245" spans="1:14">
      <c r="A1245" t="s">
        <v>48</v>
      </c>
      <c r="B1245">
        <v>2002</v>
      </c>
      <c r="C1245" t="s">
        <v>2887</v>
      </c>
      <c r="D1245" t="s">
        <v>33</v>
      </c>
      <c r="E1245" t="s">
        <v>2888</v>
      </c>
      <c r="F1245" t="s">
        <v>46</v>
      </c>
      <c r="G1245">
        <v>25.3</v>
      </c>
      <c r="H1245">
        <v>95</v>
      </c>
      <c r="I1245" t="s">
        <v>23</v>
      </c>
      <c r="J1245" t="s">
        <v>18</v>
      </c>
      <c r="K1245" t="s">
        <v>398</v>
      </c>
      <c r="L1245">
        <v>315</v>
      </c>
      <c r="M1245" t="str">
        <f t="shared" si="38"/>
        <v>Medium</v>
      </c>
      <c r="N1245" t="str">
        <f t="shared" si="39"/>
        <v>Excellent</v>
      </c>
    </row>
    <row r="1246" spans="1:14">
      <c r="A1246" t="s">
        <v>38</v>
      </c>
      <c r="B1246">
        <v>2024</v>
      </c>
      <c r="C1246" t="s">
        <v>2889</v>
      </c>
      <c r="D1246" t="s">
        <v>14</v>
      </c>
      <c r="E1246" t="s">
        <v>2890</v>
      </c>
      <c r="F1246" t="s">
        <v>46</v>
      </c>
      <c r="G1246">
        <v>48.15</v>
      </c>
      <c r="H1246">
        <v>95</v>
      </c>
      <c r="I1246" t="s">
        <v>61</v>
      </c>
      <c r="J1246" t="s">
        <v>18</v>
      </c>
      <c r="K1246" t="s">
        <v>2891</v>
      </c>
      <c r="L1246">
        <v>147</v>
      </c>
      <c r="M1246" t="str">
        <f t="shared" si="38"/>
        <v>High</v>
      </c>
      <c r="N1246" t="str">
        <f t="shared" si="39"/>
        <v>Excellent</v>
      </c>
    </row>
    <row r="1247" spans="1:14">
      <c r="A1247" t="s">
        <v>31</v>
      </c>
      <c r="B1247">
        <v>2018</v>
      </c>
      <c r="C1247" t="s">
        <v>2892</v>
      </c>
      <c r="D1247" t="s">
        <v>33</v>
      </c>
      <c r="E1247" t="s">
        <v>2893</v>
      </c>
      <c r="F1247" t="s">
        <v>35</v>
      </c>
      <c r="G1247">
        <v>32.299999999999997</v>
      </c>
      <c r="H1247">
        <v>86</v>
      </c>
      <c r="I1247" t="s">
        <v>61</v>
      </c>
      <c r="J1247" t="s">
        <v>24</v>
      </c>
      <c r="K1247" t="s">
        <v>687</v>
      </c>
      <c r="L1247">
        <v>32</v>
      </c>
      <c r="M1247" t="str">
        <f t="shared" si="38"/>
        <v>Medium</v>
      </c>
      <c r="N1247" t="str">
        <f t="shared" si="39"/>
        <v>Good</v>
      </c>
    </row>
    <row r="1248" spans="1:14">
      <c r="A1248" t="s">
        <v>26</v>
      </c>
      <c r="B1248">
        <v>2013</v>
      </c>
      <c r="C1248" t="s">
        <v>2894</v>
      </c>
      <c r="D1248" t="s">
        <v>14</v>
      </c>
      <c r="E1248" t="s">
        <v>2895</v>
      </c>
      <c r="F1248" t="s">
        <v>42</v>
      </c>
      <c r="G1248">
        <v>21.67</v>
      </c>
      <c r="H1248">
        <v>78</v>
      </c>
      <c r="I1248" t="s">
        <v>29</v>
      </c>
      <c r="J1248" t="s">
        <v>24</v>
      </c>
      <c r="K1248" t="s">
        <v>2458</v>
      </c>
      <c r="L1248">
        <v>180</v>
      </c>
      <c r="M1248" t="str">
        <f t="shared" si="38"/>
        <v>Medium</v>
      </c>
      <c r="N1248" t="str">
        <f t="shared" si="39"/>
        <v>Good</v>
      </c>
    </row>
    <row r="1249" spans="1:14">
      <c r="A1249" t="s">
        <v>65</v>
      </c>
      <c r="B1249">
        <v>2004</v>
      </c>
      <c r="C1249" t="s">
        <v>2896</v>
      </c>
      <c r="D1249" t="s">
        <v>14</v>
      </c>
      <c r="E1249" t="s">
        <v>2897</v>
      </c>
      <c r="F1249" t="s">
        <v>57</v>
      </c>
      <c r="G1249">
        <v>41.96</v>
      </c>
      <c r="H1249">
        <v>67</v>
      </c>
      <c r="I1249" t="s">
        <v>36</v>
      </c>
      <c r="J1249" t="s">
        <v>37</v>
      </c>
      <c r="K1249" t="s">
        <v>580</v>
      </c>
      <c r="L1249">
        <v>193</v>
      </c>
      <c r="M1249" t="str">
        <f t="shared" si="38"/>
        <v>High</v>
      </c>
      <c r="N1249" t="str">
        <f t="shared" si="39"/>
        <v>Average</v>
      </c>
    </row>
    <row r="1250" spans="1:14">
      <c r="A1250" t="s">
        <v>12</v>
      </c>
      <c r="B1250">
        <v>2012</v>
      </c>
      <c r="C1250" t="s">
        <v>2898</v>
      </c>
      <c r="D1250" t="s">
        <v>33</v>
      </c>
      <c r="E1250" t="s">
        <v>2899</v>
      </c>
      <c r="F1250" t="s">
        <v>57</v>
      </c>
      <c r="G1250">
        <v>25.19</v>
      </c>
      <c r="H1250">
        <v>62</v>
      </c>
      <c r="I1250" t="s">
        <v>23</v>
      </c>
      <c r="J1250" t="s">
        <v>24</v>
      </c>
      <c r="K1250" t="s">
        <v>240</v>
      </c>
      <c r="L1250">
        <v>161</v>
      </c>
      <c r="M1250" t="str">
        <f t="shared" si="38"/>
        <v>Medium</v>
      </c>
      <c r="N1250" t="str">
        <f t="shared" si="39"/>
        <v>Average</v>
      </c>
    </row>
    <row r="1251" spans="1:14">
      <c r="A1251" t="s">
        <v>20</v>
      </c>
      <c r="B1251">
        <v>2025</v>
      </c>
      <c r="C1251" t="s">
        <v>2900</v>
      </c>
      <c r="D1251" t="s">
        <v>14</v>
      </c>
      <c r="E1251" t="s">
        <v>2901</v>
      </c>
      <c r="F1251" t="s">
        <v>57</v>
      </c>
      <c r="G1251">
        <v>20.12</v>
      </c>
      <c r="H1251">
        <v>78</v>
      </c>
      <c r="I1251" t="s">
        <v>36</v>
      </c>
      <c r="J1251" t="s">
        <v>18</v>
      </c>
      <c r="K1251" t="s">
        <v>2151</v>
      </c>
      <c r="L1251">
        <v>223</v>
      </c>
      <c r="M1251" t="str">
        <f t="shared" si="38"/>
        <v>Medium</v>
      </c>
      <c r="N1251" t="str">
        <f t="shared" si="39"/>
        <v>Good</v>
      </c>
    </row>
    <row r="1252" spans="1:14">
      <c r="A1252" t="s">
        <v>20</v>
      </c>
      <c r="B1252">
        <v>2008</v>
      </c>
      <c r="C1252" t="s">
        <v>2902</v>
      </c>
      <c r="D1252" t="s">
        <v>33</v>
      </c>
      <c r="E1252" t="s">
        <v>2903</v>
      </c>
      <c r="F1252" t="s">
        <v>16</v>
      </c>
      <c r="G1252">
        <v>23.43</v>
      </c>
      <c r="H1252">
        <v>52</v>
      </c>
      <c r="I1252" t="s">
        <v>29</v>
      </c>
      <c r="J1252" t="s">
        <v>24</v>
      </c>
      <c r="K1252" t="s">
        <v>81</v>
      </c>
      <c r="L1252">
        <v>192</v>
      </c>
      <c r="M1252" t="str">
        <f t="shared" si="38"/>
        <v>Medium</v>
      </c>
      <c r="N1252" t="str">
        <f t="shared" si="39"/>
        <v>Average</v>
      </c>
    </row>
    <row r="1253" spans="1:14">
      <c r="A1253" t="s">
        <v>31</v>
      </c>
      <c r="B1253">
        <v>2011</v>
      </c>
      <c r="C1253" t="s">
        <v>2904</v>
      </c>
      <c r="D1253" t="s">
        <v>14</v>
      </c>
      <c r="E1253" t="s">
        <v>2905</v>
      </c>
      <c r="F1253" t="s">
        <v>46</v>
      </c>
      <c r="G1253">
        <v>43.55</v>
      </c>
      <c r="H1253">
        <v>82</v>
      </c>
      <c r="I1253" t="s">
        <v>17</v>
      </c>
      <c r="J1253" t="s">
        <v>37</v>
      </c>
      <c r="K1253" t="s">
        <v>398</v>
      </c>
      <c r="L1253">
        <v>138</v>
      </c>
      <c r="M1253" t="str">
        <f t="shared" si="38"/>
        <v>High</v>
      </c>
      <c r="N1253" t="str">
        <f t="shared" si="39"/>
        <v>Good</v>
      </c>
    </row>
    <row r="1254" spans="1:14">
      <c r="A1254" t="s">
        <v>38</v>
      </c>
      <c r="B1254">
        <v>2023</v>
      </c>
      <c r="C1254" t="s">
        <v>2906</v>
      </c>
      <c r="D1254" t="s">
        <v>33</v>
      </c>
      <c r="E1254" t="s">
        <v>1116</v>
      </c>
      <c r="F1254" t="s">
        <v>35</v>
      </c>
      <c r="G1254">
        <v>19.97</v>
      </c>
      <c r="H1254">
        <v>59</v>
      </c>
      <c r="I1254" t="s">
        <v>29</v>
      </c>
      <c r="J1254" t="s">
        <v>24</v>
      </c>
      <c r="K1254" t="s">
        <v>39</v>
      </c>
      <c r="L1254">
        <v>273</v>
      </c>
      <c r="M1254" t="str">
        <f t="shared" si="38"/>
        <v>Medium</v>
      </c>
      <c r="N1254" t="str">
        <f t="shared" si="39"/>
        <v>Average</v>
      </c>
    </row>
    <row r="1255" spans="1:14">
      <c r="A1255" t="s">
        <v>68</v>
      </c>
      <c r="B1255">
        <v>2017</v>
      </c>
      <c r="C1255" t="s">
        <v>2907</v>
      </c>
      <c r="D1255" t="s">
        <v>33</v>
      </c>
      <c r="E1255" t="s">
        <v>2908</v>
      </c>
      <c r="F1255" t="s">
        <v>42</v>
      </c>
      <c r="G1255">
        <v>16.05</v>
      </c>
      <c r="H1255">
        <v>78</v>
      </c>
      <c r="I1255" t="s">
        <v>29</v>
      </c>
      <c r="J1255" t="s">
        <v>37</v>
      </c>
      <c r="K1255" t="s">
        <v>749</v>
      </c>
      <c r="L1255">
        <v>218</v>
      </c>
      <c r="M1255" t="str">
        <f t="shared" si="38"/>
        <v>Medium</v>
      </c>
      <c r="N1255" t="str">
        <f t="shared" si="39"/>
        <v>Good</v>
      </c>
    </row>
    <row r="1256" spans="1:14">
      <c r="A1256" t="s">
        <v>12</v>
      </c>
      <c r="B1256">
        <v>2013</v>
      </c>
      <c r="C1256" t="s">
        <v>2909</v>
      </c>
      <c r="D1256" t="s">
        <v>33</v>
      </c>
      <c r="E1256" t="s">
        <v>2910</v>
      </c>
      <c r="F1256" t="s">
        <v>42</v>
      </c>
      <c r="G1256">
        <v>40.85</v>
      </c>
      <c r="H1256">
        <v>66</v>
      </c>
      <c r="I1256" t="s">
        <v>17</v>
      </c>
      <c r="J1256" t="s">
        <v>24</v>
      </c>
      <c r="K1256" t="s">
        <v>2911</v>
      </c>
      <c r="L1256">
        <v>87</v>
      </c>
      <c r="M1256" t="str">
        <f t="shared" si="38"/>
        <v>High</v>
      </c>
      <c r="N1256" t="str">
        <f t="shared" si="39"/>
        <v>Average</v>
      </c>
    </row>
    <row r="1257" spans="1:14">
      <c r="A1257" t="s">
        <v>20</v>
      </c>
      <c r="B1257">
        <v>2000</v>
      </c>
      <c r="C1257" t="s">
        <v>2912</v>
      </c>
      <c r="D1257" t="s">
        <v>14</v>
      </c>
      <c r="E1257" t="s">
        <v>2913</v>
      </c>
      <c r="F1257" t="s">
        <v>57</v>
      </c>
      <c r="G1257">
        <v>37.549999999999997</v>
      </c>
      <c r="H1257">
        <v>55</v>
      </c>
      <c r="I1257" t="s">
        <v>36</v>
      </c>
      <c r="J1257" t="s">
        <v>18</v>
      </c>
      <c r="K1257" t="s">
        <v>97</v>
      </c>
      <c r="L1257">
        <v>100</v>
      </c>
      <c r="M1257" t="str">
        <f t="shared" si="38"/>
        <v>High</v>
      </c>
      <c r="N1257" t="str">
        <f t="shared" si="39"/>
        <v>Average</v>
      </c>
    </row>
    <row r="1258" spans="1:14">
      <c r="A1258" t="s">
        <v>65</v>
      </c>
      <c r="B1258">
        <v>2025</v>
      </c>
      <c r="C1258" t="s">
        <v>2914</v>
      </c>
      <c r="D1258" t="s">
        <v>14</v>
      </c>
      <c r="E1258" t="s">
        <v>2915</v>
      </c>
      <c r="F1258" t="s">
        <v>35</v>
      </c>
      <c r="G1258">
        <v>38.79</v>
      </c>
      <c r="H1258">
        <v>72</v>
      </c>
      <c r="I1258" t="s">
        <v>17</v>
      </c>
      <c r="J1258" t="s">
        <v>37</v>
      </c>
      <c r="K1258" t="s">
        <v>1711</v>
      </c>
      <c r="L1258">
        <v>4</v>
      </c>
      <c r="M1258" t="str">
        <f t="shared" si="38"/>
        <v>High</v>
      </c>
      <c r="N1258" t="str">
        <f t="shared" si="39"/>
        <v>Average</v>
      </c>
    </row>
    <row r="1259" spans="1:14">
      <c r="A1259" t="s">
        <v>26</v>
      </c>
      <c r="B1259">
        <v>2011</v>
      </c>
      <c r="C1259" t="s">
        <v>2916</v>
      </c>
      <c r="D1259" t="s">
        <v>33</v>
      </c>
      <c r="E1259" t="s">
        <v>2917</v>
      </c>
      <c r="F1259" t="s">
        <v>16</v>
      </c>
      <c r="G1259">
        <v>29.45</v>
      </c>
      <c r="H1259">
        <v>95</v>
      </c>
      <c r="I1259" t="s">
        <v>23</v>
      </c>
      <c r="J1259" t="s">
        <v>18</v>
      </c>
      <c r="K1259" t="s">
        <v>398</v>
      </c>
      <c r="L1259">
        <v>185</v>
      </c>
      <c r="M1259" t="str">
        <f t="shared" si="38"/>
        <v>Medium</v>
      </c>
      <c r="N1259" t="str">
        <f t="shared" si="39"/>
        <v>Excellent</v>
      </c>
    </row>
    <row r="1260" spans="1:14">
      <c r="A1260" t="s">
        <v>68</v>
      </c>
      <c r="B1260">
        <v>2014</v>
      </c>
      <c r="C1260" t="s">
        <v>2918</v>
      </c>
      <c r="D1260" t="s">
        <v>33</v>
      </c>
      <c r="E1260" t="s">
        <v>2919</v>
      </c>
      <c r="F1260" t="s">
        <v>57</v>
      </c>
      <c r="G1260">
        <v>18.68</v>
      </c>
      <c r="H1260">
        <v>77</v>
      </c>
      <c r="I1260" t="s">
        <v>23</v>
      </c>
      <c r="J1260" t="s">
        <v>37</v>
      </c>
      <c r="K1260" t="s">
        <v>1061</v>
      </c>
      <c r="L1260">
        <v>261</v>
      </c>
      <c r="M1260" t="str">
        <f t="shared" si="38"/>
        <v>Medium</v>
      </c>
      <c r="N1260" t="str">
        <f t="shared" si="39"/>
        <v>Good</v>
      </c>
    </row>
    <row r="1261" spans="1:14">
      <c r="A1261" t="s">
        <v>38</v>
      </c>
      <c r="B1261">
        <v>2006</v>
      </c>
      <c r="C1261" t="s">
        <v>2920</v>
      </c>
      <c r="D1261" t="s">
        <v>33</v>
      </c>
      <c r="E1261" t="s">
        <v>2921</v>
      </c>
      <c r="F1261" t="s">
        <v>16</v>
      </c>
      <c r="G1261">
        <v>37.64</v>
      </c>
      <c r="H1261">
        <v>92</v>
      </c>
      <c r="I1261" t="s">
        <v>17</v>
      </c>
      <c r="J1261" t="s">
        <v>37</v>
      </c>
      <c r="K1261" t="s">
        <v>795</v>
      </c>
      <c r="L1261">
        <v>331</v>
      </c>
      <c r="M1261" t="str">
        <f t="shared" si="38"/>
        <v>High</v>
      </c>
      <c r="N1261" t="str">
        <f t="shared" si="39"/>
        <v>Excellent</v>
      </c>
    </row>
    <row r="1262" spans="1:14">
      <c r="A1262" t="s">
        <v>12</v>
      </c>
      <c r="B1262">
        <v>2016</v>
      </c>
      <c r="C1262" t="s">
        <v>2922</v>
      </c>
      <c r="D1262" t="s">
        <v>33</v>
      </c>
      <c r="E1262" t="s">
        <v>2923</v>
      </c>
      <c r="F1262" t="s">
        <v>35</v>
      </c>
      <c r="G1262">
        <v>46.37</v>
      </c>
      <c r="H1262">
        <v>62</v>
      </c>
      <c r="I1262" t="s">
        <v>17</v>
      </c>
      <c r="J1262" t="s">
        <v>18</v>
      </c>
      <c r="K1262" t="s">
        <v>20</v>
      </c>
      <c r="L1262">
        <v>236</v>
      </c>
      <c r="M1262" t="str">
        <f t="shared" si="38"/>
        <v>High</v>
      </c>
      <c r="N1262" t="str">
        <f t="shared" si="39"/>
        <v>Average</v>
      </c>
    </row>
    <row r="1263" spans="1:14">
      <c r="A1263" t="s">
        <v>39</v>
      </c>
      <c r="B1263">
        <v>2008</v>
      </c>
      <c r="C1263" t="s">
        <v>2924</v>
      </c>
      <c r="D1263" t="s">
        <v>14</v>
      </c>
      <c r="E1263" t="s">
        <v>2925</v>
      </c>
      <c r="F1263" t="s">
        <v>42</v>
      </c>
      <c r="G1263">
        <v>14.58</v>
      </c>
      <c r="H1263">
        <v>81</v>
      </c>
      <c r="I1263" t="s">
        <v>36</v>
      </c>
      <c r="J1263" t="s">
        <v>37</v>
      </c>
      <c r="K1263" t="s">
        <v>31</v>
      </c>
      <c r="L1263">
        <v>85</v>
      </c>
      <c r="M1263" t="str">
        <f t="shared" si="38"/>
        <v>Low</v>
      </c>
      <c r="N1263" t="str">
        <f t="shared" si="39"/>
        <v>Good</v>
      </c>
    </row>
    <row r="1264" spans="1:14">
      <c r="A1264" t="s">
        <v>31</v>
      </c>
      <c r="B1264">
        <v>2006</v>
      </c>
      <c r="C1264" t="s">
        <v>2926</v>
      </c>
      <c r="D1264" t="s">
        <v>33</v>
      </c>
      <c r="E1264" t="s">
        <v>2927</v>
      </c>
      <c r="F1264" t="s">
        <v>16</v>
      </c>
      <c r="G1264">
        <v>12.9</v>
      </c>
      <c r="H1264">
        <v>78</v>
      </c>
      <c r="I1264" t="s">
        <v>61</v>
      </c>
      <c r="J1264" t="s">
        <v>37</v>
      </c>
      <c r="K1264" t="s">
        <v>1032</v>
      </c>
      <c r="L1264">
        <v>294</v>
      </c>
      <c r="M1264" t="str">
        <f t="shared" si="38"/>
        <v>Low</v>
      </c>
      <c r="N1264" t="str">
        <f t="shared" si="39"/>
        <v>Good</v>
      </c>
    </row>
    <row r="1265" spans="1:14">
      <c r="A1265" t="s">
        <v>65</v>
      </c>
      <c r="B1265">
        <v>2005</v>
      </c>
      <c r="C1265" t="s">
        <v>2928</v>
      </c>
      <c r="D1265" t="s">
        <v>33</v>
      </c>
      <c r="E1265" t="s">
        <v>2929</v>
      </c>
      <c r="F1265" t="s">
        <v>57</v>
      </c>
      <c r="G1265">
        <v>36.869999999999997</v>
      </c>
      <c r="H1265">
        <v>94</v>
      </c>
      <c r="I1265" t="s">
        <v>23</v>
      </c>
      <c r="J1265" t="s">
        <v>37</v>
      </c>
      <c r="K1265" t="s">
        <v>65</v>
      </c>
      <c r="L1265">
        <v>319</v>
      </c>
      <c r="M1265" t="str">
        <f t="shared" si="38"/>
        <v>High</v>
      </c>
      <c r="N1265" t="str">
        <f t="shared" si="39"/>
        <v>Excellent</v>
      </c>
    </row>
    <row r="1266" spans="1:14">
      <c r="A1266" t="s">
        <v>26</v>
      </c>
      <c r="B1266">
        <v>2014</v>
      </c>
      <c r="C1266" t="s">
        <v>2930</v>
      </c>
      <c r="D1266" t="s">
        <v>14</v>
      </c>
      <c r="E1266" t="s">
        <v>2931</v>
      </c>
      <c r="F1266" t="s">
        <v>57</v>
      </c>
      <c r="G1266">
        <v>43.31</v>
      </c>
      <c r="H1266">
        <v>76</v>
      </c>
      <c r="I1266" t="s">
        <v>29</v>
      </c>
      <c r="J1266" t="s">
        <v>37</v>
      </c>
      <c r="K1266" t="s">
        <v>749</v>
      </c>
      <c r="L1266">
        <v>235</v>
      </c>
      <c r="M1266" t="str">
        <f t="shared" si="38"/>
        <v>High</v>
      </c>
      <c r="N1266" t="str">
        <f t="shared" si="39"/>
        <v>Good</v>
      </c>
    </row>
    <row r="1267" spans="1:14">
      <c r="A1267" t="s">
        <v>31</v>
      </c>
      <c r="B1267">
        <v>2012</v>
      </c>
      <c r="C1267" t="s">
        <v>2932</v>
      </c>
      <c r="D1267" t="s">
        <v>14</v>
      </c>
      <c r="E1267" t="s">
        <v>2933</v>
      </c>
      <c r="F1267" t="s">
        <v>42</v>
      </c>
      <c r="G1267">
        <v>6.16</v>
      </c>
      <c r="H1267">
        <v>56</v>
      </c>
      <c r="I1267" t="s">
        <v>17</v>
      </c>
      <c r="J1267" t="s">
        <v>37</v>
      </c>
      <c r="K1267" t="s">
        <v>65</v>
      </c>
      <c r="L1267">
        <v>170</v>
      </c>
      <c r="M1267" t="str">
        <f t="shared" si="38"/>
        <v>Low</v>
      </c>
      <c r="N1267" t="str">
        <f t="shared" si="39"/>
        <v>Average</v>
      </c>
    </row>
    <row r="1268" spans="1:14">
      <c r="A1268" t="s">
        <v>48</v>
      </c>
      <c r="B1268">
        <v>2003</v>
      </c>
      <c r="C1268" t="s">
        <v>2934</v>
      </c>
      <c r="D1268" t="s">
        <v>14</v>
      </c>
      <c r="E1268" t="s">
        <v>2935</v>
      </c>
      <c r="F1268" t="s">
        <v>57</v>
      </c>
      <c r="G1268">
        <v>29.32</v>
      </c>
      <c r="H1268">
        <v>96</v>
      </c>
      <c r="I1268" t="s">
        <v>17</v>
      </c>
      <c r="J1268" t="s">
        <v>24</v>
      </c>
      <c r="K1268" t="s">
        <v>47</v>
      </c>
      <c r="L1268">
        <v>46</v>
      </c>
      <c r="M1268" t="str">
        <f t="shared" si="38"/>
        <v>Medium</v>
      </c>
      <c r="N1268" t="str">
        <f t="shared" si="39"/>
        <v>Excellent</v>
      </c>
    </row>
    <row r="1269" spans="1:14">
      <c r="A1269" t="s">
        <v>12</v>
      </c>
      <c r="B1269">
        <v>2006</v>
      </c>
      <c r="C1269" t="s">
        <v>2936</v>
      </c>
      <c r="D1269" t="s">
        <v>14</v>
      </c>
      <c r="E1269" t="s">
        <v>2937</v>
      </c>
      <c r="F1269" t="s">
        <v>42</v>
      </c>
      <c r="G1269">
        <v>40.82</v>
      </c>
      <c r="H1269">
        <v>68</v>
      </c>
      <c r="I1269" t="s">
        <v>29</v>
      </c>
      <c r="J1269" t="s">
        <v>24</v>
      </c>
      <c r="K1269" t="s">
        <v>39</v>
      </c>
      <c r="L1269">
        <v>165</v>
      </c>
      <c r="M1269" t="str">
        <f t="shared" si="38"/>
        <v>High</v>
      </c>
      <c r="N1269" t="str">
        <f t="shared" si="39"/>
        <v>Average</v>
      </c>
    </row>
    <row r="1270" spans="1:14">
      <c r="A1270" t="s">
        <v>12</v>
      </c>
      <c r="B1270">
        <v>2021</v>
      </c>
      <c r="C1270" t="s">
        <v>2938</v>
      </c>
      <c r="D1270" t="s">
        <v>33</v>
      </c>
      <c r="E1270" t="s">
        <v>2939</v>
      </c>
      <c r="F1270" t="s">
        <v>16</v>
      </c>
      <c r="G1270">
        <v>42.36</v>
      </c>
      <c r="H1270">
        <v>85</v>
      </c>
      <c r="I1270" t="s">
        <v>23</v>
      </c>
      <c r="J1270" t="s">
        <v>18</v>
      </c>
      <c r="K1270" t="s">
        <v>26</v>
      </c>
      <c r="L1270">
        <v>300</v>
      </c>
      <c r="M1270" t="str">
        <f t="shared" si="38"/>
        <v>High</v>
      </c>
      <c r="N1270" t="str">
        <f t="shared" si="39"/>
        <v>Good</v>
      </c>
    </row>
    <row r="1271" spans="1:14">
      <c r="A1271" t="s">
        <v>12</v>
      </c>
      <c r="B1271">
        <v>2006</v>
      </c>
      <c r="C1271" t="s">
        <v>2940</v>
      </c>
      <c r="D1271" t="s">
        <v>14</v>
      </c>
      <c r="E1271" t="s">
        <v>2941</v>
      </c>
      <c r="F1271" t="s">
        <v>46</v>
      </c>
      <c r="G1271">
        <v>18.510000000000002</v>
      </c>
      <c r="H1271">
        <v>67</v>
      </c>
      <c r="I1271" t="s">
        <v>23</v>
      </c>
      <c r="J1271" t="s">
        <v>24</v>
      </c>
      <c r="K1271" t="s">
        <v>26</v>
      </c>
      <c r="L1271">
        <v>113</v>
      </c>
      <c r="M1271" t="str">
        <f t="shared" si="38"/>
        <v>Medium</v>
      </c>
      <c r="N1271" t="str">
        <f t="shared" si="39"/>
        <v>Average</v>
      </c>
    </row>
    <row r="1272" spans="1:14">
      <c r="A1272" t="s">
        <v>12</v>
      </c>
      <c r="B1272">
        <v>2021</v>
      </c>
      <c r="C1272" t="s">
        <v>2942</v>
      </c>
      <c r="D1272" t="s">
        <v>33</v>
      </c>
      <c r="E1272" t="s">
        <v>1072</v>
      </c>
      <c r="F1272" t="s">
        <v>16</v>
      </c>
      <c r="G1272">
        <v>38.4</v>
      </c>
      <c r="H1272">
        <v>73</v>
      </c>
      <c r="I1272" t="s">
        <v>29</v>
      </c>
      <c r="J1272" t="s">
        <v>18</v>
      </c>
      <c r="K1272" t="s">
        <v>38</v>
      </c>
      <c r="L1272">
        <v>12</v>
      </c>
      <c r="M1272" t="str">
        <f t="shared" si="38"/>
        <v>High</v>
      </c>
      <c r="N1272" t="str">
        <f t="shared" si="39"/>
        <v>Average</v>
      </c>
    </row>
    <row r="1273" spans="1:14">
      <c r="A1273" t="s">
        <v>31</v>
      </c>
      <c r="B1273">
        <v>2015</v>
      </c>
      <c r="C1273" t="s">
        <v>2943</v>
      </c>
      <c r="D1273" t="s">
        <v>14</v>
      </c>
      <c r="E1273" t="s">
        <v>2944</v>
      </c>
      <c r="F1273" t="s">
        <v>57</v>
      </c>
      <c r="G1273">
        <v>14.74</v>
      </c>
      <c r="H1273">
        <v>60</v>
      </c>
      <c r="I1273" t="s">
        <v>36</v>
      </c>
      <c r="J1273" t="s">
        <v>24</v>
      </c>
      <c r="K1273" t="s">
        <v>407</v>
      </c>
      <c r="L1273">
        <v>26</v>
      </c>
      <c r="M1273" t="str">
        <f t="shared" si="38"/>
        <v>Low</v>
      </c>
      <c r="N1273" t="str">
        <f t="shared" si="39"/>
        <v>Average</v>
      </c>
    </row>
    <row r="1274" spans="1:14">
      <c r="A1274" t="s">
        <v>48</v>
      </c>
      <c r="B1274">
        <v>2017</v>
      </c>
      <c r="C1274" t="s">
        <v>2945</v>
      </c>
      <c r="D1274" t="s">
        <v>33</v>
      </c>
      <c r="E1274" t="s">
        <v>2946</v>
      </c>
      <c r="F1274" t="s">
        <v>46</v>
      </c>
      <c r="G1274">
        <v>14.73</v>
      </c>
      <c r="H1274">
        <v>88</v>
      </c>
      <c r="I1274" t="s">
        <v>29</v>
      </c>
      <c r="J1274" t="s">
        <v>37</v>
      </c>
      <c r="K1274" t="s">
        <v>457</v>
      </c>
      <c r="L1274">
        <v>359</v>
      </c>
      <c r="M1274" t="str">
        <f t="shared" si="38"/>
        <v>Low</v>
      </c>
      <c r="N1274" t="str">
        <f t="shared" si="39"/>
        <v>Good</v>
      </c>
    </row>
    <row r="1275" spans="1:14">
      <c r="A1275" t="s">
        <v>48</v>
      </c>
      <c r="B1275">
        <v>2004</v>
      </c>
      <c r="C1275" t="s">
        <v>2947</v>
      </c>
      <c r="D1275" t="s">
        <v>14</v>
      </c>
      <c r="E1275" t="s">
        <v>2948</v>
      </c>
      <c r="F1275" t="s">
        <v>42</v>
      </c>
      <c r="G1275">
        <v>23.12</v>
      </c>
      <c r="H1275">
        <v>52</v>
      </c>
      <c r="I1275" t="s">
        <v>23</v>
      </c>
      <c r="J1275" t="s">
        <v>37</v>
      </c>
      <c r="K1275" t="s">
        <v>48</v>
      </c>
      <c r="L1275">
        <v>58</v>
      </c>
      <c r="M1275" t="str">
        <f t="shared" si="38"/>
        <v>Medium</v>
      </c>
      <c r="N1275" t="str">
        <f t="shared" si="39"/>
        <v>Average</v>
      </c>
    </row>
    <row r="1276" spans="1:14">
      <c r="A1276" t="s">
        <v>68</v>
      </c>
      <c r="B1276">
        <v>2006</v>
      </c>
      <c r="C1276" t="s">
        <v>2949</v>
      </c>
      <c r="D1276" t="s">
        <v>14</v>
      </c>
      <c r="E1276" t="s">
        <v>2950</v>
      </c>
      <c r="F1276" t="s">
        <v>57</v>
      </c>
      <c r="G1276">
        <v>20.399999999999999</v>
      </c>
      <c r="H1276">
        <v>91</v>
      </c>
      <c r="I1276" t="s">
        <v>17</v>
      </c>
      <c r="J1276" t="s">
        <v>18</v>
      </c>
      <c r="K1276" t="s">
        <v>26</v>
      </c>
      <c r="L1276">
        <v>60</v>
      </c>
      <c r="M1276" t="str">
        <f t="shared" si="38"/>
        <v>Medium</v>
      </c>
      <c r="N1276" t="str">
        <f t="shared" si="39"/>
        <v>Excellent</v>
      </c>
    </row>
    <row r="1277" spans="1:14">
      <c r="A1277" t="s">
        <v>12</v>
      </c>
      <c r="B1277">
        <v>2004</v>
      </c>
      <c r="C1277" t="s">
        <v>2951</v>
      </c>
      <c r="D1277" t="s">
        <v>33</v>
      </c>
      <c r="E1277" t="s">
        <v>2952</v>
      </c>
      <c r="F1277" t="s">
        <v>42</v>
      </c>
      <c r="G1277">
        <v>48.64</v>
      </c>
      <c r="H1277">
        <v>65</v>
      </c>
      <c r="I1277" t="s">
        <v>36</v>
      </c>
      <c r="J1277" t="s">
        <v>37</v>
      </c>
      <c r="K1277" t="s">
        <v>65</v>
      </c>
      <c r="L1277">
        <v>261</v>
      </c>
      <c r="M1277" t="str">
        <f t="shared" si="38"/>
        <v>High</v>
      </c>
      <c r="N1277" t="str">
        <f t="shared" si="39"/>
        <v>Average</v>
      </c>
    </row>
    <row r="1278" spans="1:14">
      <c r="A1278" t="s">
        <v>12</v>
      </c>
      <c r="B1278">
        <v>2024</v>
      </c>
      <c r="C1278" t="s">
        <v>2953</v>
      </c>
      <c r="D1278" t="s">
        <v>33</v>
      </c>
      <c r="E1278" t="s">
        <v>2954</v>
      </c>
      <c r="F1278" t="s">
        <v>42</v>
      </c>
      <c r="G1278">
        <v>2.1</v>
      </c>
      <c r="H1278">
        <v>69</v>
      </c>
      <c r="I1278" t="s">
        <v>29</v>
      </c>
      <c r="J1278" t="s">
        <v>24</v>
      </c>
      <c r="K1278" t="s">
        <v>420</v>
      </c>
      <c r="L1278">
        <v>363</v>
      </c>
      <c r="M1278" t="str">
        <f t="shared" si="38"/>
        <v>Low</v>
      </c>
      <c r="N1278" t="str">
        <f t="shared" si="39"/>
        <v>Average</v>
      </c>
    </row>
    <row r="1279" spans="1:14">
      <c r="A1279" t="s">
        <v>20</v>
      </c>
      <c r="B1279">
        <v>2020</v>
      </c>
      <c r="C1279" t="s">
        <v>2955</v>
      </c>
      <c r="D1279" t="s">
        <v>33</v>
      </c>
      <c r="E1279" t="s">
        <v>2956</v>
      </c>
      <c r="F1279" t="s">
        <v>16</v>
      </c>
      <c r="G1279">
        <v>27.42</v>
      </c>
      <c r="H1279">
        <v>55</v>
      </c>
      <c r="I1279" t="s">
        <v>17</v>
      </c>
      <c r="J1279" t="s">
        <v>18</v>
      </c>
      <c r="K1279" t="s">
        <v>2957</v>
      </c>
      <c r="L1279">
        <v>173</v>
      </c>
      <c r="M1279" t="str">
        <f t="shared" si="38"/>
        <v>Medium</v>
      </c>
      <c r="N1279" t="str">
        <f t="shared" si="39"/>
        <v>Average</v>
      </c>
    </row>
    <row r="1280" spans="1:14">
      <c r="A1280" t="s">
        <v>12</v>
      </c>
      <c r="B1280">
        <v>2014</v>
      </c>
      <c r="C1280" t="s">
        <v>2958</v>
      </c>
      <c r="D1280" t="s">
        <v>33</v>
      </c>
      <c r="E1280" t="s">
        <v>2959</v>
      </c>
      <c r="F1280" t="s">
        <v>16</v>
      </c>
      <c r="G1280">
        <v>21.69</v>
      </c>
      <c r="H1280">
        <v>92</v>
      </c>
      <c r="I1280" t="s">
        <v>23</v>
      </c>
      <c r="J1280" t="s">
        <v>37</v>
      </c>
      <c r="K1280" t="s">
        <v>286</v>
      </c>
      <c r="L1280">
        <v>107</v>
      </c>
      <c r="M1280" t="str">
        <f t="shared" si="38"/>
        <v>Medium</v>
      </c>
      <c r="N1280" t="str">
        <f t="shared" si="39"/>
        <v>Excellent</v>
      </c>
    </row>
    <row r="1281" spans="1:14">
      <c r="A1281" t="s">
        <v>26</v>
      </c>
      <c r="B1281">
        <v>2001</v>
      </c>
      <c r="C1281" t="s">
        <v>2960</v>
      </c>
      <c r="D1281" t="s">
        <v>33</v>
      </c>
      <c r="E1281" t="s">
        <v>2961</v>
      </c>
      <c r="F1281" t="s">
        <v>16</v>
      </c>
      <c r="G1281">
        <v>28.74</v>
      </c>
      <c r="H1281">
        <v>85</v>
      </c>
      <c r="I1281" t="s">
        <v>36</v>
      </c>
      <c r="J1281" t="s">
        <v>18</v>
      </c>
      <c r="K1281" t="s">
        <v>2962</v>
      </c>
      <c r="L1281">
        <v>125</v>
      </c>
      <c r="M1281" t="str">
        <f t="shared" si="38"/>
        <v>Medium</v>
      </c>
      <c r="N1281" t="str">
        <f t="shared" si="39"/>
        <v>Good</v>
      </c>
    </row>
    <row r="1282" spans="1:14">
      <c r="A1282" t="s">
        <v>12</v>
      </c>
      <c r="B1282">
        <v>2006</v>
      </c>
      <c r="C1282" t="s">
        <v>2963</v>
      </c>
      <c r="D1282" t="s">
        <v>14</v>
      </c>
      <c r="E1282" t="s">
        <v>2964</v>
      </c>
      <c r="F1282" t="s">
        <v>57</v>
      </c>
      <c r="G1282">
        <v>16.079999999999998</v>
      </c>
      <c r="H1282">
        <v>52</v>
      </c>
      <c r="I1282" t="s">
        <v>17</v>
      </c>
      <c r="J1282" t="s">
        <v>24</v>
      </c>
      <c r="K1282" t="s">
        <v>305</v>
      </c>
      <c r="L1282">
        <v>291</v>
      </c>
      <c r="M1282" t="str">
        <f t="shared" si="38"/>
        <v>Medium</v>
      </c>
      <c r="N1282" t="str">
        <f t="shared" si="39"/>
        <v>Average</v>
      </c>
    </row>
    <row r="1283" spans="1:14">
      <c r="A1283" t="s">
        <v>26</v>
      </c>
      <c r="B1283">
        <v>2023</v>
      </c>
      <c r="C1283" t="s">
        <v>2965</v>
      </c>
      <c r="D1283" t="s">
        <v>14</v>
      </c>
      <c r="E1283" t="s">
        <v>2966</v>
      </c>
      <c r="F1283" t="s">
        <v>57</v>
      </c>
      <c r="G1283">
        <v>29.93</v>
      </c>
      <c r="H1283">
        <v>78</v>
      </c>
      <c r="I1283" t="s">
        <v>36</v>
      </c>
      <c r="J1283" t="s">
        <v>37</v>
      </c>
      <c r="K1283" t="s">
        <v>1172</v>
      </c>
      <c r="L1283">
        <v>278</v>
      </c>
      <c r="M1283" t="str">
        <f t="shared" ref="M1283:M1346" si="40">IF(G1283&lt;15,"Low",IF(G1283&lt;35,"Medium","High"))</f>
        <v>Medium</v>
      </c>
      <c r="N1283" t="str">
        <f t="shared" ref="N1283:N1346" si="41">IF(H1283&gt;=90,"Excellent",IF(H1283&gt;=75,"Good","Average"))</f>
        <v>Good</v>
      </c>
    </row>
    <row r="1284" spans="1:14">
      <c r="A1284" t="s">
        <v>26</v>
      </c>
      <c r="B1284">
        <v>2000</v>
      </c>
      <c r="C1284" t="s">
        <v>2967</v>
      </c>
      <c r="D1284" t="s">
        <v>33</v>
      </c>
      <c r="E1284" t="s">
        <v>2968</v>
      </c>
      <c r="F1284" t="s">
        <v>35</v>
      </c>
      <c r="G1284">
        <v>8.2200000000000006</v>
      </c>
      <c r="H1284">
        <v>67</v>
      </c>
      <c r="I1284" t="s">
        <v>23</v>
      </c>
      <c r="J1284" t="s">
        <v>37</v>
      </c>
      <c r="K1284" t="s">
        <v>667</v>
      </c>
      <c r="L1284">
        <v>62</v>
      </c>
      <c r="M1284" t="str">
        <f t="shared" si="40"/>
        <v>Low</v>
      </c>
      <c r="N1284" t="str">
        <f t="shared" si="41"/>
        <v>Average</v>
      </c>
    </row>
    <row r="1285" spans="1:14">
      <c r="A1285" t="s">
        <v>20</v>
      </c>
      <c r="B1285">
        <v>2016</v>
      </c>
      <c r="C1285" t="s">
        <v>2969</v>
      </c>
      <c r="D1285" t="s">
        <v>33</v>
      </c>
      <c r="E1285" t="s">
        <v>2970</v>
      </c>
      <c r="F1285" t="s">
        <v>35</v>
      </c>
      <c r="G1285">
        <v>20.27</v>
      </c>
      <c r="H1285">
        <v>58</v>
      </c>
      <c r="I1285" t="s">
        <v>17</v>
      </c>
      <c r="J1285" t="s">
        <v>37</v>
      </c>
      <c r="K1285" t="s">
        <v>84</v>
      </c>
      <c r="L1285">
        <v>27</v>
      </c>
      <c r="M1285" t="str">
        <f t="shared" si="40"/>
        <v>Medium</v>
      </c>
      <c r="N1285" t="str">
        <f t="shared" si="41"/>
        <v>Average</v>
      </c>
    </row>
    <row r="1286" spans="1:14">
      <c r="A1286" t="s">
        <v>26</v>
      </c>
      <c r="B1286">
        <v>2017</v>
      </c>
      <c r="C1286" t="s">
        <v>2971</v>
      </c>
      <c r="D1286" t="s">
        <v>14</v>
      </c>
      <c r="E1286" t="s">
        <v>2972</v>
      </c>
      <c r="F1286" t="s">
        <v>57</v>
      </c>
      <c r="G1286">
        <v>36.82</v>
      </c>
      <c r="H1286">
        <v>77</v>
      </c>
      <c r="I1286" t="s">
        <v>29</v>
      </c>
      <c r="J1286" t="s">
        <v>37</v>
      </c>
      <c r="K1286" t="s">
        <v>68</v>
      </c>
      <c r="L1286">
        <v>78</v>
      </c>
      <c r="M1286" t="str">
        <f t="shared" si="40"/>
        <v>High</v>
      </c>
      <c r="N1286" t="str">
        <f t="shared" si="41"/>
        <v>Good</v>
      </c>
    </row>
    <row r="1287" spans="1:14">
      <c r="A1287" t="s">
        <v>26</v>
      </c>
      <c r="B1287">
        <v>2008</v>
      </c>
      <c r="C1287" t="s">
        <v>2973</v>
      </c>
      <c r="D1287" t="s">
        <v>33</v>
      </c>
      <c r="E1287" t="s">
        <v>2974</v>
      </c>
      <c r="F1287" t="s">
        <v>46</v>
      </c>
      <c r="G1287">
        <v>3.79</v>
      </c>
      <c r="H1287">
        <v>59</v>
      </c>
      <c r="I1287" t="s">
        <v>36</v>
      </c>
      <c r="J1287" t="s">
        <v>37</v>
      </c>
      <c r="K1287" t="s">
        <v>31</v>
      </c>
      <c r="L1287">
        <v>238</v>
      </c>
      <c r="M1287" t="str">
        <f t="shared" si="40"/>
        <v>Low</v>
      </c>
      <c r="N1287" t="str">
        <f t="shared" si="41"/>
        <v>Average</v>
      </c>
    </row>
    <row r="1288" spans="1:14">
      <c r="A1288" t="s">
        <v>20</v>
      </c>
      <c r="B1288">
        <v>2016</v>
      </c>
      <c r="C1288" t="s">
        <v>2975</v>
      </c>
      <c r="D1288" t="s">
        <v>14</v>
      </c>
      <c r="E1288" t="s">
        <v>2976</v>
      </c>
      <c r="F1288" t="s">
        <v>42</v>
      </c>
      <c r="G1288">
        <v>30.87</v>
      </c>
      <c r="H1288">
        <v>56</v>
      </c>
      <c r="I1288" t="s">
        <v>61</v>
      </c>
      <c r="J1288" t="s">
        <v>37</v>
      </c>
      <c r="K1288" t="s">
        <v>2483</v>
      </c>
      <c r="L1288">
        <v>172</v>
      </c>
      <c r="M1288" t="str">
        <f t="shared" si="40"/>
        <v>Medium</v>
      </c>
      <c r="N1288" t="str">
        <f t="shared" si="41"/>
        <v>Average</v>
      </c>
    </row>
    <row r="1289" spans="1:14">
      <c r="A1289" t="s">
        <v>68</v>
      </c>
      <c r="B1289">
        <v>2017</v>
      </c>
      <c r="C1289" t="s">
        <v>2977</v>
      </c>
      <c r="D1289" t="s">
        <v>33</v>
      </c>
      <c r="E1289" t="s">
        <v>2978</v>
      </c>
      <c r="F1289" t="s">
        <v>16</v>
      </c>
      <c r="G1289">
        <v>26.76</v>
      </c>
      <c r="H1289">
        <v>85</v>
      </c>
      <c r="I1289" t="s">
        <v>23</v>
      </c>
      <c r="J1289" t="s">
        <v>24</v>
      </c>
      <c r="K1289" t="s">
        <v>926</v>
      </c>
      <c r="L1289">
        <v>358</v>
      </c>
      <c r="M1289" t="str">
        <f t="shared" si="40"/>
        <v>Medium</v>
      </c>
      <c r="N1289" t="str">
        <f t="shared" si="41"/>
        <v>Good</v>
      </c>
    </row>
    <row r="1290" spans="1:14">
      <c r="A1290" t="s">
        <v>31</v>
      </c>
      <c r="B1290">
        <v>2011</v>
      </c>
      <c r="C1290" t="s">
        <v>2979</v>
      </c>
      <c r="D1290" t="s">
        <v>33</v>
      </c>
      <c r="E1290" t="s">
        <v>2980</v>
      </c>
      <c r="F1290" t="s">
        <v>42</v>
      </c>
      <c r="G1290">
        <v>17.489999999999998</v>
      </c>
      <c r="H1290">
        <v>70</v>
      </c>
      <c r="I1290" t="s">
        <v>36</v>
      </c>
      <c r="J1290" t="s">
        <v>24</v>
      </c>
      <c r="K1290" t="s">
        <v>956</v>
      </c>
      <c r="L1290">
        <v>10</v>
      </c>
      <c r="M1290" t="str">
        <f t="shared" si="40"/>
        <v>Medium</v>
      </c>
      <c r="N1290" t="str">
        <f t="shared" si="41"/>
        <v>Average</v>
      </c>
    </row>
    <row r="1291" spans="1:14">
      <c r="A1291" t="s">
        <v>48</v>
      </c>
      <c r="B1291">
        <v>2020</v>
      </c>
      <c r="C1291" t="s">
        <v>2981</v>
      </c>
      <c r="D1291" t="s">
        <v>14</v>
      </c>
      <c r="E1291" t="s">
        <v>2982</v>
      </c>
      <c r="F1291" t="s">
        <v>57</v>
      </c>
      <c r="G1291">
        <v>31.78</v>
      </c>
      <c r="H1291">
        <v>60</v>
      </c>
      <c r="I1291" t="s">
        <v>23</v>
      </c>
      <c r="J1291" t="s">
        <v>37</v>
      </c>
      <c r="K1291" t="s">
        <v>2369</v>
      </c>
      <c r="L1291">
        <v>66</v>
      </c>
      <c r="M1291" t="str">
        <f t="shared" si="40"/>
        <v>Medium</v>
      </c>
      <c r="N1291" t="str">
        <f t="shared" si="41"/>
        <v>Average</v>
      </c>
    </row>
    <row r="1292" spans="1:14">
      <c r="A1292" t="s">
        <v>65</v>
      </c>
      <c r="B1292">
        <v>2021</v>
      </c>
      <c r="C1292" t="s">
        <v>2983</v>
      </c>
      <c r="D1292" t="s">
        <v>14</v>
      </c>
      <c r="E1292" t="s">
        <v>2984</v>
      </c>
      <c r="F1292" t="s">
        <v>46</v>
      </c>
      <c r="G1292">
        <v>14.03</v>
      </c>
      <c r="H1292">
        <v>99</v>
      </c>
      <c r="I1292" t="s">
        <v>61</v>
      </c>
      <c r="J1292" t="s">
        <v>37</v>
      </c>
      <c r="K1292" t="s">
        <v>2985</v>
      </c>
      <c r="L1292">
        <v>45</v>
      </c>
      <c r="M1292" t="str">
        <f t="shared" si="40"/>
        <v>Low</v>
      </c>
      <c r="N1292" t="str">
        <f t="shared" si="41"/>
        <v>Excellent</v>
      </c>
    </row>
    <row r="1293" spans="1:14">
      <c r="A1293" t="s">
        <v>12</v>
      </c>
      <c r="B1293">
        <v>2017</v>
      </c>
      <c r="C1293" t="s">
        <v>2986</v>
      </c>
      <c r="D1293" t="s">
        <v>33</v>
      </c>
      <c r="E1293" t="s">
        <v>2987</v>
      </c>
      <c r="F1293" t="s">
        <v>42</v>
      </c>
      <c r="G1293">
        <v>1.45</v>
      </c>
      <c r="H1293">
        <v>89</v>
      </c>
      <c r="I1293" t="s">
        <v>17</v>
      </c>
      <c r="J1293" t="s">
        <v>37</v>
      </c>
      <c r="K1293" t="s">
        <v>2650</v>
      </c>
      <c r="L1293">
        <v>18</v>
      </c>
      <c r="M1293" t="str">
        <f t="shared" si="40"/>
        <v>Low</v>
      </c>
      <c r="N1293" t="str">
        <f t="shared" si="41"/>
        <v>Good</v>
      </c>
    </row>
    <row r="1294" spans="1:14">
      <c r="A1294" t="s">
        <v>38</v>
      </c>
      <c r="B1294">
        <v>2018</v>
      </c>
      <c r="C1294" t="s">
        <v>2988</v>
      </c>
      <c r="D1294" t="s">
        <v>14</v>
      </c>
      <c r="E1294" t="s">
        <v>2989</v>
      </c>
      <c r="F1294" t="s">
        <v>35</v>
      </c>
      <c r="G1294">
        <v>0.83</v>
      </c>
      <c r="H1294">
        <v>100</v>
      </c>
      <c r="I1294" t="s">
        <v>23</v>
      </c>
      <c r="J1294" t="s">
        <v>37</v>
      </c>
      <c r="K1294" t="s">
        <v>2266</v>
      </c>
      <c r="L1294">
        <v>17</v>
      </c>
      <c r="M1294" t="str">
        <f t="shared" si="40"/>
        <v>Low</v>
      </c>
      <c r="N1294" t="str">
        <f t="shared" si="41"/>
        <v>Excellent</v>
      </c>
    </row>
    <row r="1295" spans="1:14">
      <c r="A1295" t="s">
        <v>47</v>
      </c>
      <c r="B1295">
        <v>2022</v>
      </c>
      <c r="C1295" t="s">
        <v>2990</v>
      </c>
      <c r="D1295" t="s">
        <v>14</v>
      </c>
      <c r="E1295" t="s">
        <v>2991</v>
      </c>
      <c r="F1295" t="s">
        <v>35</v>
      </c>
      <c r="G1295">
        <v>23.61</v>
      </c>
      <c r="H1295">
        <v>53</v>
      </c>
      <c r="I1295" t="s">
        <v>61</v>
      </c>
      <c r="J1295" t="s">
        <v>18</v>
      </c>
      <c r="K1295" t="s">
        <v>201</v>
      </c>
      <c r="L1295">
        <v>134</v>
      </c>
      <c r="M1295" t="str">
        <f t="shared" si="40"/>
        <v>Medium</v>
      </c>
      <c r="N1295" t="str">
        <f t="shared" si="41"/>
        <v>Average</v>
      </c>
    </row>
    <row r="1296" spans="1:14">
      <c r="A1296" t="s">
        <v>26</v>
      </c>
      <c r="B1296">
        <v>2011</v>
      </c>
      <c r="C1296" t="s">
        <v>2992</v>
      </c>
      <c r="D1296" t="s">
        <v>33</v>
      </c>
      <c r="E1296" t="s">
        <v>2993</v>
      </c>
      <c r="F1296" t="s">
        <v>42</v>
      </c>
      <c r="G1296">
        <v>22.5</v>
      </c>
      <c r="H1296">
        <v>93</v>
      </c>
      <c r="I1296" t="s">
        <v>17</v>
      </c>
      <c r="J1296" t="s">
        <v>18</v>
      </c>
      <c r="K1296" t="s">
        <v>65</v>
      </c>
      <c r="L1296">
        <v>279</v>
      </c>
      <c r="M1296" t="str">
        <f t="shared" si="40"/>
        <v>Medium</v>
      </c>
      <c r="N1296" t="str">
        <f t="shared" si="41"/>
        <v>Excellent</v>
      </c>
    </row>
    <row r="1297" spans="1:14">
      <c r="A1297" t="s">
        <v>65</v>
      </c>
      <c r="B1297">
        <v>2002</v>
      </c>
      <c r="C1297" t="s">
        <v>2994</v>
      </c>
      <c r="D1297" t="s">
        <v>33</v>
      </c>
      <c r="E1297" t="s">
        <v>2995</v>
      </c>
      <c r="F1297" t="s">
        <v>42</v>
      </c>
      <c r="G1297">
        <v>38.78</v>
      </c>
      <c r="H1297">
        <v>53</v>
      </c>
      <c r="I1297" t="s">
        <v>29</v>
      </c>
      <c r="J1297" t="s">
        <v>18</v>
      </c>
      <c r="K1297" t="s">
        <v>1019</v>
      </c>
      <c r="L1297">
        <v>44</v>
      </c>
      <c r="M1297" t="str">
        <f t="shared" si="40"/>
        <v>High</v>
      </c>
      <c r="N1297" t="str">
        <f t="shared" si="41"/>
        <v>Average</v>
      </c>
    </row>
    <row r="1298" spans="1:14">
      <c r="A1298" t="s">
        <v>31</v>
      </c>
      <c r="B1298">
        <v>2006</v>
      </c>
      <c r="C1298" t="s">
        <v>2996</v>
      </c>
      <c r="D1298" t="s">
        <v>14</v>
      </c>
      <c r="E1298" t="s">
        <v>2997</v>
      </c>
      <c r="F1298" t="s">
        <v>16</v>
      </c>
      <c r="G1298">
        <v>36.35</v>
      </c>
      <c r="H1298">
        <v>61</v>
      </c>
      <c r="I1298" t="s">
        <v>23</v>
      </c>
      <c r="J1298" t="s">
        <v>37</v>
      </c>
      <c r="K1298" t="s">
        <v>1385</v>
      </c>
      <c r="L1298">
        <v>86</v>
      </c>
      <c r="M1298" t="str">
        <f t="shared" si="40"/>
        <v>High</v>
      </c>
      <c r="N1298" t="str">
        <f t="shared" si="41"/>
        <v>Average</v>
      </c>
    </row>
    <row r="1299" spans="1:14">
      <c r="A1299" t="s">
        <v>26</v>
      </c>
      <c r="B1299">
        <v>2018</v>
      </c>
      <c r="C1299" t="s">
        <v>2998</v>
      </c>
      <c r="D1299" t="s">
        <v>33</v>
      </c>
      <c r="E1299" t="s">
        <v>2999</v>
      </c>
      <c r="F1299" t="s">
        <v>42</v>
      </c>
      <c r="G1299">
        <v>44.4</v>
      </c>
      <c r="H1299">
        <v>65</v>
      </c>
      <c r="I1299" t="s">
        <v>29</v>
      </c>
      <c r="J1299" t="s">
        <v>37</v>
      </c>
      <c r="K1299" t="s">
        <v>1412</v>
      </c>
      <c r="L1299">
        <v>46</v>
      </c>
      <c r="M1299" t="str">
        <f t="shared" si="40"/>
        <v>High</v>
      </c>
      <c r="N1299" t="str">
        <f t="shared" si="41"/>
        <v>Average</v>
      </c>
    </row>
    <row r="1300" spans="1:14">
      <c r="A1300" t="s">
        <v>26</v>
      </c>
      <c r="B1300">
        <v>2018</v>
      </c>
      <c r="C1300" t="s">
        <v>3000</v>
      </c>
      <c r="D1300" t="s">
        <v>14</v>
      </c>
      <c r="E1300" t="s">
        <v>3001</v>
      </c>
      <c r="F1300" t="s">
        <v>35</v>
      </c>
      <c r="G1300">
        <v>35.22</v>
      </c>
      <c r="H1300">
        <v>99</v>
      </c>
      <c r="I1300" t="s">
        <v>36</v>
      </c>
      <c r="J1300" t="s">
        <v>18</v>
      </c>
      <c r="K1300" t="s">
        <v>956</v>
      </c>
      <c r="L1300">
        <v>26</v>
      </c>
      <c r="M1300" t="str">
        <f t="shared" si="40"/>
        <v>High</v>
      </c>
      <c r="N1300" t="str">
        <f t="shared" si="41"/>
        <v>Excellent</v>
      </c>
    </row>
    <row r="1301" spans="1:14">
      <c r="A1301" t="s">
        <v>47</v>
      </c>
      <c r="B1301">
        <v>2013</v>
      </c>
      <c r="C1301" t="s">
        <v>3002</v>
      </c>
      <c r="D1301" t="s">
        <v>33</v>
      </c>
      <c r="E1301" t="s">
        <v>3003</v>
      </c>
      <c r="F1301" t="s">
        <v>16</v>
      </c>
      <c r="G1301">
        <v>30.16</v>
      </c>
      <c r="H1301">
        <v>66</v>
      </c>
      <c r="I1301" t="s">
        <v>61</v>
      </c>
      <c r="J1301" t="s">
        <v>18</v>
      </c>
      <c r="K1301" t="s">
        <v>1508</v>
      </c>
      <c r="L1301">
        <v>157</v>
      </c>
      <c r="M1301" t="str">
        <f t="shared" si="40"/>
        <v>Medium</v>
      </c>
      <c r="N1301" t="str">
        <f t="shared" si="41"/>
        <v>Average</v>
      </c>
    </row>
    <row r="1302" spans="1:14">
      <c r="A1302" t="s">
        <v>47</v>
      </c>
      <c r="B1302">
        <v>2004</v>
      </c>
      <c r="C1302" t="s">
        <v>3004</v>
      </c>
      <c r="D1302" t="s">
        <v>33</v>
      </c>
      <c r="E1302" t="s">
        <v>3005</v>
      </c>
      <c r="F1302" t="s">
        <v>35</v>
      </c>
      <c r="G1302">
        <v>9.31</v>
      </c>
      <c r="H1302">
        <v>85</v>
      </c>
      <c r="I1302" t="s">
        <v>36</v>
      </c>
      <c r="J1302" t="s">
        <v>37</v>
      </c>
      <c r="K1302" t="s">
        <v>1049</v>
      </c>
      <c r="L1302">
        <v>93</v>
      </c>
      <c r="M1302" t="str">
        <f t="shared" si="40"/>
        <v>Low</v>
      </c>
      <c r="N1302" t="str">
        <f t="shared" si="41"/>
        <v>Good</v>
      </c>
    </row>
    <row r="1303" spans="1:14">
      <c r="A1303" t="s">
        <v>39</v>
      </c>
      <c r="B1303">
        <v>2006</v>
      </c>
      <c r="C1303" t="s">
        <v>3006</v>
      </c>
      <c r="D1303" t="s">
        <v>14</v>
      </c>
      <c r="E1303" t="s">
        <v>3007</v>
      </c>
      <c r="F1303" t="s">
        <v>35</v>
      </c>
      <c r="G1303">
        <v>47.04</v>
      </c>
      <c r="H1303">
        <v>65</v>
      </c>
      <c r="I1303" t="s">
        <v>29</v>
      </c>
      <c r="J1303" t="s">
        <v>37</v>
      </c>
      <c r="K1303" t="s">
        <v>31</v>
      </c>
      <c r="L1303">
        <v>12</v>
      </c>
      <c r="M1303" t="str">
        <f t="shared" si="40"/>
        <v>High</v>
      </c>
      <c r="N1303" t="str">
        <f t="shared" si="41"/>
        <v>Average</v>
      </c>
    </row>
    <row r="1304" spans="1:14">
      <c r="A1304" t="s">
        <v>48</v>
      </c>
      <c r="B1304">
        <v>2021</v>
      </c>
      <c r="C1304" t="s">
        <v>3008</v>
      </c>
      <c r="D1304" t="s">
        <v>33</v>
      </c>
      <c r="E1304" t="s">
        <v>3009</v>
      </c>
      <c r="F1304" t="s">
        <v>35</v>
      </c>
      <c r="G1304">
        <v>40.119999999999997</v>
      </c>
      <c r="H1304">
        <v>75</v>
      </c>
      <c r="I1304" t="s">
        <v>36</v>
      </c>
      <c r="J1304" t="s">
        <v>37</v>
      </c>
      <c r="K1304" t="s">
        <v>38</v>
      </c>
      <c r="L1304">
        <v>116</v>
      </c>
      <c r="M1304" t="str">
        <f t="shared" si="40"/>
        <v>High</v>
      </c>
      <c r="N1304" t="str">
        <f t="shared" si="41"/>
        <v>Good</v>
      </c>
    </row>
    <row r="1305" spans="1:14">
      <c r="A1305" t="s">
        <v>20</v>
      </c>
      <c r="B1305">
        <v>2002</v>
      </c>
      <c r="C1305" t="s">
        <v>3010</v>
      </c>
      <c r="D1305" t="s">
        <v>14</v>
      </c>
      <c r="E1305" t="s">
        <v>3011</v>
      </c>
      <c r="F1305" t="s">
        <v>57</v>
      </c>
      <c r="G1305">
        <v>20.440000000000001</v>
      </c>
      <c r="H1305">
        <v>58</v>
      </c>
      <c r="I1305" t="s">
        <v>23</v>
      </c>
      <c r="J1305" t="s">
        <v>37</v>
      </c>
      <c r="K1305" t="s">
        <v>12</v>
      </c>
      <c r="L1305">
        <v>168</v>
      </c>
      <c r="M1305" t="str">
        <f t="shared" si="40"/>
        <v>Medium</v>
      </c>
      <c r="N1305" t="str">
        <f t="shared" si="41"/>
        <v>Average</v>
      </c>
    </row>
    <row r="1306" spans="1:14">
      <c r="A1306" t="s">
        <v>47</v>
      </c>
      <c r="B1306">
        <v>2000</v>
      </c>
      <c r="C1306" t="s">
        <v>3012</v>
      </c>
      <c r="D1306" t="s">
        <v>33</v>
      </c>
      <c r="E1306" t="s">
        <v>3013</v>
      </c>
      <c r="F1306" t="s">
        <v>57</v>
      </c>
      <c r="G1306">
        <v>47.14</v>
      </c>
      <c r="H1306">
        <v>99</v>
      </c>
      <c r="I1306" t="s">
        <v>23</v>
      </c>
      <c r="J1306" t="s">
        <v>18</v>
      </c>
      <c r="K1306" t="s">
        <v>68</v>
      </c>
      <c r="L1306">
        <v>86</v>
      </c>
      <c r="M1306" t="str">
        <f t="shared" si="40"/>
        <v>High</v>
      </c>
      <c r="N1306" t="str">
        <f t="shared" si="41"/>
        <v>Excellent</v>
      </c>
    </row>
    <row r="1307" spans="1:14">
      <c r="A1307" t="s">
        <v>47</v>
      </c>
      <c r="B1307">
        <v>2016</v>
      </c>
      <c r="C1307" t="s">
        <v>3014</v>
      </c>
      <c r="D1307" t="s">
        <v>14</v>
      </c>
      <c r="E1307" t="s">
        <v>3015</v>
      </c>
      <c r="F1307" t="s">
        <v>16</v>
      </c>
      <c r="G1307">
        <v>10.26</v>
      </c>
      <c r="H1307">
        <v>98</v>
      </c>
      <c r="I1307" t="s">
        <v>23</v>
      </c>
      <c r="J1307" t="s">
        <v>18</v>
      </c>
      <c r="K1307" t="s">
        <v>1064</v>
      </c>
      <c r="L1307">
        <v>327</v>
      </c>
      <c r="M1307" t="str">
        <f t="shared" si="40"/>
        <v>Low</v>
      </c>
      <c r="N1307" t="str">
        <f t="shared" si="41"/>
        <v>Excellent</v>
      </c>
    </row>
    <row r="1308" spans="1:14">
      <c r="A1308" t="s">
        <v>47</v>
      </c>
      <c r="B1308">
        <v>2012</v>
      </c>
      <c r="C1308" t="s">
        <v>3016</v>
      </c>
      <c r="D1308" t="s">
        <v>14</v>
      </c>
      <c r="E1308" t="s">
        <v>3017</v>
      </c>
      <c r="F1308" t="s">
        <v>57</v>
      </c>
      <c r="G1308">
        <v>31.8</v>
      </c>
      <c r="H1308">
        <v>51</v>
      </c>
      <c r="I1308" t="s">
        <v>23</v>
      </c>
      <c r="J1308" t="s">
        <v>37</v>
      </c>
      <c r="K1308" t="s">
        <v>2325</v>
      </c>
      <c r="L1308">
        <v>131</v>
      </c>
      <c r="M1308" t="str">
        <f t="shared" si="40"/>
        <v>Medium</v>
      </c>
      <c r="N1308" t="str">
        <f t="shared" si="41"/>
        <v>Average</v>
      </c>
    </row>
    <row r="1309" spans="1:14">
      <c r="A1309" t="s">
        <v>47</v>
      </c>
      <c r="B1309">
        <v>2005</v>
      </c>
      <c r="C1309" t="s">
        <v>3018</v>
      </c>
      <c r="D1309" t="s">
        <v>33</v>
      </c>
      <c r="E1309" t="s">
        <v>1872</v>
      </c>
      <c r="F1309" t="s">
        <v>35</v>
      </c>
      <c r="G1309">
        <v>8.3699999999999992</v>
      </c>
      <c r="H1309">
        <v>53</v>
      </c>
      <c r="I1309" t="s">
        <v>29</v>
      </c>
      <c r="J1309" t="s">
        <v>24</v>
      </c>
      <c r="K1309" t="s">
        <v>1374</v>
      </c>
      <c r="L1309">
        <v>97</v>
      </c>
      <c r="M1309" t="str">
        <f t="shared" si="40"/>
        <v>Low</v>
      </c>
      <c r="N1309" t="str">
        <f t="shared" si="41"/>
        <v>Average</v>
      </c>
    </row>
    <row r="1310" spans="1:14">
      <c r="A1310" t="s">
        <v>26</v>
      </c>
      <c r="B1310">
        <v>2009</v>
      </c>
      <c r="C1310" t="s">
        <v>3019</v>
      </c>
      <c r="D1310" t="s">
        <v>14</v>
      </c>
      <c r="E1310" t="s">
        <v>3020</v>
      </c>
      <c r="F1310" t="s">
        <v>46</v>
      </c>
      <c r="G1310">
        <v>30.86</v>
      </c>
      <c r="H1310">
        <v>66</v>
      </c>
      <c r="I1310" t="s">
        <v>36</v>
      </c>
      <c r="J1310" t="s">
        <v>18</v>
      </c>
      <c r="K1310" t="s">
        <v>2106</v>
      </c>
      <c r="L1310">
        <v>140</v>
      </c>
      <c r="M1310" t="str">
        <f t="shared" si="40"/>
        <v>Medium</v>
      </c>
      <c r="N1310" t="str">
        <f t="shared" si="41"/>
        <v>Average</v>
      </c>
    </row>
    <row r="1311" spans="1:14">
      <c r="A1311" t="s">
        <v>12</v>
      </c>
      <c r="B1311">
        <v>2014</v>
      </c>
      <c r="C1311" t="s">
        <v>3021</v>
      </c>
      <c r="D1311" t="s">
        <v>14</v>
      </c>
      <c r="E1311" t="s">
        <v>2404</v>
      </c>
      <c r="F1311" t="s">
        <v>42</v>
      </c>
      <c r="G1311">
        <v>5.25</v>
      </c>
      <c r="H1311">
        <v>71</v>
      </c>
      <c r="I1311" t="s">
        <v>23</v>
      </c>
      <c r="J1311" t="s">
        <v>37</v>
      </c>
      <c r="K1311" t="s">
        <v>64</v>
      </c>
      <c r="L1311">
        <v>164</v>
      </c>
      <c r="M1311" t="str">
        <f t="shared" si="40"/>
        <v>Low</v>
      </c>
      <c r="N1311" t="str">
        <f t="shared" si="41"/>
        <v>Average</v>
      </c>
    </row>
    <row r="1312" spans="1:14">
      <c r="A1312" t="s">
        <v>39</v>
      </c>
      <c r="B1312">
        <v>2024</v>
      </c>
      <c r="C1312" t="s">
        <v>3022</v>
      </c>
      <c r="D1312" t="s">
        <v>33</v>
      </c>
      <c r="E1312" t="s">
        <v>3023</v>
      </c>
      <c r="F1312" t="s">
        <v>35</v>
      </c>
      <c r="G1312">
        <v>40.880000000000003</v>
      </c>
      <c r="H1312">
        <v>54</v>
      </c>
      <c r="I1312" t="s">
        <v>29</v>
      </c>
      <c r="J1312" t="s">
        <v>37</v>
      </c>
      <c r="K1312" t="s">
        <v>335</v>
      </c>
      <c r="L1312">
        <v>346</v>
      </c>
      <c r="M1312" t="str">
        <f t="shared" si="40"/>
        <v>High</v>
      </c>
      <c r="N1312" t="str">
        <f t="shared" si="41"/>
        <v>Average</v>
      </c>
    </row>
    <row r="1313" spans="1:14">
      <c r="A1313" t="s">
        <v>39</v>
      </c>
      <c r="B1313">
        <v>2023</v>
      </c>
      <c r="C1313" t="s">
        <v>3024</v>
      </c>
      <c r="D1313" t="s">
        <v>33</v>
      </c>
      <c r="E1313" t="s">
        <v>3025</v>
      </c>
      <c r="F1313" t="s">
        <v>42</v>
      </c>
      <c r="G1313">
        <v>34.200000000000003</v>
      </c>
      <c r="H1313">
        <v>100</v>
      </c>
      <c r="I1313" t="s">
        <v>23</v>
      </c>
      <c r="J1313" t="s">
        <v>37</v>
      </c>
      <c r="K1313" t="s">
        <v>26</v>
      </c>
      <c r="L1313">
        <v>20</v>
      </c>
      <c r="M1313" t="str">
        <f t="shared" si="40"/>
        <v>Medium</v>
      </c>
      <c r="N1313" t="str">
        <f t="shared" si="41"/>
        <v>Excellent</v>
      </c>
    </row>
    <row r="1314" spans="1:14">
      <c r="A1314" t="s">
        <v>65</v>
      </c>
      <c r="B1314">
        <v>2012</v>
      </c>
      <c r="C1314" t="s">
        <v>3026</v>
      </c>
      <c r="D1314" t="s">
        <v>14</v>
      </c>
      <c r="E1314" t="s">
        <v>3027</v>
      </c>
      <c r="F1314" t="s">
        <v>35</v>
      </c>
      <c r="G1314">
        <v>32.36</v>
      </c>
      <c r="H1314">
        <v>52</v>
      </c>
      <c r="I1314" t="s">
        <v>61</v>
      </c>
      <c r="J1314" t="s">
        <v>18</v>
      </c>
      <c r="K1314" t="s">
        <v>513</v>
      </c>
      <c r="L1314">
        <v>171</v>
      </c>
      <c r="M1314" t="str">
        <f t="shared" si="40"/>
        <v>Medium</v>
      </c>
      <c r="N1314" t="str">
        <f t="shared" si="41"/>
        <v>Average</v>
      </c>
    </row>
    <row r="1315" spans="1:14">
      <c r="A1315" t="s">
        <v>47</v>
      </c>
      <c r="B1315">
        <v>2008</v>
      </c>
      <c r="C1315" t="s">
        <v>3028</v>
      </c>
      <c r="D1315" t="s">
        <v>14</v>
      </c>
      <c r="E1315" t="s">
        <v>3029</v>
      </c>
      <c r="F1315" t="s">
        <v>57</v>
      </c>
      <c r="G1315">
        <v>18.52</v>
      </c>
      <c r="H1315">
        <v>88</v>
      </c>
      <c r="I1315" t="s">
        <v>23</v>
      </c>
      <c r="J1315" t="s">
        <v>37</v>
      </c>
      <c r="K1315" t="s">
        <v>31</v>
      </c>
      <c r="L1315">
        <v>283</v>
      </c>
      <c r="M1315" t="str">
        <f t="shared" si="40"/>
        <v>Medium</v>
      </c>
      <c r="N1315" t="str">
        <f t="shared" si="41"/>
        <v>Good</v>
      </c>
    </row>
    <row r="1316" spans="1:14">
      <c r="A1316" t="s">
        <v>39</v>
      </c>
      <c r="B1316">
        <v>2022</v>
      </c>
      <c r="C1316" t="s">
        <v>3030</v>
      </c>
      <c r="D1316" t="s">
        <v>14</v>
      </c>
      <c r="E1316" t="s">
        <v>3031</v>
      </c>
      <c r="F1316" t="s">
        <v>46</v>
      </c>
      <c r="G1316">
        <v>12.13</v>
      </c>
      <c r="H1316">
        <v>92</v>
      </c>
      <c r="I1316" t="s">
        <v>61</v>
      </c>
      <c r="J1316" t="s">
        <v>24</v>
      </c>
      <c r="K1316" t="s">
        <v>31</v>
      </c>
      <c r="L1316">
        <v>125</v>
      </c>
      <c r="M1316" t="str">
        <f t="shared" si="40"/>
        <v>Low</v>
      </c>
      <c r="N1316" t="str">
        <f t="shared" si="41"/>
        <v>Excellent</v>
      </c>
    </row>
    <row r="1317" spans="1:14">
      <c r="A1317" t="s">
        <v>65</v>
      </c>
      <c r="B1317">
        <v>2012</v>
      </c>
      <c r="C1317" t="s">
        <v>3032</v>
      </c>
      <c r="D1317" t="s">
        <v>33</v>
      </c>
      <c r="E1317" t="s">
        <v>3033</v>
      </c>
      <c r="F1317" t="s">
        <v>42</v>
      </c>
      <c r="G1317">
        <v>36.43</v>
      </c>
      <c r="H1317">
        <v>73</v>
      </c>
      <c r="I1317" t="s">
        <v>17</v>
      </c>
      <c r="J1317" t="s">
        <v>24</v>
      </c>
      <c r="K1317" t="s">
        <v>1986</v>
      </c>
      <c r="L1317">
        <v>1</v>
      </c>
      <c r="M1317" t="str">
        <f t="shared" si="40"/>
        <v>High</v>
      </c>
      <c r="N1317" t="str">
        <f t="shared" si="41"/>
        <v>Average</v>
      </c>
    </row>
    <row r="1318" spans="1:14">
      <c r="A1318" t="s">
        <v>47</v>
      </c>
      <c r="B1318">
        <v>2020</v>
      </c>
      <c r="C1318" t="s">
        <v>3034</v>
      </c>
      <c r="D1318" t="s">
        <v>14</v>
      </c>
      <c r="E1318" t="s">
        <v>3035</v>
      </c>
      <c r="F1318" t="s">
        <v>57</v>
      </c>
      <c r="G1318">
        <v>9</v>
      </c>
      <c r="H1318">
        <v>64</v>
      </c>
      <c r="I1318" t="s">
        <v>29</v>
      </c>
      <c r="J1318" t="s">
        <v>24</v>
      </c>
      <c r="K1318" t="s">
        <v>3036</v>
      </c>
      <c r="L1318">
        <v>262</v>
      </c>
      <c r="M1318" t="str">
        <f t="shared" si="40"/>
        <v>Low</v>
      </c>
      <c r="N1318" t="str">
        <f t="shared" si="41"/>
        <v>Average</v>
      </c>
    </row>
    <row r="1319" spans="1:14">
      <c r="A1319" t="s">
        <v>47</v>
      </c>
      <c r="B1319">
        <v>2024</v>
      </c>
      <c r="C1319" t="s">
        <v>3037</v>
      </c>
      <c r="D1319" t="s">
        <v>33</v>
      </c>
      <c r="E1319" t="s">
        <v>3038</v>
      </c>
      <c r="F1319" t="s">
        <v>35</v>
      </c>
      <c r="G1319">
        <v>34.270000000000003</v>
      </c>
      <c r="H1319">
        <v>81</v>
      </c>
      <c r="I1319" t="s">
        <v>36</v>
      </c>
      <c r="J1319" t="s">
        <v>37</v>
      </c>
      <c r="K1319" t="s">
        <v>94</v>
      </c>
      <c r="L1319">
        <v>303</v>
      </c>
      <c r="M1319" t="str">
        <f t="shared" si="40"/>
        <v>Medium</v>
      </c>
      <c r="N1319" t="str">
        <f t="shared" si="41"/>
        <v>Good</v>
      </c>
    </row>
    <row r="1320" spans="1:14">
      <c r="A1320" t="s">
        <v>20</v>
      </c>
      <c r="B1320">
        <v>2001</v>
      </c>
      <c r="C1320" t="s">
        <v>3039</v>
      </c>
      <c r="D1320" t="s">
        <v>33</v>
      </c>
      <c r="E1320" t="s">
        <v>3040</v>
      </c>
      <c r="F1320" t="s">
        <v>35</v>
      </c>
      <c r="G1320">
        <v>41.06</v>
      </c>
      <c r="H1320">
        <v>66</v>
      </c>
      <c r="I1320" t="s">
        <v>61</v>
      </c>
      <c r="J1320" t="s">
        <v>37</v>
      </c>
      <c r="K1320" t="s">
        <v>26</v>
      </c>
      <c r="L1320">
        <v>355</v>
      </c>
      <c r="M1320" t="str">
        <f t="shared" si="40"/>
        <v>High</v>
      </c>
      <c r="N1320" t="str">
        <f t="shared" si="41"/>
        <v>Average</v>
      </c>
    </row>
    <row r="1321" spans="1:14">
      <c r="A1321" t="s">
        <v>31</v>
      </c>
      <c r="B1321">
        <v>2015</v>
      </c>
      <c r="C1321" t="s">
        <v>3041</v>
      </c>
      <c r="D1321" t="s">
        <v>14</v>
      </c>
      <c r="E1321" t="s">
        <v>3042</v>
      </c>
      <c r="F1321" t="s">
        <v>35</v>
      </c>
      <c r="G1321">
        <v>43.24</v>
      </c>
      <c r="H1321">
        <v>77</v>
      </c>
      <c r="I1321" t="s">
        <v>36</v>
      </c>
      <c r="J1321" t="s">
        <v>37</v>
      </c>
      <c r="K1321" t="s">
        <v>38</v>
      </c>
      <c r="L1321">
        <v>344</v>
      </c>
      <c r="M1321" t="str">
        <f t="shared" si="40"/>
        <v>High</v>
      </c>
      <c r="N1321" t="str">
        <f t="shared" si="41"/>
        <v>Good</v>
      </c>
    </row>
    <row r="1322" spans="1:14">
      <c r="A1322" t="s">
        <v>65</v>
      </c>
      <c r="B1322">
        <v>2003</v>
      </c>
      <c r="C1322" t="s">
        <v>3043</v>
      </c>
      <c r="D1322" t="s">
        <v>33</v>
      </c>
      <c r="E1322" t="s">
        <v>3044</v>
      </c>
      <c r="F1322" t="s">
        <v>46</v>
      </c>
      <c r="G1322">
        <v>42.87</v>
      </c>
      <c r="H1322">
        <v>96</v>
      </c>
      <c r="I1322" t="s">
        <v>36</v>
      </c>
      <c r="J1322" t="s">
        <v>24</v>
      </c>
      <c r="K1322" t="s">
        <v>68</v>
      </c>
      <c r="L1322">
        <v>266</v>
      </c>
      <c r="M1322" t="str">
        <f t="shared" si="40"/>
        <v>High</v>
      </c>
      <c r="N1322" t="str">
        <f t="shared" si="41"/>
        <v>Excellent</v>
      </c>
    </row>
    <row r="1323" spans="1:14">
      <c r="A1323" t="s">
        <v>38</v>
      </c>
      <c r="B1323">
        <v>2016</v>
      </c>
      <c r="C1323" t="s">
        <v>3045</v>
      </c>
      <c r="D1323" t="s">
        <v>33</v>
      </c>
      <c r="E1323" t="s">
        <v>3046</v>
      </c>
      <c r="F1323" t="s">
        <v>57</v>
      </c>
      <c r="G1323">
        <v>32.159999999999997</v>
      </c>
      <c r="H1323">
        <v>56</v>
      </c>
      <c r="I1323" t="s">
        <v>29</v>
      </c>
      <c r="J1323" t="s">
        <v>24</v>
      </c>
      <c r="K1323" t="s">
        <v>47</v>
      </c>
      <c r="L1323">
        <v>264</v>
      </c>
      <c r="M1323" t="str">
        <f t="shared" si="40"/>
        <v>Medium</v>
      </c>
      <c r="N1323" t="str">
        <f t="shared" si="41"/>
        <v>Average</v>
      </c>
    </row>
    <row r="1324" spans="1:14">
      <c r="A1324" t="s">
        <v>68</v>
      </c>
      <c r="B1324">
        <v>2003</v>
      </c>
      <c r="C1324" t="s">
        <v>3047</v>
      </c>
      <c r="D1324" t="s">
        <v>33</v>
      </c>
      <c r="E1324" t="s">
        <v>3048</v>
      </c>
      <c r="F1324" t="s">
        <v>16</v>
      </c>
      <c r="G1324">
        <v>10.74</v>
      </c>
      <c r="H1324">
        <v>59</v>
      </c>
      <c r="I1324" t="s">
        <v>17</v>
      </c>
      <c r="J1324" t="s">
        <v>37</v>
      </c>
      <c r="K1324" t="s">
        <v>3049</v>
      </c>
      <c r="L1324">
        <v>41</v>
      </c>
      <c r="M1324" t="str">
        <f t="shared" si="40"/>
        <v>Low</v>
      </c>
      <c r="N1324" t="str">
        <f t="shared" si="41"/>
        <v>Average</v>
      </c>
    </row>
    <row r="1325" spans="1:14">
      <c r="A1325" t="s">
        <v>31</v>
      </c>
      <c r="B1325">
        <v>2019</v>
      </c>
      <c r="C1325" t="s">
        <v>3050</v>
      </c>
      <c r="D1325" t="s">
        <v>14</v>
      </c>
      <c r="E1325" t="s">
        <v>3051</v>
      </c>
      <c r="F1325" t="s">
        <v>16</v>
      </c>
      <c r="G1325">
        <v>23.95</v>
      </c>
      <c r="H1325">
        <v>73</v>
      </c>
      <c r="I1325" t="s">
        <v>23</v>
      </c>
      <c r="J1325" t="s">
        <v>18</v>
      </c>
      <c r="K1325" t="s">
        <v>114</v>
      </c>
      <c r="L1325">
        <v>193</v>
      </c>
      <c r="M1325" t="str">
        <f t="shared" si="40"/>
        <v>Medium</v>
      </c>
      <c r="N1325" t="str">
        <f t="shared" si="41"/>
        <v>Average</v>
      </c>
    </row>
    <row r="1326" spans="1:14">
      <c r="A1326" t="s">
        <v>20</v>
      </c>
      <c r="B1326">
        <v>2019</v>
      </c>
      <c r="C1326" t="s">
        <v>3052</v>
      </c>
      <c r="D1326" t="s">
        <v>33</v>
      </c>
      <c r="E1326" t="s">
        <v>3053</v>
      </c>
      <c r="F1326" t="s">
        <v>16</v>
      </c>
      <c r="G1326">
        <v>33.840000000000003</v>
      </c>
      <c r="H1326">
        <v>75</v>
      </c>
      <c r="I1326" t="s">
        <v>36</v>
      </c>
      <c r="J1326" t="s">
        <v>18</v>
      </c>
      <c r="K1326" t="s">
        <v>38</v>
      </c>
      <c r="L1326">
        <v>362</v>
      </c>
      <c r="M1326" t="str">
        <f t="shared" si="40"/>
        <v>Medium</v>
      </c>
      <c r="N1326" t="str">
        <f t="shared" si="41"/>
        <v>Good</v>
      </c>
    </row>
    <row r="1327" spans="1:14">
      <c r="A1327" t="s">
        <v>47</v>
      </c>
      <c r="B1327">
        <v>2016</v>
      </c>
      <c r="C1327" t="s">
        <v>3054</v>
      </c>
      <c r="D1327" t="s">
        <v>14</v>
      </c>
      <c r="E1327" t="s">
        <v>3055</v>
      </c>
      <c r="F1327" t="s">
        <v>46</v>
      </c>
      <c r="G1327">
        <v>41.85</v>
      </c>
      <c r="H1327">
        <v>86</v>
      </c>
      <c r="I1327" t="s">
        <v>61</v>
      </c>
      <c r="J1327" t="s">
        <v>37</v>
      </c>
      <c r="K1327" t="s">
        <v>48</v>
      </c>
      <c r="L1327">
        <v>83</v>
      </c>
      <c r="M1327" t="str">
        <f t="shared" si="40"/>
        <v>High</v>
      </c>
      <c r="N1327" t="str">
        <f t="shared" si="41"/>
        <v>Good</v>
      </c>
    </row>
    <row r="1328" spans="1:14">
      <c r="A1328" t="s">
        <v>39</v>
      </c>
      <c r="B1328">
        <v>2021</v>
      </c>
      <c r="C1328" t="s">
        <v>3056</v>
      </c>
      <c r="D1328" t="s">
        <v>14</v>
      </c>
      <c r="E1328" t="s">
        <v>3057</v>
      </c>
      <c r="F1328" t="s">
        <v>57</v>
      </c>
      <c r="G1328">
        <v>8.4</v>
      </c>
      <c r="H1328">
        <v>88</v>
      </c>
      <c r="I1328" t="s">
        <v>61</v>
      </c>
      <c r="J1328" t="s">
        <v>18</v>
      </c>
      <c r="K1328" t="s">
        <v>3058</v>
      </c>
      <c r="L1328">
        <v>338</v>
      </c>
      <c r="M1328" t="str">
        <f t="shared" si="40"/>
        <v>Low</v>
      </c>
      <c r="N1328" t="str">
        <f t="shared" si="41"/>
        <v>Good</v>
      </c>
    </row>
    <row r="1329" spans="1:14">
      <c r="A1329" t="s">
        <v>26</v>
      </c>
      <c r="B1329">
        <v>2019</v>
      </c>
      <c r="C1329" t="s">
        <v>3059</v>
      </c>
      <c r="D1329" t="s">
        <v>33</v>
      </c>
      <c r="E1329" t="s">
        <v>3060</v>
      </c>
      <c r="F1329" t="s">
        <v>46</v>
      </c>
      <c r="G1329">
        <v>7.88</v>
      </c>
      <c r="H1329">
        <v>70</v>
      </c>
      <c r="I1329" t="s">
        <v>23</v>
      </c>
      <c r="J1329" t="s">
        <v>24</v>
      </c>
      <c r="K1329" t="s">
        <v>348</v>
      </c>
      <c r="L1329">
        <v>55</v>
      </c>
      <c r="M1329" t="str">
        <f t="shared" si="40"/>
        <v>Low</v>
      </c>
      <c r="N1329" t="str">
        <f t="shared" si="41"/>
        <v>Average</v>
      </c>
    </row>
    <row r="1330" spans="1:14">
      <c r="A1330" t="s">
        <v>39</v>
      </c>
      <c r="B1330">
        <v>2012</v>
      </c>
      <c r="C1330" t="s">
        <v>3061</v>
      </c>
      <c r="D1330" t="s">
        <v>14</v>
      </c>
      <c r="E1330" t="s">
        <v>3062</v>
      </c>
      <c r="F1330" t="s">
        <v>57</v>
      </c>
      <c r="G1330">
        <v>11.21</v>
      </c>
      <c r="H1330">
        <v>51</v>
      </c>
      <c r="I1330" t="s">
        <v>61</v>
      </c>
      <c r="J1330" t="s">
        <v>24</v>
      </c>
      <c r="K1330" t="s">
        <v>39</v>
      </c>
      <c r="L1330">
        <v>42</v>
      </c>
      <c r="M1330" t="str">
        <f t="shared" si="40"/>
        <v>Low</v>
      </c>
      <c r="N1330" t="str">
        <f t="shared" si="41"/>
        <v>Average</v>
      </c>
    </row>
    <row r="1331" spans="1:14">
      <c r="A1331" t="s">
        <v>65</v>
      </c>
      <c r="B1331">
        <v>2004</v>
      </c>
      <c r="C1331" t="s">
        <v>3063</v>
      </c>
      <c r="D1331" t="s">
        <v>14</v>
      </c>
      <c r="E1331" t="s">
        <v>3064</v>
      </c>
      <c r="F1331" t="s">
        <v>46</v>
      </c>
      <c r="G1331">
        <v>17.97</v>
      </c>
      <c r="H1331">
        <v>89</v>
      </c>
      <c r="I1331" t="s">
        <v>23</v>
      </c>
      <c r="J1331" t="s">
        <v>18</v>
      </c>
      <c r="K1331" t="s">
        <v>831</v>
      </c>
      <c r="L1331">
        <v>355</v>
      </c>
      <c r="M1331" t="str">
        <f t="shared" si="40"/>
        <v>Medium</v>
      </c>
      <c r="N1331" t="str">
        <f t="shared" si="41"/>
        <v>Good</v>
      </c>
    </row>
    <row r="1332" spans="1:14">
      <c r="A1332" t="s">
        <v>20</v>
      </c>
      <c r="B1332">
        <v>2009</v>
      </c>
      <c r="C1332" t="s">
        <v>3065</v>
      </c>
      <c r="D1332" t="s">
        <v>14</v>
      </c>
      <c r="E1332" t="s">
        <v>3066</v>
      </c>
      <c r="F1332" t="s">
        <v>35</v>
      </c>
      <c r="G1332">
        <v>36.96</v>
      </c>
      <c r="H1332">
        <v>61</v>
      </c>
      <c r="I1332" t="s">
        <v>29</v>
      </c>
      <c r="J1332" t="s">
        <v>24</v>
      </c>
      <c r="K1332" t="s">
        <v>534</v>
      </c>
      <c r="L1332">
        <v>88</v>
      </c>
      <c r="M1332" t="str">
        <f t="shared" si="40"/>
        <v>High</v>
      </c>
      <c r="N1332" t="str">
        <f t="shared" si="41"/>
        <v>Average</v>
      </c>
    </row>
    <row r="1333" spans="1:14">
      <c r="A1333" t="s">
        <v>39</v>
      </c>
      <c r="B1333">
        <v>2020</v>
      </c>
      <c r="C1333" t="s">
        <v>3067</v>
      </c>
      <c r="D1333" t="s">
        <v>14</v>
      </c>
      <c r="E1333" t="s">
        <v>3068</v>
      </c>
      <c r="F1333" t="s">
        <v>16</v>
      </c>
      <c r="G1333">
        <v>33.799999999999997</v>
      </c>
      <c r="H1333">
        <v>65</v>
      </c>
      <c r="I1333" t="s">
        <v>36</v>
      </c>
      <c r="J1333" t="s">
        <v>18</v>
      </c>
      <c r="K1333" t="s">
        <v>20</v>
      </c>
      <c r="L1333">
        <v>76</v>
      </c>
      <c r="M1333" t="str">
        <f t="shared" si="40"/>
        <v>Medium</v>
      </c>
      <c r="N1333" t="str">
        <f t="shared" si="41"/>
        <v>Average</v>
      </c>
    </row>
    <row r="1334" spans="1:14">
      <c r="A1334" t="s">
        <v>68</v>
      </c>
      <c r="B1334">
        <v>2014</v>
      </c>
      <c r="C1334" t="s">
        <v>3069</v>
      </c>
      <c r="D1334" t="s">
        <v>14</v>
      </c>
      <c r="E1334" t="s">
        <v>3070</v>
      </c>
      <c r="F1334" t="s">
        <v>57</v>
      </c>
      <c r="G1334">
        <v>45</v>
      </c>
      <c r="H1334">
        <v>94</v>
      </c>
      <c r="I1334" t="s">
        <v>61</v>
      </c>
      <c r="J1334" t="s">
        <v>18</v>
      </c>
      <c r="K1334" t="s">
        <v>1639</v>
      </c>
      <c r="L1334">
        <v>306</v>
      </c>
      <c r="M1334" t="str">
        <f t="shared" si="40"/>
        <v>High</v>
      </c>
      <c r="N1334" t="str">
        <f t="shared" si="41"/>
        <v>Excellent</v>
      </c>
    </row>
    <row r="1335" spans="1:14">
      <c r="A1335" t="s">
        <v>65</v>
      </c>
      <c r="B1335">
        <v>2024</v>
      </c>
      <c r="C1335" t="s">
        <v>3071</v>
      </c>
      <c r="D1335" t="s">
        <v>14</v>
      </c>
      <c r="E1335" t="s">
        <v>3072</v>
      </c>
      <c r="F1335" t="s">
        <v>57</v>
      </c>
      <c r="G1335">
        <v>31.15</v>
      </c>
      <c r="H1335">
        <v>56</v>
      </c>
      <c r="I1335" t="s">
        <v>29</v>
      </c>
      <c r="J1335" t="s">
        <v>18</v>
      </c>
      <c r="K1335" t="s">
        <v>68</v>
      </c>
      <c r="L1335">
        <v>349</v>
      </c>
      <c r="M1335" t="str">
        <f t="shared" si="40"/>
        <v>Medium</v>
      </c>
      <c r="N1335" t="str">
        <f t="shared" si="41"/>
        <v>Average</v>
      </c>
    </row>
    <row r="1336" spans="1:14">
      <c r="A1336" t="s">
        <v>65</v>
      </c>
      <c r="B1336">
        <v>2018</v>
      </c>
      <c r="C1336" t="s">
        <v>3073</v>
      </c>
      <c r="D1336" t="s">
        <v>33</v>
      </c>
      <c r="E1336" t="s">
        <v>3074</v>
      </c>
      <c r="F1336" t="s">
        <v>57</v>
      </c>
      <c r="G1336">
        <v>20.170000000000002</v>
      </c>
      <c r="H1336">
        <v>88</v>
      </c>
      <c r="I1336" t="s">
        <v>61</v>
      </c>
      <c r="J1336" t="s">
        <v>37</v>
      </c>
      <c r="K1336" t="s">
        <v>48</v>
      </c>
      <c r="L1336">
        <v>362</v>
      </c>
      <c r="M1336" t="str">
        <f t="shared" si="40"/>
        <v>Medium</v>
      </c>
      <c r="N1336" t="str">
        <f t="shared" si="41"/>
        <v>Good</v>
      </c>
    </row>
    <row r="1337" spans="1:14">
      <c r="A1337" t="s">
        <v>12</v>
      </c>
      <c r="B1337">
        <v>2001</v>
      </c>
      <c r="C1337" t="s">
        <v>3075</v>
      </c>
      <c r="D1337" t="s">
        <v>14</v>
      </c>
      <c r="E1337" t="s">
        <v>3076</v>
      </c>
      <c r="F1337" t="s">
        <v>57</v>
      </c>
      <c r="G1337">
        <v>45.49</v>
      </c>
      <c r="H1337">
        <v>72</v>
      </c>
      <c r="I1337" t="s">
        <v>36</v>
      </c>
      <c r="J1337" t="s">
        <v>18</v>
      </c>
      <c r="K1337" t="s">
        <v>31</v>
      </c>
      <c r="L1337">
        <v>27</v>
      </c>
      <c r="M1337" t="str">
        <f t="shared" si="40"/>
        <v>High</v>
      </c>
      <c r="N1337" t="str">
        <f t="shared" si="41"/>
        <v>Average</v>
      </c>
    </row>
    <row r="1338" spans="1:14">
      <c r="A1338" t="s">
        <v>20</v>
      </c>
      <c r="B1338">
        <v>2020</v>
      </c>
      <c r="C1338" t="s">
        <v>3077</v>
      </c>
      <c r="D1338" t="s">
        <v>33</v>
      </c>
      <c r="E1338" t="s">
        <v>239</v>
      </c>
      <c r="F1338" t="s">
        <v>16</v>
      </c>
      <c r="G1338">
        <v>18.600000000000001</v>
      </c>
      <c r="H1338">
        <v>79</v>
      </c>
      <c r="I1338" t="s">
        <v>36</v>
      </c>
      <c r="J1338" t="s">
        <v>37</v>
      </c>
      <c r="K1338" t="s">
        <v>292</v>
      </c>
      <c r="L1338">
        <v>90</v>
      </c>
      <c r="M1338" t="str">
        <f t="shared" si="40"/>
        <v>Medium</v>
      </c>
      <c r="N1338" t="str">
        <f t="shared" si="41"/>
        <v>Good</v>
      </c>
    </row>
    <row r="1339" spans="1:14">
      <c r="A1339" t="s">
        <v>20</v>
      </c>
      <c r="B1339">
        <v>2007</v>
      </c>
      <c r="C1339" t="s">
        <v>3078</v>
      </c>
      <c r="D1339" t="s">
        <v>14</v>
      </c>
      <c r="E1339" t="s">
        <v>3079</v>
      </c>
      <c r="F1339" t="s">
        <v>16</v>
      </c>
      <c r="G1339">
        <v>1.99</v>
      </c>
      <c r="H1339">
        <v>85</v>
      </c>
      <c r="I1339" t="s">
        <v>29</v>
      </c>
      <c r="J1339" t="s">
        <v>24</v>
      </c>
      <c r="K1339" t="s">
        <v>2563</v>
      </c>
      <c r="L1339">
        <v>108</v>
      </c>
      <c r="M1339" t="str">
        <f t="shared" si="40"/>
        <v>Low</v>
      </c>
      <c r="N1339" t="str">
        <f t="shared" si="41"/>
        <v>Good</v>
      </c>
    </row>
    <row r="1340" spans="1:14">
      <c r="A1340" t="s">
        <v>31</v>
      </c>
      <c r="B1340">
        <v>2022</v>
      </c>
      <c r="C1340" t="s">
        <v>3080</v>
      </c>
      <c r="D1340" t="s">
        <v>14</v>
      </c>
      <c r="E1340" t="s">
        <v>3081</v>
      </c>
      <c r="F1340" t="s">
        <v>16</v>
      </c>
      <c r="G1340">
        <v>22.93</v>
      </c>
      <c r="H1340">
        <v>50</v>
      </c>
      <c r="I1340" t="s">
        <v>23</v>
      </c>
      <c r="J1340" t="s">
        <v>37</v>
      </c>
      <c r="K1340" t="s">
        <v>430</v>
      </c>
      <c r="L1340">
        <v>235</v>
      </c>
      <c r="M1340" t="str">
        <f t="shared" si="40"/>
        <v>Medium</v>
      </c>
      <c r="N1340" t="str">
        <f t="shared" si="41"/>
        <v>Average</v>
      </c>
    </row>
    <row r="1341" spans="1:14">
      <c r="A1341" t="s">
        <v>47</v>
      </c>
      <c r="B1341">
        <v>2023</v>
      </c>
      <c r="C1341" t="s">
        <v>3082</v>
      </c>
      <c r="D1341" t="s">
        <v>33</v>
      </c>
      <c r="E1341" t="s">
        <v>3083</v>
      </c>
      <c r="F1341" t="s">
        <v>57</v>
      </c>
      <c r="G1341">
        <v>35.409999999999997</v>
      </c>
      <c r="H1341">
        <v>85</v>
      </c>
      <c r="I1341" t="s">
        <v>17</v>
      </c>
      <c r="J1341" t="s">
        <v>24</v>
      </c>
      <c r="K1341" t="s">
        <v>48</v>
      </c>
      <c r="L1341">
        <v>42</v>
      </c>
      <c r="M1341" t="str">
        <f t="shared" si="40"/>
        <v>High</v>
      </c>
      <c r="N1341" t="str">
        <f t="shared" si="41"/>
        <v>Good</v>
      </c>
    </row>
    <row r="1342" spans="1:14">
      <c r="A1342" t="s">
        <v>26</v>
      </c>
      <c r="B1342">
        <v>2005</v>
      </c>
      <c r="C1342" t="s">
        <v>3084</v>
      </c>
      <c r="D1342" t="s">
        <v>14</v>
      </c>
      <c r="E1342" t="s">
        <v>3085</v>
      </c>
      <c r="F1342" t="s">
        <v>16</v>
      </c>
      <c r="G1342">
        <v>37.340000000000003</v>
      </c>
      <c r="H1342">
        <v>92</v>
      </c>
      <c r="I1342" t="s">
        <v>29</v>
      </c>
      <c r="J1342" t="s">
        <v>18</v>
      </c>
      <c r="K1342" t="s">
        <v>2850</v>
      </c>
      <c r="L1342">
        <v>133</v>
      </c>
      <c r="M1342" t="str">
        <f t="shared" si="40"/>
        <v>High</v>
      </c>
      <c r="N1342" t="str">
        <f t="shared" si="41"/>
        <v>Excellent</v>
      </c>
    </row>
    <row r="1343" spans="1:14">
      <c r="A1343" t="s">
        <v>48</v>
      </c>
      <c r="B1343">
        <v>2023</v>
      </c>
      <c r="C1343" t="s">
        <v>3086</v>
      </c>
      <c r="D1343" t="s">
        <v>14</v>
      </c>
      <c r="E1343" t="s">
        <v>3087</v>
      </c>
      <c r="F1343" t="s">
        <v>16</v>
      </c>
      <c r="G1343">
        <v>27.76</v>
      </c>
      <c r="H1343">
        <v>60</v>
      </c>
      <c r="I1343" t="s">
        <v>61</v>
      </c>
      <c r="J1343" t="s">
        <v>24</v>
      </c>
      <c r="K1343" t="s">
        <v>139</v>
      </c>
      <c r="L1343">
        <v>183</v>
      </c>
      <c r="M1343" t="str">
        <f t="shared" si="40"/>
        <v>Medium</v>
      </c>
      <c r="N1343" t="str">
        <f t="shared" si="41"/>
        <v>Average</v>
      </c>
    </row>
    <row r="1344" spans="1:14">
      <c r="A1344" t="s">
        <v>68</v>
      </c>
      <c r="B1344">
        <v>2010</v>
      </c>
      <c r="C1344" t="s">
        <v>3088</v>
      </c>
      <c r="D1344" t="s">
        <v>14</v>
      </c>
      <c r="E1344" t="s">
        <v>3089</v>
      </c>
      <c r="F1344" t="s">
        <v>46</v>
      </c>
      <c r="G1344">
        <v>11.61</v>
      </c>
      <c r="H1344">
        <v>78</v>
      </c>
      <c r="I1344" t="s">
        <v>29</v>
      </c>
      <c r="J1344" t="s">
        <v>37</v>
      </c>
      <c r="K1344" t="s">
        <v>48</v>
      </c>
      <c r="L1344">
        <v>90</v>
      </c>
      <c r="M1344" t="str">
        <f t="shared" si="40"/>
        <v>Low</v>
      </c>
      <c r="N1344" t="str">
        <f t="shared" si="41"/>
        <v>Good</v>
      </c>
    </row>
    <row r="1345" spans="1:14">
      <c r="A1345" t="s">
        <v>26</v>
      </c>
      <c r="B1345">
        <v>2017</v>
      </c>
      <c r="C1345" t="s">
        <v>3090</v>
      </c>
      <c r="D1345" t="s">
        <v>14</v>
      </c>
      <c r="E1345" t="s">
        <v>3091</v>
      </c>
      <c r="F1345" t="s">
        <v>46</v>
      </c>
      <c r="G1345">
        <v>46.36</v>
      </c>
      <c r="H1345">
        <v>60</v>
      </c>
      <c r="I1345" t="s">
        <v>36</v>
      </c>
      <c r="J1345" t="s">
        <v>18</v>
      </c>
      <c r="K1345" t="s">
        <v>819</v>
      </c>
      <c r="L1345">
        <v>21</v>
      </c>
      <c r="M1345" t="str">
        <f t="shared" si="40"/>
        <v>High</v>
      </c>
      <c r="N1345" t="str">
        <f t="shared" si="41"/>
        <v>Average</v>
      </c>
    </row>
    <row r="1346" spans="1:14">
      <c r="A1346" t="s">
        <v>26</v>
      </c>
      <c r="B1346">
        <v>2017</v>
      </c>
      <c r="C1346" t="s">
        <v>3092</v>
      </c>
      <c r="D1346" t="s">
        <v>14</v>
      </c>
      <c r="E1346" t="s">
        <v>3093</v>
      </c>
      <c r="F1346" t="s">
        <v>35</v>
      </c>
      <c r="G1346">
        <v>46.47</v>
      </c>
      <c r="H1346">
        <v>71</v>
      </c>
      <c r="I1346" t="s">
        <v>23</v>
      </c>
      <c r="J1346" t="s">
        <v>18</v>
      </c>
      <c r="K1346" t="s">
        <v>39</v>
      </c>
      <c r="L1346">
        <v>265</v>
      </c>
      <c r="M1346" t="str">
        <f t="shared" si="40"/>
        <v>High</v>
      </c>
      <c r="N1346" t="str">
        <f t="shared" si="41"/>
        <v>Average</v>
      </c>
    </row>
    <row r="1347" spans="1:14">
      <c r="A1347" t="s">
        <v>31</v>
      </c>
      <c r="B1347">
        <v>2001</v>
      </c>
      <c r="C1347" t="s">
        <v>3094</v>
      </c>
      <c r="D1347" t="s">
        <v>33</v>
      </c>
      <c r="E1347" t="s">
        <v>3095</v>
      </c>
      <c r="F1347" t="s">
        <v>46</v>
      </c>
      <c r="G1347">
        <v>48.98</v>
      </c>
      <c r="H1347">
        <v>70</v>
      </c>
      <c r="I1347" t="s">
        <v>29</v>
      </c>
      <c r="J1347" t="s">
        <v>37</v>
      </c>
      <c r="K1347" t="s">
        <v>68</v>
      </c>
      <c r="L1347">
        <v>174</v>
      </c>
      <c r="M1347" t="str">
        <f t="shared" ref="M1347:M1410" si="42">IF(G1347&lt;15,"Low",IF(G1347&lt;35,"Medium","High"))</f>
        <v>High</v>
      </c>
      <c r="N1347" t="str">
        <f t="shared" ref="N1347:N1410" si="43">IF(H1347&gt;=90,"Excellent",IF(H1347&gt;=75,"Good","Average"))</f>
        <v>Average</v>
      </c>
    </row>
    <row r="1348" spans="1:14">
      <c r="A1348" t="s">
        <v>48</v>
      </c>
      <c r="B1348">
        <v>2014</v>
      </c>
      <c r="C1348" t="s">
        <v>3096</v>
      </c>
      <c r="D1348" t="s">
        <v>33</v>
      </c>
      <c r="E1348" t="s">
        <v>3097</v>
      </c>
      <c r="F1348" t="s">
        <v>42</v>
      </c>
      <c r="G1348">
        <v>26.39</v>
      </c>
      <c r="H1348">
        <v>92</v>
      </c>
      <c r="I1348" t="s">
        <v>36</v>
      </c>
      <c r="J1348" t="s">
        <v>18</v>
      </c>
      <c r="K1348" t="s">
        <v>64</v>
      </c>
      <c r="L1348">
        <v>237</v>
      </c>
      <c r="M1348" t="str">
        <f t="shared" si="42"/>
        <v>Medium</v>
      </c>
      <c r="N1348" t="str">
        <f t="shared" si="43"/>
        <v>Excellent</v>
      </c>
    </row>
    <row r="1349" spans="1:14">
      <c r="A1349" t="s">
        <v>20</v>
      </c>
      <c r="B1349">
        <v>2001</v>
      </c>
      <c r="C1349" t="s">
        <v>3098</v>
      </c>
      <c r="D1349" t="s">
        <v>14</v>
      </c>
      <c r="E1349" t="s">
        <v>3099</v>
      </c>
      <c r="F1349" t="s">
        <v>42</v>
      </c>
      <c r="G1349">
        <v>7.01</v>
      </c>
      <c r="H1349">
        <v>81</v>
      </c>
      <c r="I1349" t="s">
        <v>23</v>
      </c>
      <c r="J1349" t="s">
        <v>18</v>
      </c>
      <c r="K1349" t="s">
        <v>3100</v>
      </c>
      <c r="L1349">
        <v>33</v>
      </c>
      <c r="M1349" t="str">
        <f t="shared" si="42"/>
        <v>Low</v>
      </c>
      <c r="N1349" t="str">
        <f t="shared" si="43"/>
        <v>Good</v>
      </c>
    </row>
    <row r="1350" spans="1:14">
      <c r="A1350" t="s">
        <v>26</v>
      </c>
      <c r="B1350">
        <v>2001</v>
      </c>
      <c r="C1350" t="s">
        <v>3101</v>
      </c>
      <c r="D1350" t="s">
        <v>33</v>
      </c>
      <c r="E1350" t="s">
        <v>3102</v>
      </c>
      <c r="F1350" t="s">
        <v>42</v>
      </c>
      <c r="G1350">
        <v>30.84</v>
      </c>
      <c r="H1350">
        <v>61</v>
      </c>
      <c r="I1350" t="s">
        <v>23</v>
      </c>
      <c r="J1350" t="s">
        <v>18</v>
      </c>
      <c r="K1350" t="s">
        <v>317</v>
      </c>
      <c r="L1350">
        <v>7</v>
      </c>
      <c r="M1350" t="str">
        <f t="shared" si="42"/>
        <v>Medium</v>
      </c>
      <c r="N1350" t="str">
        <f t="shared" si="43"/>
        <v>Average</v>
      </c>
    </row>
    <row r="1351" spans="1:14">
      <c r="A1351" t="s">
        <v>38</v>
      </c>
      <c r="B1351">
        <v>2015</v>
      </c>
      <c r="C1351" t="s">
        <v>3103</v>
      </c>
      <c r="D1351" t="s">
        <v>14</v>
      </c>
      <c r="E1351" t="s">
        <v>3104</v>
      </c>
      <c r="F1351" t="s">
        <v>16</v>
      </c>
      <c r="G1351">
        <v>0.83</v>
      </c>
      <c r="H1351">
        <v>92</v>
      </c>
      <c r="I1351" t="s">
        <v>61</v>
      </c>
      <c r="J1351" t="s">
        <v>24</v>
      </c>
      <c r="K1351" t="s">
        <v>3105</v>
      </c>
      <c r="L1351">
        <v>302</v>
      </c>
      <c r="M1351" t="str">
        <f t="shared" si="42"/>
        <v>Low</v>
      </c>
      <c r="N1351" t="str">
        <f t="shared" si="43"/>
        <v>Excellent</v>
      </c>
    </row>
    <row r="1352" spans="1:14">
      <c r="A1352" t="s">
        <v>47</v>
      </c>
      <c r="B1352">
        <v>2007</v>
      </c>
      <c r="C1352" t="s">
        <v>3106</v>
      </c>
      <c r="D1352" t="s">
        <v>33</v>
      </c>
      <c r="E1352" t="s">
        <v>3107</v>
      </c>
      <c r="F1352" t="s">
        <v>46</v>
      </c>
      <c r="G1352">
        <v>37.72</v>
      </c>
      <c r="H1352">
        <v>92</v>
      </c>
      <c r="I1352" t="s">
        <v>29</v>
      </c>
      <c r="J1352" t="s">
        <v>24</v>
      </c>
      <c r="K1352" t="s">
        <v>1470</v>
      </c>
      <c r="L1352">
        <v>301</v>
      </c>
      <c r="M1352" t="str">
        <f t="shared" si="42"/>
        <v>High</v>
      </c>
      <c r="N1352" t="str">
        <f t="shared" si="43"/>
        <v>Excellent</v>
      </c>
    </row>
    <row r="1353" spans="1:14">
      <c r="A1353" t="s">
        <v>65</v>
      </c>
      <c r="B1353">
        <v>2021</v>
      </c>
      <c r="C1353" t="s">
        <v>3108</v>
      </c>
      <c r="D1353" t="s">
        <v>33</v>
      </c>
      <c r="E1353" t="s">
        <v>77</v>
      </c>
      <c r="F1353" t="s">
        <v>16</v>
      </c>
      <c r="G1353">
        <v>17.11</v>
      </c>
      <c r="H1353">
        <v>72</v>
      </c>
      <c r="I1353" t="s">
        <v>61</v>
      </c>
      <c r="J1353" t="s">
        <v>24</v>
      </c>
      <c r="K1353" t="s">
        <v>335</v>
      </c>
      <c r="L1353">
        <v>254</v>
      </c>
      <c r="M1353" t="str">
        <f t="shared" si="42"/>
        <v>Medium</v>
      </c>
      <c r="N1353" t="str">
        <f t="shared" si="43"/>
        <v>Average</v>
      </c>
    </row>
    <row r="1354" spans="1:14">
      <c r="A1354" t="s">
        <v>65</v>
      </c>
      <c r="B1354">
        <v>2009</v>
      </c>
      <c r="C1354" t="s">
        <v>3109</v>
      </c>
      <c r="D1354" t="s">
        <v>14</v>
      </c>
      <c r="E1354" t="s">
        <v>818</v>
      </c>
      <c r="F1354" t="s">
        <v>57</v>
      </c>
      <c r="G1354">
        <v>37.28</v>
      </c>
      <c r="H1354">
        <v>86</v>
      </c>
      <c r="I1354" t="s">
        <v>36</v>
      </c>
      <c r="J1354" t="s">
        <v>24</v>
      </c>
      <c r="K1354" t="s">
        <v>26</v>
      </c>
      <c r="L1354">
        <v>42</v>
      </c>
      <c r="M1354" t="str">
        <f t="shared" si="42"/>
        <v>High</v>
      </c>
      <c r="N1354" t="str">
        <f t="shared" si="43"/>
        <v>Good</v>
      </c>
    </row>
    <row r="1355" spans="1:14">
      <c r="A1355" t="s">
        <v>47</v>
      </c>
      <c r="B1355">
        <v>2020</v>
      </c>
      <c r="C1355" t="s">
        <v>3110</v>
      </c>
      <c r="D1355" t="s">
        <v>33</v>
      </c>
      <c r="E1355" t="s">
        <v>3111</v>
      </c>
      <c r="F1355" t="s">
        <v>57</v>
      </c>
      <c r="G1355">
        <v>16.03</v>
      </c>
      <c r="H1355">
        <v>65</v>
      </c>
      <c r="I1355" t="s">
        <v>61</v>
      </c>
      <c r="J1355" t="s">
        <v>24</v>
      </c>
      <c r="K1355" t="s">
        <v>3112</v>
      </c>
      <c r="L1355">
        <v>350</v>
      </c>
      <c r="M1355" t="str">
        <f t="shared" si="42"/>
        <v>Medium</v>
      </c>
      <c r="N1355" t="str">
        <f t="shared" si="43"/>
        <v>Average</v>
      </c>
    </row>
    <row r="1356" spans="1:14">
      <c r="A1356" t="s">
        <v>48</v>
      </c>
      <c r="B1356">
        <v>2017</v>
      </c>
      <c r="C1356" t="s">
        <v>3113</v>
      </c>
      <c r="D1356" t="s">
        <v>14</v>
      </c>
      <c r="E1356" t="s">
        <v>3114</v>
      </c>
      <c r="F1356" t="s">
        <v>46</v>
      </c>
      <c r="G1356">
        <v>25.58</v>
      </c>
      <c r="H1356">
        <v>75</v>
      </c>
      <c r="I1356" t="s">
        <v>23</v>
      </c>
      <c r="J1356" t="s">
        <v>18</v>
      </c>
      <c r="K1356" t="s">
        <v>26</v>
      </c>
      <c r="L1356">
        <v>327</v>
      </c>
      <c r="M1356" t="str">
        <f t="shared" si="42"/>
        <v>Medium</v>
      </c>
      <c r="N1356" t="str">
        <f t="shared" si="43"/>
        <v>Good</v>
      </c>
    </row>
    <row r="1357" spans="1:14">
      <c r="A1357" t="s">
        <v>38</v>
      </c>
      <c r="B1357">
        <v>2019</v>
      </c>
      <c r="C1357" t="s">
        <v>3115</v>
      </c>
      <c r="D1357" t="s">
        <v>33</v>
      </c>
      <c r="E1357" t="s">
        <v>3116</v>
      </c>
      <c r="F1357" t="s">
        <v>46</v>
      </c>
      <c r="G1357">
        <v>23.56</v>
      </c>
      <c r="H1357">
        <v>69</v>
      </c>
      <c r="I1357" t="s">
        <v>23</v>
      </c>
      <c r="J1357" t="s">
        <v>24</v>
      </c>
      <c r="K1357" t="s">
        <v>31</v>
      </c>
      <c r="L1357">
        <v>315</v>
      </c>
      <c r="M1357" t="str">
        <f t="shared" si="42"/>
        <v>Medium</v>
      </c>
      <c r="N1357" t="str">
        <f t="shared" si="43"/>
        <v>Average</v>
      </c>
    </row>
    <row r="1358" spans="1:14">
      <c r="A1358" t="s">
        <v>68</v>
      </c>
      <c r="B1358">
        <v>2000</v>
      </c>
      <c r="C1358" t="s">
        <v>3117</v>
      </c>
      <c r="D1358" t="s">
        <v>33</v>
      </c>
      <c r="E1358" t="s">
        <v>3118</v>
      </c>
      <c r="F1358" t="s">
        <v>16</v>
      </c>
      <c r="G1358">
        <v>31.06</v>
      </c>
      <c r="H1358">
        <v>86</v>
      </c>
      <c r="I1358" t="s">
        <v>61</v>
      </c>
      <c r="J1358" t="s">
        <v>18</v>
      </c>
      <c r="K1358" t="s">
        <v>3119</v>
      </c>
      <c r="L1358">
        <v>33</v>
      </c>
      <c r="M1358" t="str">
        <f t="shared" si="42"/>
        <v>Medium</v>
      </c>
      <c r="N1358" t="str">
        <f t="shared" si="43"/>
        <v>Good</v>
      </c>
    </row>
    <row r="1359" spans="1:14">
      <c r="A1359" t="s">
        <v>31</v>
      </c>
      <c r="B1359">
        <v>2013</v>
      </c>
      <c r="C1359" t="s">
        <v>3120</v>
      </c>
      <c r="D1359" t="s">
        <v>14</v>
      </c>
      <c r="E1359" t="s">
        <v>1041</v>
      </c>
      <c r="F1359" t="s">
        <v>57</v>
      </c>
      <c r="G1359">
        <v>14.62</v>
      </c>
      <c r="H1359">
        <v>62</v>
      </c>
      <c r="I1359" t="s">
        <v>29</v>
      </c>
      <c r="J1359" t="s">
        <v>24</v>
      </c>
      <c r="K1359" t="s">
        <v>81</v>
      </c>
      <c r="L1359">
        <v>105</v>
      </c>
      <c r="M1359" t="str">
        <f t="shared" si="42"/>
        <v>Low</v>
      </c>
      <c r="N1359" t="str">
        <f t="shared" si="43"/>
        <v>Average</v>
      </c>
    </row>
    <row r="1360" spans="1:14">
      <c r="A1360" t="s">
        <v>48</v>
      </c>
      <c r="B1360">
        <v>2008</v>
      </c>
      <c r="C1360" t="s">
        <v>3121</v>
      </c>
      <c r="D1360" t="s">
        <v>14</v>
      </c>
      <c r="E1360" t="s">
        <v>3122</v>
      </c>
      <c r="F1360" t="s">
        <v>42</v>
      </c>
      <c r="G1360">
        <v>13.52</v>
      </c>
      <c r="H1360">
        <v>91</v>
      </c>
      <c r="I1360" t="s">
        <v>23</v>
      </c>
      <c r="J1360" t="s">
        <v>37</v>
      </c>
      <c r="K1360" t="s">
        <v>305</v>
      </c>
      <c r="L1360">
        <v>173</v>
      </c>
      <c r="M1360" t="str">
        <f t="shared" si="42"/>
        <v>Low</v>
      </c>
      <c r="N1360" t="str">
        <f t="shared" si="43"/>
        <v>Excellent</v>
      </c>
    </row>
    <row r="1361" spans="1:14">
      <c r="A1361" t="s">
        <v>47</v>
      </c>
      <c r="B1361">
        <v>2003</v>
      </c>
      <c r="C1361" t="s">
        <v>3123</v>
      </c>
      <c r="D1361" t="s">
        <v>33</v>
      </c>
      <c r="E1361" t="s">
        <v>3124</v>
      </c>
      <c r="F1361" t="s">
        <v>57</v>
      </c>
      <c r="G1361">
        <v>29.44</v>
      </c>
      <c r="H1361">
        <v>86</v>
      </c>
      <c r="I1361" t="s">
        <v>17</v>
      </c>
      <c r="J1361" t="s">
        <v>24</v>
      </c>
      <c r="K1361" t="s">
        <v>3125</v>
      </c>
      <c r="L1361">
        <v>40</v>
      </c>
      <c r="M1361" t="str">
        <f t="shared" si="42"/>
        <v>Medium</v>
      </c>
      <c r="N1361" t="str">
        <f t="shared" si="43"/>
        <v>Good</v>
      </c>
    </row>
    <row r="1362" spans="1:14">
      <c r="A1362" t="s">
        <v>68</v>
      </c>
      <c r="B1362">
        <v>2015</v>
      </c>
      <c r="C1362" t="s">
        <v>3126</v>
      </c>
      <c r="D1362" t="s">
        <v>14</v>
      </c>
      <c r="E1362" t="s">
        <v>3127</v>
      </c>
      <c r="F1362" t="s">
        <v>57</v>
      </c>
      <c r="G1362">
        <v>46.22</v>
      </c>
      <c r="H1362">
        <v>60</v>
      </c>
      <c r="I1362" t="s">
        <v>29</v>
      </c>
      <c r="J1362" t="s">
        <v>37</v>
      </c>
      <c r="K1362" t="s">
        <v>2392</v>
      </c>
      <c r="L1362">
        <v>122</v>
      </c>
      <c r="M1362" t="str">
        <f t="shared" si="42"/>
        <v>High</v>
      </c>
      <c r="N1362" t="str">
        <f t="shared" si="43"/>
        <v>Average</v>
      </c>
    </row>
    <row r="1363" spans="1:14">
      <c r="A1363" t="s">
        <v>65</v>
      </c>
      <c r="B1363">
        <v>2020</v>
      </c>
      <c r="C1363" t="s">
        <v>3128</v>
      </c>
      <c r="D1363" t="s">
        <v>33</v>
      </c>
      <c r="E1363" t="s">
        <v>3129</v>
      </c>
      <c r="F1363" t="s">
        <v>46</v>
      </c>
      <c r="G1363">
        <v>3.91</v>
      </c>
      <c r="H1363">
        <v>93</v>
      </c>
      <c r="I1363" t="s">
        <v>29</v>
      </c>
      <c r="J1363" t="s">
        <v>37</v>
      </c>
      <c r="K1363" t="s">
        <v>3130</v>
      </c>
      <c r="L1363">
        <v>280</v>
      </c>
      <c r="M1363" t="str">
        <f t="shared" si="42"/>
        <v>Low</v>
      </c>
      <c r="N1363" t="str">
        <f t="shared" si="43"/>
        <v>Excellent</v>
      </c>
    </row>
    <row r="1364" spans="1:14">
      <c r="A1364" t="s">
        <v>20</v>
      </c>
      <c r="B1364">
        <v>2001</v>
      </c>
      <c r="C1364" t="s">
        <v>3131</v>
      </c>
      <c r="D1364" t="s">
        <v>14</v>
      </c>
      <c r="E1364" t="s">
        <v>3132</v>
      </c>
      <c r="F1364" t="s">
        <v>35</v>
      </c>
      <c r="G1364">
        <v>37.159999999999997</v>
      </c>
      <c r="H1364">
        <v>59</v>
      </c>
      <c r="I1364" t="s">
        <v>23</v>
      </c>
      <c r="J1364" t="s">
        <v>24</v>
      </c>
      <c r="K1364" t="s">
        <v>305</v>
      </c>
      <c r="L1364">
        <v>313</v>
      </c>
      <c r="M1364" t="str">
        <f t="shared" si="42"/>
        <v>High</v>
      </c>
      <c r="N1364" t="str">
        <f t="shared" si="43"/>
        <v>Average</v>
      </c>
    </row>
    <row r="1365" spans="1:14">
      <c r="A1365" t="s">
        <v>48</v>
      </c>
      <c r="B1365">
        <v>2001</v>
      </c>
      <c r="C1365" t="s">
        <v>3133</v>
      </c>
      <c r="D1365" t="s">
        <v>33</v>
      </c>
      <c r="E1365" t="s">
        <v>1133</v>
      </c>
      <c r="F1365" t="s">
        <v>16</v>
      </c>
      <c r="G1365">
        <v>41.82</v>
      </c>
      <c r="H1365">
        <v>67</v>
      </c>
      <c r="I1365" t="s">
        <v>29</v>
      </c>
      <c r="J1365" t="s">
        <v>18</v>
      </c>
      <c r="K1365" t="s">
        <v>465</v>
      </c>
      <c r="L1365">
        <v>168</v>
      </c>
      <c r="M1365" t="str">
        <f t="shared" si="42"/>
        <v>High</v>
      </c>
      <c r="N1365" t="str">
        <f t="shared" si="43"/>
        <v>Average</v>
      </c>
    </row>
    <row r="1366" spans="1:14">
      <c r="A1366" t="s">
        <v>20</v>
      </c>
      <c r="B1366">
        <v>2018</v>
      </c>
      <c r="C1366" t="s">
        <v>3134</v>
      </c>
      <c r="D1366" t="s">
        <v>33</v>
      </c>
      <c r="E1366" t="s">
        <v>3135</v>
      </c>
      <c r="F1366" t="s">
        <v>35</v>
      </c>
      <c r="G1366">
        <v>13.62</v>
      </c>
      <c r="H1366">
        <v>51</v>
      </c>
      <c r="I1366" t="s">
        <v>17</v>
      </c>
      <c r="J1366" t="s">
        <v>24</v>
      </c>
      <c r="K1366" t="s">
        <v>3136</v>
      </c>
      <c r="L1366">
        <v>223</v>
      </c>
      <c r="M1366" t="str">
        <f t="shared" si="42"/>
        <v>Low</v>
      </c>
      <c r="N1366" t="str">
        <f t="shared" si="43"/>
        <v>Average</v>
      </c>
    </row>
    <row r="1367" spans="1:14">
      <c r="A1367" t="s">
        <v>12</v>
      </c>
      <c r="B1367">
        <v>2013</v>
      </c>
      <c r="C1367" t="s">
        <v>3137</v>
      </c>
      <c r="D1367" t="s">
        <v>14</v>
      </c>
      <c r="E1367" t="s">
        <v>3138</v>
      </c>
      <c r="F1367" t="s">
        <v>35</v>
      </c>
      <c r="G1367">
        <v>48.16</v>
      </c>
      <c r="H1367">
        <v>58</v>
      </c>
      <c r="I1367" t="s">
        <v>36</v>
      </c>
      <c r="J1367" t="s">
        <v>24</v>
      </c>
      <c r="K1367" t="s">
        <v>65</v>
      </c>
      <c r="L1367">
        <v>278</v>
      </c>
      <c r="M1367" t="str">
        <f t="shared" si="42"/>
        <v>High</v>
      </c>
      <c r="N1367" t="str">
        <f t="shared" si="43"/>
        <v>Average</v>
      </c>
    </row>
    <row r="1368" spans="1:14">
      <c r="A1368" t="s">
        <v>31</v>
      </c>
      <c r="B1368">
        <v>2020</v>
      </c>
      <c r="C1368" t="s">
        <v>3139</v>
      </c>
      <c r="D1368" t="s">
        <v>33</v>
      </c>
      <c r="E1368" t="s">
        <v>3140</v>
      </c>
      <c r="F1368" t="s">
        <v>16</v>
      </c>
      <c r="G1368">
        <v>31.15</v>
      </c>
      <c r="H1368">
        <v>72</v>
      </c>
      <c r="I1368" t="s">
        <v>36</v>
      </c>
      <c r="J1368" t="s">
        <v>37</v>
      </c>
      <c r="K1368" t="s">
        <v>1032</v>
      </c>
      <c r="L1368">
        <v>148</v>
      </c>
      <c r="M1368" t="str">
        <f t="shared" si="42"/>
        <v>Medium</v>
      </c>
      <c r="N1368" t="str">
        <f t="shared" si="43"/>
        <v>Average</v>
      </c>
    </row>
    <row r="1369" spans="1:14">
      <c r="A1369" t="s">
        <v>26</v>
      </c>
      <c r="B1369">
        <v>2018</v>
      </c>
      <c r="C1369" t="s">
        <v>3141</v>
      </c>
      <c r="D1369" t="s">
        <v>33</v>
      </c>
      <c r="E1369" t="s">
        <v>3142</v>
      </c>
      <c r="F1369" t="s">
        <v>16</v>
      </c>
      <c r="G1369">
        <v>27.81</v>
      </c>
      <c r="H1369">
        <v>61</v>
      </c>
      <c r="I1369" t="s">
        <v>61</v>
      </c>
      <c r="J1369" t="s">
        <v>18</v>
      </c>
      <c r="K1369" t="s">
        <v>1172</v>
      </c>
      <c r="L1369">
        <v>14</v>
      </c>
      <c r="M1369" t="str">
        <f t="shared" si="42"/>
        <v>Medium</v>
      </c>
      <c r="N1369" t="str">
        <f t="shared" si="43"/>
        <v>Average</v>
      </c>
    </row>
    <row r="1370" spans="1:14">
      <c r="A1370" t="s">
        <v>12</v>
      </c>
      <c r="B1370">
        <v>2002</v>
      </c>
      <c r="C1370" t="s">
        <v>3143</v>
      </c>
      <c r="D1370" t="s">
        <v>14</v>
      </c>
      <c r="E1370" t="s">
        <v>3144</v>
      </c>
      <c r="F1370" t="s">
        <v>16</v>
      </c>
      <c r="G1370">
        <v>39.78</v>
      </c>
      <c r="H1370">
        <v>67</v>
      </c>
      <c r="I1370" t="s">
        <v>23</v>
      </c>
      <c r="J1370" t="s">
        <v>37</v>
      </c>
      <c r="K1370" t="s">
        <v>39</v>
      </c>
      <c r="L1370">
        <v>123</v>
      </c>
      <c r="M1370" t="str">
        <f t="shared" si="42"/>
        <v>High</v>
      </c>
      <c r="N1370" t="str">
        <f t="shared" si="43"/>
        <v>Average</v>
      </c>
    </row>
    <row r="1371" spans="1:14">
      <c r="A1371" t="s">
        <v>39</v>
      </c>
      <c r="B1371">
        <v>2015</v>
      </c>
      <c r="C1371" t="s">
        <v>3145</v>
      </c>
      <c r="D1371" t="s">
        <v>14</v>
      </c>
      <c r="E1371" t="s">
        <v>3146</v>
      </c>
      <c r="F1371" t="s">
        <v>35</v>
      </c>
      <c r="G1371">
        <v>7.46</v>
      </c>
      <c r="H1371">
        <v>94</v>
      </c>
      <c r="I1371" t="s">
        <v>36</v>
      </c>
      <c r="J1371" t="s">
        <v>18</v>
      </c>
      <c r="K1371" t="s">
        <v>38</v>
      </c>
      <c r="L1371">
        <v>102</v>
      </c>
      <c r="M1371" t="str">
        <f t="shared" si="42"/>
        <v>Low</v>
      </c>
      <c r="N1371" t="str">
        <f t="shared" si="43"/>
        <v>Excellent</v>
      </c>
    </row>
    <row r="1372" spans="1:14">
      <c r="A1372" t="s">
        <v>31</v>
      </c>
      <c r="B1372">
        <v>2009</v>
      </c>
      <c r="C1372" t="s">
        <v>3147</v>
      </c>
      <c r="D1372" t="s">
        <v>33</v>
      </c>
      <c r="E1372" t="s">
        <v>3148</v>
      </c>
      <c r="F1372" t="s">
        <v>16</v>
      </c>
      <c r="G1372">
        <v>29.19</v>
      </c>
      <c r="H1372">
        <v>95</v>
      </c>
      <c r="I1372" t="s">
        <v>29</v>
      </c>
      <c r="J1372" t="s">
        <v>37</v>
      </c>
      <c r="K1372" t="s">
        <v>12</v>
      </c>
      <c r="L1372">
        <v>60</v>
      </c>
      <c r="M1372" t="str">
        <f t="shared" si="42"/>
        <v>Medium</v>
      </c>
      <c r="N1372" t="str">
        <f t="shared" si="43"/>
        <v>Excellent</v>
      </c>
    </row>
    <row r="1373" spans="1:14">
      <c r="A1373" t="s">
        <v>39</v>
      </c>
      <c r="B1373">
        <v>2025</v>
      </c>
      <c r="C1373" t="s">
        <v>3149</v>
      </c>
      <c r="D1373" t="s">
        <v>33</v>
      </c>
      <c r="E1373" t="s">
        <v>3150</v>
      </c>
      <c r="F1373" t="s">
        <v>16</v>
      </c>
      <c r="G1373">
        <v>19.579999999999998</v>
      </c>
      <c r="H1373">
        <v>70</v>
      </c>
      <c r="I1373" t="s">
        <v>17</v>
      </c>
      <c r="J1373" t="s">
        <v>18</v>
      </c>
      <c r="K1373" t="s">
        <v>20</v>
      </c>
      <c r="L1373">
        <v>32</v>
      </c>
      <c r="M1373" t="str">
        <f t="shared" si="42"/>
        <v>Medium</v>
      </c>
      <c r="N1373" t="str">
        <f t="shared" si="43"/>
        <v>Average</v>
      </c>
    </row>
    <row r="1374" spans="1:14">
      <c r="A1374" t="s">
        <v>65</v>
      </c>
      <c r="B1374">
        <v>2002</v>
      </c>
      <c r="C1374" t="s">
        <v>3151</v>
      </c>
      <c r="D1374" t="s">
        <v>14</v>
      </c>
      <c r="E1374" t="s">
        <v>3152</v>
      </c>
      <c r="F1374" t="s">
        <v>16</v>
      </c>
      <c r="G1374">
        <v>21.38</v>
      </c>
      <c r="H1374">
        <v>69</v>
      </c>
      <c r="I1374" t="s">
        <v>36</v>
      </c>
      <c r="J1374" t="s">
        <v>37</v>
      </c>
      <c r="K1374" t="s">
        <v>26</v>
      </c>
      <c r="L1374">
        <v>240</v>
      </c>
      <c r="M1374" t="str">
        <f t="shared" si="42"/>
        <v>Medium</v>
      </c>
      <c r="N1374" t="str">
        <f t="shared" si="43"/>
        <v>Average</v>
      </c>
    </row>
    <row r="1375" spans="1:14">
      <c r="A1375" t="s">
        <v>47</v>
      </c>
      <c r="B1375">
        <v>2015</v>
      </c>
      <c r="C1375" t="s">
        <v>3153</v>
      </c>
      <c r="D1375" t="s">
        <v>33</v>
      </c>
      <c r="E1375" t="s">
        <v>3154</v>
      </c>
      <c r="F1375" t="s">
        <v>35</v>
      </c>
      <c r="G1375">
        <v>23.61</v>
      </c>
      <c r="H1375">
        <v>95</v>
      </c>
      <c r="I1375" t="s">
        <v>23</v>
      </c>
      <c r="J1375" t="s">
        <v>37</v>
      </c>
      <c r="K1375" t="s">
        <v>2320</v>
      </c>
      <c r="L1375">
        <v>118</v>
      </c>
      <c r="M1375" t="str">
        <f t="shared" si="42"/>
        <v>Medium</v>
      </c>
      <c r="N1375" t="str">
        <f t="shared" si="43"/>
        <v>Excellent</v>
      </c>
    </row>
    <row r="1376" spans="1:14">
      <c r="A1376" t="s">
        <v>47</v>
      </c>
      <c r="B1376">
        <v>2018</v>
      </c>
      <c r="C1376" t="s">
        <v>3155</v>
      </c>
      <c r="D1376" t="s">
        <v>14</v>
      </c>
      <c r="E1376" t="s">
        <v>1044</v>
      </c>
      <c r="F1376" t="s">
        <v>35</v>
      </c>
      <c r="G1376">
        <v>19.22</v>
      </c>
      <c r="H1376">
        <v>57</v>
      </c>
      <c r="I1376" t="s">
        <v>36</v>
      </c>
      <c r="J1376" t="s">
        <v>24</v>
      </c>
      <c r="K1376" t="s">
        <v>139</v>
      </c>
      <c r="L1376">
        <v>242</v>
      </c>
      <c r="M1376" t="str">
        <f t="shared" si="42"/>
        <v>Medium</v>
      </c>
      <c r="N1376" t="str">
        <f t="shared" si="43"/>
        <v>Average</v>
      </c>
    </row>
    <row r="1377" spans="1:14">
      <c r="A1377" t="s">
        <v>68</v>
      </c>
      <c r="B1377">
        <v>2011</v>
      </c>
      <c r="C1377" t="s">
        <v>3156</v>
      </c>
      <c r="D1377" t="s">
        <v>14</v>
      </c>
      <c r="E1377" t="s">
        <v>3157</v>
      </c>
      <c r="F1377" t="s">
        <v>16</v>
      </c>
      <c r="G1377">
        <v>45.14</v>
      </c>
      <c r="H1377">
        <v>70</v>
      </c>
      <c r="I1377" t="s">
        <v>23</v>
      </c>
      <c r="J1377" t="s">
        <v>37</v>
      </c>
      <c r="K1377" t="s">
        <v>1671</v>
      </c>
      <c r="L1377">
        <v>109</v>
      </c>
      <c r="M1377" t="str">
        <f t="shared" si="42"/>
        <v>High</v>
      </c>
      <c r="N1377" t="str">
        <f t="shared" si="43"/>
        <v>Average</v>
      </c>
    </row>
    <row r="1378" spans="1:14">
      <c r="A1378" t="s">
        <v>38</v>
      </c>
      <c r="B1378">
        <v>2005</v>
      </c>
      <c r="C1378" t="s">
        <v>3158</v>
      </c>
      <c r="D1378" t="s">
        <v>14</v>
      </c>
      <c r="E1378" t="s">
        <v>3159</v>
      </c>
      <c r="F1378" t="s">
        <v>46</v>
      </c>
      <c r="G1378">
        <v>37.21</v>
      </c>
      <c r="H1378">
        <v>65</v>
      </c>
      <c r="I1378" t="s">
        <v>61</v>
      </c>
      <c r="J1378" t="s">
        <v>24</v>
      </c>
      <c r="K1378" t="s">
        <v>3160</v>
      </c>
      <c r="L1378">
        <v>190</v>
      </c>
      <c r="M1378" t="str">
        <f t="shared" si="42"/>
        <v>High</v>
      </c>
      <c r="N1378" t="str">
        <f t="shared" si="43"/>
        <v>Average</v>
      </c>
    </row>
    <row r="1379" spans="1:14">
      <c r="A1379" t="s">
        <v>20</v>
      </c>
      <c r="B1379">
        <v>2020</v>
      </c>
      <c r="C1379" t="s">
        <v>3161</v>
      </c>
      <c r="D1379" t="s">
        <v>33</v>
      </c>
      <c r="E1379" t="s">
        <v>3162</v>
      </c>
      <c r="F1379" t="s">
        <v>57</v>
      </c>
      <c r="G1379">
        <v>46.43</v>
      </c>
      <c r="H1379">
        <v>91</v>
      </c>
      <c r="I1379" t="s">
        <v>61</v>
      </c>
      <c r="J1379" t="s">
        <v>18</v>
      </c>
      <c r="K1379" t="s">
        <v>1853</v>
      </c>
      <c r="L1379">
        <v>156</v>
      </c>
      <c r="M1379" t="str">
        <f t="shared" si="42"/>
        <v>High</v>
      </c>
      <c r="N1379" t="str">
        <f t="shared" si="43"/>
        <v>Excellent</v>
      </c>
    </row>
    <row r="1380" spans="1:14">
      <c r="A1380" t="s">
        <v>47</v>
      </c>
      <c r="B1380">
        <v>2019</v>
      </c>
      <c r="C1380" t="s">
        <v>3163</v>
      </c>
      <c r="D1380" t="s">
        <v>33</v>
      </c>
      <c r="E1380" t="s">
        <v>3164</v>
      </c>
      <c r="F1380" t="s">
        <v>57</v>
      </c>
      <c r="G1380">
        <v>41.23</v>
      </c>
      <c r="H1380">
        <v>62</v>
      </c>
      <c r="I1380" t="s">
        <v>17</v>
      </c>
      <c r="J1380" t="s">
        <v>37</v>
      </c>
      <c r="K1380" t="s">
        <v>31</v>
      </c>
      <c r="L1380">
        <v>134</v>
      </c>
      <c r="M1380" t="str">
        <f t="shared" si="42"/>
        <v>High</v>
      </c>
      <c r="N1380" t="str">
        <f t="shared" si="43"/>
        <v>Average</v>
      </c>
    </row>
    <row r="1381" spans="1:14">
      <c r="A1381" t="s">
        <v>47</v>
      </c>
      <c r="B1381">
        <v>2006</v>
      </c>
      <c r="C1381" t="s">
        <v>3165</v>
      </c>
      <c r="D1381" t="s">
        <v>14</v>
      </c>
      <c r="E1381" t="s">
        <v>3166</v>
      </c>
      <c r="F1381" t="s">
        <v>46</v>
      </c>
      <c r="G1381">
        <v>28.96</v>
      </c>
      <c r="H1381">
        <v>84</v>
      </c>
      <c r="I1381" t="s">
        <v>61</v>
      </c>
      <c r="J1381" t="s">
        <v>37</v>
      </c>
      <c r="K1381" t="s">
        <v>537</v>
      </c>
      <c r="L1381">
        <v>9</v>
      </c>
      <c r="M1381" t="str">
        <f t="shared" si="42"/>
        <v>Medium</v>
      </c>
      <c r="N1381" t="str">
        <f t="shared" si="43"/>
        <v>Good</v>
      </c>
    </row>
    <row r="1382" spans="1:14">
      <c r="A1382" t="s">
        <v>39</v>
      </c>
      <c r="B1382">
        <v>2015</v>
      </c>
      <c r="C1382" t="s">
        <v>3167</v>
      </c>
      <c r="D1382" t="s">
        <v>14</v>
      </c>
      <c r="E1382" t="s">
        <v>3168</v>
      </c>
      <c r="F1382" t="s">
        <v>42</v>
      </c>
      <c r="G1382">
        <v>36.270000000000003</v>
      </c>
      <c r="H1382">
        <v>92</v>
      </c>
      <c r="I1382" t="s">
        <v>29</v>
      </c>
      <c r="J1382" t="s">
        <v>18</v>
      </c>
      <c r="K1382" t="s">
        <v>38</v>
      </c>
      <c r="L1382">
        <v>47</v>
      </c>
      <c r="M1382" t="str">
        <f t="shared" si="42"/>
        <v>High</v>
      </c>
      <c r="N1382" t="str">
        <f t="shared" si="43"/>
        <v>Excellent</v>
      </c>
    </row>
    <row r="1383" spans="1:14">
      <c r="A1383" t="s">
        <v>68</v>
      </c>
      <c r="B1383">
        <v>2011</v>
      </c>
      <c r="C1383" t="s">
        <v>3169</v>
      </c>
      <c r="D1383" t="s">
        <v>14</v>
      </c>
      <c r="E1383" t="s">
        <v>3170</v>
      </c>
      <c r="F1383" t="s">
        <v>57</v>
      </c>
      <c r="G1383">
        <v>47.63</v>
      </c>
      <c r="H1383">
        <v>57</v>
      </c>
      <c r="I1383" t="s">
        <v>17</v>
      </c>
      <c r="J1383" t="s">
        <v>37</v>
      </c>
      <c r="K1383" t="s">
        <v>3171</v>
      </c>
      <c r="L1383">
        <v>27</v>
      </c>
      <c r="M1383" t="str">
        <f t="shared" si="42"/>
        <v>High</v>
      </c>
      <c r="N1383" t="str">
        <f t="shared" si="43"/>
        <v>Average</v>
      </c>
    </row>
    <row r="1384" spans="1:14">
      <c r="A1384" t="s">
        <v>65</v>
      </c>
      <c r="B1384">
        <v>2023</v>
      </c>
      <c r="C1384" t="s">
        <v>3172</v>
      </c>
      <c r="D1384" t="s">
        <v>14</v>
      </c>
      <c r="E1384" t="s">
        <v>3173</v>
      </c>
      <c r="F1384" t="s">
        <v>46</v>
      </c>
      <c r="G1384">
        <v>10.38</v>
      </c>
      <c r="H1384">
        <v>59</v>
      </c>
      <c r="I1384" t="s">
        <v>23</v>
      </c>
      <c r="J1384" t="s">
        <v>37</v>
      </c>
      <c r="K1384" t="s">
        <v>20</v>
      </c>
      <c r="L1384">
        <v>146</v>
      </c>
      <c r="M1384" t="str">
        <f t="shared" si="42"/>
        <v>Low</v>
      </c>
      <c r="N1384" t="str">
        <f t="shared" si="43"/>
        <v>Average</v>
      </c>
    </row>
    <row r="1385" spans="1:14">
      <c r="A1385" t="s">
        <v>31</v>
      </c>
      <c r="B1385">
        <v>2008</v>
      </c>
      <c r="C1385" t="s">
        <v>3174</v>
      </c>
      <c r="D1385" t="s">
        <v>14</v>
      </c>
      <c r="E1385" t="s">
        <v>3175</v>
      </c>
      <c r="F1385" t="s">
        <v>57</v>
      </c>
      <c r="G1385">
        <v>14.39</v>
      </c>
      <c r="H1385">
        <v>96</v>
      </c>
      <c r="I1385" t="s">
        <v>61</v>
      </c>
      <c r="J1385" t="s">
        <v>24</v>
      </c>
      <c r="K1385" t="s">
        <v>48</v>
      </c>
      <c r="L1385">
        <v>188</v>
      </c>
      <c r="M1385" t="str">
        <f t="shared" si="42"/>
        <v>Low</v>
      </c>
      <c r="N1385" t="str">
        <f t="shared" si="43"/>
        <v>Excellent</v>
      </c>
    </row>
    <row r="1386" spans="1:14">
      <c r="A1386" t="s">
        <v>31</v>
      </c>
      <c r="B1386">
        <v>2019</v>
      </c>
      <c r="C1386" t="s">
        <v>3176</v>
      </c>
      <c r="D1386" t="s">
        <v>14</v>
      </c>
      <c r="E1386" t="s">
        <v>771</v>
      </c>
      <c r="F1386" t="s">
        <v>35</v>
      </c>
      <c r="G1386">
        <v>38</v>
      </c>
      <c r="H1386">
        <v>67</v>
      </c>
      <c r="I1386" t="s">
        <v>23</v>
      </c>
      <c r="J1386" t="s">
        <v>24</v>
      </c>
      <c r="K1386" t="s">
        <v>513</v>
      </c>
      <c r="L1386">
        <v>128</v>
      </c>
      <c r="M1386" t="str">
        <f t="shared" si="42"/>
        <v>High</v>
      </c>
      <c r="N1386" t="str">
        <f t="shared" si="43"/>
        <v>Average</v>
      </c>
    </row>
    <row r="1387" spans="1:14">
      <c r="A1387" t="s">
        <v>48</v>
      </c>
      <c r="B1387">
        <v>2011</v>
      </c>
      <c r="C1387" t="s">
        <v>3177</v>
      </c>
      <c r="D1387" t="s">
        <v>33</v>
      </c>
      <c r="E1387" t="s">
        <v>3178</v>
      </c>
      <c r="F1387" t="s">
        <v>57</v>
      </c>
      <c r="G1387">
        <v>29.31</v>
      </c>
      <c r="H1387">
        <v>56</v>
      </c>
      <c r="I1387" t="s">
        <v>17</v>
      </c>
      <c r="J1387" t="s">
        <v>24</v>
      </c>
      <c r="K1387" t="s">
        <v>279</v>
      </c>
      <c r="L1387">
        <v>305</v>
      </c>
      <c r="M1387" t="str">
        <f t="shared" si="42"/>
        <v>Medium</v>
      </c>
      <c r="N1387" t="str">
        <f t="shared" si="43"/>
        <v>Average</v>
      </c>
    </row>
    <row r="1388" spans="1:14">
      <c r="A1388" t="s">
        <v>12</v>
      </c>
      <c r="B1388">
        <v>2016</v>
      </c>
      <c r="C1388" t="s">
        <v>3179</v>
      </c>
      <c r="D1388" t="s">
        <v>33</v>
      </c>
      <c r="E1388" t="s">
        <v>3180</v>
      </c>
      <c r="F1388" t="s">
        <v>35</v>
      </c>
      <c r="G1388">
        <v>19.86</v>
      </c>
      <c r="H1388">
        <v>82</v>
      </c>
      <c r="I1388" t="s">
        <v>61</v>
      </c>
      <c r="J1388" t="s">
        <v>18</v>
      </c>
      <c r="K1388" t="s">
        <v>1283</v>
      </c>
      <c r="L1388">
        <v>339</v>
      </c>
      <c r="M1388" t="str">
        <f t="shared" si="42"/>
        <v>Medium</v>
      </c>
      <c r="N1388" t="str">
        <f t="shared" si="43"/>
        <v>Good</v>
      </c>
    </row>
    <row r="1389" spans="1:14">
      <c r="A1389" t="s">
        <v>38</v>
      </c>
      <c r="B1389">
        <v>2011</v>
      </c>
      <c r="C1389" t="s">
        <v>3181</v>
      </c>
      <c r="D1389" t="s">
        <v>33</v>
      </c>
      <c r="E1389" t="s">
        <v>3182</v>
      </c>
      <c r="F1389" t="s">
        <v>46</v>
      </c>
      <c r="G1389">
        <v>24.27</v>
      </c>
      <c r="H1389">
        <v>59</v>
      </c>
      <c r="I1389" t="s">
        <v>17</v>
      </c>
      <c r="J1389" t="s">
        <v>37</v>
      </c>
      <c r="K1389" t="s">
        <v>26</v>
      </c>
      <c r="L1389">
        <v>356</v>
      </c>
      <c r="M1389" t="str">
        <f t="shared" si="42"/>
        <v>Medium</v>
      </c>
      <c r="N1389" t="str">
        <f t="shared" si="43"/>
        <v>Average</v>
      </c>
    </row>
    <row r="1390" spans="1:14">
      <c r="A1390" t="s">
        <v>65</v>
      </c>
      <c r="B1390">
        <v>2022</v>
      </c>
      <c r="C1390" t="s">
        <v>3183</v>
      </c>
      <c r="D1390" t="s">
        <v>33</v>
      </c>
      <c r="E1390" t="s">
        <v>3184</v>
      </c>
      <c r="F1390" t="s">
        <v>35</v>
      </c>
      <c r="G1390">
        <v>30.63</v>
      </c>
      <c r="H1390">
        <v>86</v>
      </c>
      <c r="I1390" t="s">
        <v>36</v>
      </c>
      <c r="J1390" t="s">
        <v>24</v>
      </c>
      <c r="K1390" t="s">
        <v>3185</v>
      </c>
      <c r="L1390">
        <v>101</v>
      </c>
      <c r="M1390" t="str">
        <f t="shared" si="42"/>
        <v>Medium</v>
      </c>
      <c r="N1390" t="str">
        <f t="shared" si="43"/>
        <v>Good</v>
      </c>
    </row>
    <row r="1391" spans="1:14">
      <c r="A1391" t="s">
        <v>38</v>
      </c>
      <c r="B1391">
        <v>2010</v>
      </c>
      <c r="C1391" t="s">
        <v>3186</v>
      </c>
      <c r="D1391" t="s">
        <v>33</v>
      </c>
      <c r="E1391" t="s">
        <v>3187</v>
      </c>
      <c r="F1391" t="s">
        <v>46</v>
      </c>
      <c r="G1391">
        <v>4.34</v>
      </c>
      <c r="H1391">
        <v>52</v>
      </c>
      <c r="I1391" t="s">
        <v>17</v>
      </c>
      <c r="J1391" t="s">
        <v>18</v>
      </c>
      <c r="K1391" t="s">
        <v>65</v>
      </c>
      <c r="L1391">
        <v>223</v>
      </c>
      <c r="M1391" t="str">
        <f t="shared" si="42"/>
        <v>Low</v>
      </c>
      <c r="N1391" t="str">
        <f t="shared" si="43"/>
        <v>Average</v>
      </c>
    </row>
    <row r="1392" spans="1:14">
      <c r="A1392" t="s">
        <v>12</v>
      </c>
      <c r="B1392">
        <v>2015</v>
      </c>
      <c r="C1392" t="s">
        <v>3188</v>
      </c>
      <c r="D1392" t="s">
        <v>33</v>
      </c>
      <c r="E1392" t="s">
        <v>3189</v>
      </c>
      <c r="F1392" t="s">
        <v>16</v>
      </c>
      <c r="G1392">
        <v>43.68</v>
      </c>
      <c r="H1392">
        <v>63</v>
      </c>
      <c r="I1392" t="s">
        <v>36</v>
      </c>
      <c r="J1392" t="s">
        <v>37</v>
      </c>
      <c r="K1392" t="s">
        <v>2094</v>
      </c>
      <c r="L1392">
        <v>312</v>
      </c>
      <c r="M1392" t="str">
        <f t="shared" si="42"/>
        <v>High</v>
      </c>
      <c r="N1392" t="str">
        <f t="shared" si="43"/>
        <v>Average</v>
      </c>
    </row>
    <row r="1393" spans="1:14">
      <c r="A1393" t="s">
        <v>38</v>
      </c>
      <c r="B1393">
        <v>2022</v>
      </c>
      <c r="C1393" t="s">
        <v>3190</v>
      </c>
      <c r="D1393" t="s">
        <v>14</v>
      </c>
      <c r="E1393" t="s">
        <v>3191</v>
      </c>
      <c r="F1393" t="s">
        <v>35</v>
      </c>
      <c r="G1393">
        <v>48.11</v>
      </c>
      <c r="H1393">
        <v>70</v>
      </c>
      <c r="I1393" t="s">
        <v>17</v>
      </c>
      <c r="J1393" t="s">
        <v>37</v>
      </c>
      <c r="K1393" t="s">
        <v>1604</v>
      </c>
      <c r="L1393">
        <v>206</v>
      </c>
      <c r="M1393" t="str">
        <f t="shared" si="42"/>
        <v>High</v>
      </c>
      <c r="N1393" t="str">
        <f t="shared" si="43"/>
        <v>Average</v>
      </c>
    </row>
    <row r="1394" spans="1:14">
      <c r="A1394" t="s">
        <v>20</v>
      </c>
      <c r="B1394">
        <v>2000</v>
      </c>
      <c r="C1394" t="s">
        <v>3192</v>
      </c>
      <c r="D1394" t="s">
        <v>14</v>
      </c>
      <c r="E1394" t="s">
        <v>3193</v>
      </c>
      <c r="F1394" t="s">
        <v>16</v>
      </c>
      <c r="G1394">
        <v>9.1199999999999992</v>
      </c>
      <c r="H1394">
        <v>72</v>
      </c>
      <c r="I1394" t="s">
        <v>61</v>
      </c>
      <c r="J1394" t="s">
        <v>24</v>
      </c>
      <c r="K1394" t="s">
        <v>687</v>
      </c>
      <c r="L1394">
        <v>365</v>
      </c>
      <c r="M1394" t="str">
        <f t="shared" si="42"/>
        <v>Low</v>
      </c>
      <c r="N1394" t="str">
        <f t="shared" si="43"/>
        <v>Average</v>
      </c>
    </row>
    <row r="1395" spans="1:14">
      <c r="A1395" t="s">
        <v>65</v>
      </c>
      <c r="B1395">
        <v>2014</v>
      </c>
      <c r="C1395" t="s">
        <v>3194</v>
      </c>
      <c r="D1395" t="s">
        <v>33</v>
      </c>
      <c r="E1395" t="s">
        <v>3195</v>
      </c>
      <c r="F1395" t="s">
        <v>46</v>
      </c>
      <c r="G1395">
        <v>10.94</v>
      </c>
      <c r="H1395">
        <v>67</v>
      </c>
      <c r="I1395" t="s">
        <v>61</v>
      </c>
      <c r="J1395" t="s">
        <v>18</v>
      </c>
      <c r="K1395" t="s">
        <v>2192</v>
      </c>
      <c r="L1395">
        <v>111</v>
      </c>
      <c r="M1395" t="str">
        <f t="shared" si="42"/>
        <v>Low</v>
      </c>
      <c r="N1395" t="str">
        <f t="shared" si="43"/>
        <v>Average</v>
      </c>
    </row>
    <row r="1396" spans="1:14">
      <c r="A1396" t="s">
        <v>68</v>
      </c>
      <c r="B1396">
        <v>2021</v>
      </c>
      <c r="C1396" t="s">
        <v>3196</v>
      </c>
      <c r="D1396" t="s">
        <v>14</v>
      </c>
      <c r="E1396" t="s">
        <v>3197</v>
      </c>
      <c r="F1396" t="s">
        <v>35</v>
      </c>
      <c r="G1396">
        <v>2.74</v>
      </c>
      <c r="H1396">
        <v>79</v>
      </c>
      <c r="I1396" t="s">
        <v>17</v>
      </c>
      <c r="J1396" t="s">
        <v>18</v>
      </c>
      <c r="K1396" t="s">
        <v>232</v>
      </c>
      <c r="L1396">
        <v>81</v>
      </c>
      <c r="M1396" t="str">
        <f t="shared" si="42"/>
        <v>Low</v>
      </c>
      <c r="N1396" t="str">
        <f t="shared" si="43"/>
        <v>Good</v>
      </c>
    </row>
    <row r="1397" spans="1:14">
      <c r="A1397" t="s">
        <v>47</v>
      </c>
      <c r="B1397">
        <v>2009</v>
      </c>
      <c r="C1397" t="s">
        <v>3198</v>
      </c>
      <c r="D1397" t="s">
        <v>14</v>
      </c>
      <c r="E1397" t="s">
        <v>3199</v>
      </c>
      <c r="F1397" t="s">
        <v>57</v>
      </c>
      <c r="G1397">
        <v>37.49</v>
      </c>
      <c r="H1397">
        <v>88</v>
      </c>
      <c r="I1397" t="s">
        <v>29</v>
      </c>
      <c r="J1397" t="s">
        <v>18</v>
      </c>
      <c r="K1397" t="s">
        <v>3200</v>
      </c>
      <c r="L1397">
        <v>353</v>
      </c>
      <c r="M1397" t="str">
        <f t="shared" si="42"/>
        <v>High</v>
      </c>
      <c r="N1397" t="str">
        <f t="shared" si="43"/>
        <v>Good</v>
      </c>
    </row>
    <row r="1398" spans="1:14">
      <c r="A1398" t="s">
        <v>48</v>
      </c>
      <c r="B1398">
        <v>2025</v>
      </c>
      <c r="C1398" t="s">
        <v>3201</v>
      </c>
      <c r="D1398" t="s">
        <v>14</v>
      </c>
      <c r="E1398" t="s">
        <v>3202</v>
      </c>
      <c r="F1398" t="s">
        <v>57</v>
      </c>
      <c r="G1398">
        <v>9.9</v>
      </c>
      <c r="H1398">
        <v>76</v>
      </c>
      <c r="I1398" t="s">
        <v>17</v>
      </c>
      <c r="J1398" t="s">
        <v>18</v>
      </c>
      <c r="K1398" t="s">
        <v>3203</v>
      </c>
      <c r="L1398">
        <v>231</v>
      </c>
      <c r="M1398" t="str">
        <f t="shared" si="42"/>
        <v>Low</v>
      </c>
      <c r="N1398" t="str">
        <f t="shared" si="43"/>
        <v>Good</v>
      </c>
    </row>
    <row r="1399" spans="1:14">
      <c r="A1399" t="s">
        <v>68</v>
      </c>
      <c r="B1399">
        <v>2012</v>
      </c>
      <c r="C1399" t="s">
        <v>3204</v>
      </c>
      <c r="D1399" t="s">
        <v>14</v>
      </c>
      <c r="E1399" t="s">
        <v>3205</v>
      </c>
      <c r="F1399" t="s">
        <v>42</v>
      </c>
      <c r="G1399">
        <v>28.75</v>
      </c>
      <c r="H1399">
        <v>98</v>
      </c>
      <c r="I1399" t="s">
        <v>29</v>
      </c>
      <c r="J1399" t="s">
        <v>18</v>
      </c>
      <c r="K1399" t="s">
        <v>31</v>
      </c>
      <c r="L1399">
        <v>153</v>
      </c>
      <c r="M1399" t="str">
        <f t="shared" si="42"/>
        <v>Medium</v>
      </c>
      <c r="N1399" t="str">
        <f t="shared" si="43"/>
        <v>Excellent</v>
      </c>
    </row>
    <row r="1400" spans="1:14">
      <c r="A1400" t="s">
        <v>12</v>
      </c>
      <c r="B1400">
        <v>2007</v>
      </c>
      <c r="C1400" t="s">
        <v>3206</v>
      </c>
      <c r="D1400" t="s">
        <v>14</v>
      </c>
      <c r="E1400" t="s">
        <v>111</v>
      </c>
      <c r="F1400" t="s">
        <v>35</v>
      </c>
      <c r="G1400">
        <v>18.52</v>
      </c>
      <c r="H1400">
        <v>93</v>
      </c>
      <c r="I1400" t="s">
        <v>61</v>
      </c>
      <c r="J1400" t="s">
        <v>37</v>
      </c>
      <c r="K1400" t="s">
        <v>3207</v>
      </c>
      <c r="L1400">
        <v>73</v>
      </c>
      <c r="M1400" t="str">
        <f t="shared" si="42"/>
        <v>Medium</v>
      </c>
      <c r="N1400" t="str">
        <f t="shared" si="43"/>
        <v>Excellent</v>
      </c>
    </row>
    <row r="1401" spans="1:14">
      <c r="A1401" t="s">
        <v>65</v>
      </c>
      <c r="B1401">
        <v>2013</v>
      </c>
      <c r="C1401" t="s">
        <v>3208</v>
      </c>
      <c r="D1401" t="s">
        <v>14</v>
      </c>
      <c r="E1401" t="s">
        <v>3209</v>
      </c>
      <c r="F1401" t="s">
        <v>16</v>
      </c>
      <c r="G1401">
        <v>33.33</v>
      </c>
      <c r="H1401">
        <v>90</v>
      </c>
      <c r="I1401" t="s">
        <v>61</v>
      </c>
      <c r="J1401" t="s">
        <v>24</v>
      </c>
      <c r="K1401" t="s">
        <v>43</v>
      </c>
      <c r="L1401">
        <v>273</v>
      </c>
      <c r="M1401" t="str">
        <f t="shared" si="42"/>
        <v>Medium</v>
      </c>
      <c r="N1401" t="str">
        <f t="shared" si="43"/>
        <v>Excellent</v>
      </c>
    </row>
    <row r="1402" spans="1:14">
      <c r="A1402" t="s">
        <v>12</v>
      </c>
      <c r="B1402">
        <v>2025</v>
      </c>
      <c r="C1402" t="s">
        <v>3210</v>
      </c>
      <c r="D1402" t="s">
        <v>14</v>
      </c>
      <c r="E1402" t="s">
        <v>3211</v>
      </c>
      <c r="F1402" t="s">
        <v>57</v>
      </c>
      <c r="G1402">
        <v>11.3</v>
      </c>
      <c r="H1402">
        <v>79</v>
      </c>
      <c r="I1402" t="s">
        <v>23</v>
      </c>
      <c r="J1402" t="s">
        <v>24</v>
      </c>
      <c r="K1402" t="s">
        <v>39</v>
      </c>
      <c r="L1402">
        <v>32</v>
      </c>
      <c r="M1402" t="str">
        <f t="shared" si="42"/>
        <v>Low</v>
      </c>
      <c r="N1402" t="str">
        <f t="shared" si="43"/>
        <v>Good</v>
      </c>
    </row>
    <row r="1403" spans="1:14">
      <c r="A1403" t="s">
        <v>65</v>
      </c>
      <c r="B1403">
        <v>2019</v>
      </c>
      <c r="C1403" t="s">
        <v>3212</v>
      </c>
      <c r="D1403" t="s">
        <v>14</v>
      </c>
      <c r="E1403" t="s">
        <v>3213</v>
      </c>
      <c r="F1403" t="s">
        <v>46</v>
      </c>
      <c r="G1403">
        <v>29.43</v>
      </c>
      <c r="H1403">
        <v>93</v>
      </c>
      <c r="I1403" t="s">
        <v>23</v>
      </c>
      <c r="J1403" t="s">
        <v>18</v>
      </c>
      <c r="K1403" t="s">
        <v>12</v>
      </c>
      <c r="L1403">
        <v>106</v>
      </c>
      <c r="M1403" t="str">
        <f t="shared" si="42"/>
        <v>Medium</v>
      </c>
      <c r="N1403" t="str">
        <f t="shared" si="43"/>
        <v>Excellent</v>
      </c>
    </row>
    <row r="1404" spans="1:14">
      <c r="A1404" t="s">
        <v>12</v>
      </c>
      <c r="B1404">
        <v>2017</v>
      </c>
      <c r="C1404" t="s">
        <v>3214</v>
      </c>
      <c r="D1404" t="s">
        <v>33</v>
      </c>
      <c r="E1404" t="s">
        <v>3215</v>
      </c>
      <c r="F1404" t="s">
        <v>57</v>
      </c>
      <c r="G1404">
        <v>23.07</v>
      </c>
      <c r="H1404">
        <v>62</v>
      </c>
      <c r="I1404" t="s">
        <v>36</v>
      </c>
      <c r="J1404" t="s">
        <v>37</v>
      </c>
      <c r="K1404" t="s">
        <v>1564</v>
      </c>
      <c r="L1404">
        <v>55</v>
      </c>
      <c r="M1404" t="str">
        <f t="shared" si="42"/>
        <v>Medium</v>
      </c>
      <c r="N1404" t="str">
        <f t="shared" si="43"/>
        <v>Average</v>
      </c>
    </row>
    <row r="1405" spans="1:14">
      <c r="A1405" t="s">
        <v>26</v>
      </c>
      <c r="B1405">
        <v>2002</v>
      </c>
      <c r="C1405" t="s">
        <v>3216</v>
      </c>
      <c r="D1405" t="s">
        <v>14</v>
      </c>
      <c r="E1405" t="s">
        <v>3217</v>
      </c>
      <c r="F1405" t="s">
        <v>46</v>
      </c>
      <c r="G1405">
        <v>6.92</v>
      </c>
      <c r="H1405">
        <v>57</v>
      </c>
      <c r="I1405" t="s">
        <v>29</v>
      </c>
      <c r="J1405" t="s">
        <v>37</v>
      </c>
      <c r="K1405" t="s">
        <v>58</v>
      </c>
      <c r="L1405">
        <v>320</v>
      </c>
      <c r="M1405" t="str">
        <f t="shared" si="42"/>
        <v>Low</v>
      </c>
      <c r="N1405" t="str">
        <f t="shared" si="43"/>
        <v>Average</v>
      </c>
    </row>
    <row r="1406" spans="1:14">
      <c r="A1406" t="s">
        <v>12</v>
      </c>
      <c r="B1406">
        <v>2011</v>
      </c>
      <c r="C1406" t="s">
        <v>3218</v>
      </c>
      <c r="D1406" t="s">
        <v>14</v>
      </c>
      <c r="E1406" t="s">
        <v>3007</v>
      </c>
      <c r="F1406" t="s">
        <v>46</v>
      </c>
      <c r="G1406">
        <v>30.9</v>
      </c>
      <c r="H1406">
        <v>86</v>
      </c>
      <c r="I1406" t="s">
        <v>29</v>
      </c>
      <c r="J1406" t="s">
        <v>18</v>
      </c>
      <c r="K1406" t="s">
        <v>26</v>
      </c>
      <c r="L1406">
        <v>126</v>
      </c>
      <c r="M1406" t="str">
        <f t="shared" si="42"/>
        <v>Medium</v>
      </c>
      <c r="N1406" t="str">
        <f t="shared" si="43"/>
        <v>Good</v>
      </c>
    </row>
    <row r="1407" spans="1:14">
      <c r="A1407" t="s">
        <v>38</v>
      </c>
      <c r="B1407">
        <v>2020</v>
      </c>
      <c r="C1407" t="s">
        <v>3219</v>
      </c>
      <c r="D1407" t="s">
        <v>33</v>
      </c>
      <c r="E1407" t="s">
        <v>3220</v>
      </c>
      <c r="F1407" t="s">
        <v>57</v>
      </c>
      <c r="G1407">
        <v>38.130000000000003</v>
      </c>
      <c r="H1407">
        <v>88</v>
      </c>
      <c r="I1407" t="s">
        <v>36</v>
      </c>
      <c r="J1407" t="s">
        <v>37</v>
      </c>
      <c r="K1407" t="s">
        <v>292</v>
      </c>
      <c r="L1407">
        <v>60</v>
      </c>
      <c r="M1407" t="str">
        <f t="shared" si="42"/>
        <v>High</v>
      </c>
      <c r="N1407" t="str">
        <f t="shared" si="43"/>
        <v>Good</v>
      </c>
    </row>
    <row r="1408" spans="1:14">
      <c r="A1408" t="s">
        <v>20</v>
      </c>
      <c r="B1408">
        <v>2008</v>
      </c>
      <c r="C1408" t="s">
        <v>3221</v>
      </c>
      <c r="D1408" t="s">
        <v>14</v>
      </c>
      <c r="E1408" t="s">
        <v>3222</v>
      </c>
      <c r="F1408" t="s">
        <v>57</v>
      </c>
      <c r="G1408">
        <v>29.3</v>
      </c>
      <c r="H1408">
        <v>100</v>
      </c>
      <c r="I1408" t="s">
        <v>29</v>
      </c>
      <c r="J1408" t="s">
        <v>18</v>
      </c>
      <c r="K1408" t="s">
        <v>26</v>
      </c>
      <c r="L1408">
        <v>221</v>
      </c>
      <c r="M1408" t="str">
        <f t="shared" si="42"/>
        <v>Medium</v>
      </c>
      <c r="N1408" t="str">
        <f t="shared" si="43"/>
        <v>Excellent</v>
      </c>
    </row>
    <row r="1409" spans="1:14">
      <c r="A1409" t="s">
        <v>68</v>
      </c>
      <c r="B1409">
        <v>2012</v>
      </c>
      <c r="C1409" t="s">
        <v>3223</v>
      </c>
      <c r="D1409" t="s">
        <v>33</v>
      </c>
      <c r="E1409" t="s">
        <v>3224</v>
      </c>
      <c r="F1409" t="s">
        <v>35</v>
      </c>
      <c r="G1409">
        <v>47.41</v>
      </c>
      <c r="H1409">
        <v>79</v>
      </c>
      <c r="I1409" t="s">
        <v>29</v>
      </c>
      <c r="J1409" t="s">
        <v>37</v>
      </c>
      <c r="K1409" t="s">
        <v>20</v>
      </c>
      <c r="L1409">
        <v>68</v>
      </c>
      <c r="M1409" t="str">
        <f t="shared" si="42"/>
        <v>High</v>
      </c>
      <c r="N1409" t="str">
        <f t="shared" si="43"/>
        <v>Good</v>
      </c>
    </row>
    <row r="1410" spans="1:14">
      <c r="A1410" t="s">
        <v>38</v>
      </c>
      <c r="B1410">
        <v>2012</v>
      </c>
      <c r="C1410" t="s">
        <v>3225</v>
      </c>
      <c r="D1410" t="s">
        <v>14</v>
      </c>
      <c r="E1410" t="s">
        <v>3226</v>
      </c>
      <c r="F1410" t="s">
        <v>16</v>
      </c>
      <c r="G1410">
        <v>11.09</v>
      </c>
      <c r="H1410">
        <v>85</v>
      </c>
      <c r="I1410" t="s">
        <v>36</v>
      </c>
      <c r="J1410" t="s">
        <v>18</v>
      </c>
      <c r="K1410" t="s">
        <v>3185</v>
      </c>
      <c r="L1410">
        <v>150</v>
      </c>
      <c r="M1410" t="str">
        <f t="shared" si="42"/>
        <v>Low</v>
      </c>
      <c r="N1410" t="str">
        <f t="shared" si="43"/>
        <v>Good</v>
      </c>
    </row>
    <row r="1411" spans="1:14">
      <c r="A1411" t="s">
        <v>31</v>
      </c>
      <c r="B1411">
        <v>2025</v>
      </c>
      <c r="C1411" t="s">
        <v>3227</v>
      </c>
      <c r="D1411" t="s">
        <v>33</v>
      </c>
      <c r="E1411" t="s">
        <v>3228</v>
      </c>
      <c r="F1411" t="s">
        <v>42</v>
      </c>
      <c r="G1411">
        <v>33.590000000000003</v>
      </c>
      <c r="H1411">
        <v>57</v>
      </c>
      <c r="I1411" t="s">
        <v>61</v>
      </c>
      <c r="J1411" t="s">
        <v>24</v>
      </c>
      <c r="K1411" t="s">
        <v>3229</v>
      </c>
      <c r="L1411">
        <v>9</v>
      </c>
      <c r="M1411" t="str">
        <f t="shared" ref="M1411:M1474" si="44">IF(G1411&lt;15,"Low",IF(G1411&lt;35,"Medium","High"))</f>
        <v>Medium</v>
      </c>
      <c r="N1411" t="str">
        <f t="shared" ref="N1411:N1474" si="45">IF(H1411&gt;=90,"Excellent",IF(H1411&gt;=75,"Good","Average"))</f>
        <v>Average</v>
      </c>
    </row>
    <row r="1412" spans="1:14">
      <c r="A1412" t="s">
        <v>31</v>
      </c>
      <c r="B1412">
        <v>2007</v>
      </c>
      <c r="C1412" t="s">
        <v>3230</v>
      </c>
      <c r="D1412" t="s">
        <v>33</v>
      </c>
      <c r="E1412" t="s">
        <v>3231</v>
      </c>
      <c r="F1412" t="s">
        <v>46</v>
      </c>
      <c r="G1412">
        <v>40.03</v>
      </c>
      <c r="H1412">
        <v>75</v>
      </c>
      <c r="I1412" t="s">
        <v>36</v>
      </c>
      <c r="J1412" t="s">
        <v>24</v>
      </c>
      <c r="K1412" t="s">
        <v>78</v>
      </c>
      <c r="L1412">
        <v>198</v>
      </c>
      <c r="M1412" t="str">
        <f t="shared" si="44"/>
        <v>High</v>
      </c>
      <c r="N1412" t="str">
        <f t="shared" si="45"/>
        <v>Good</v>
      </c>
    </row>
    <row r="1413" spans="1:14">
      <c r="A1413" t="s">
        <v>31</v>
      </c>
      <c r="B1413">
        <v>2009</v>
      </c>
      <c r="C1413" t="s">
        <v>3232</v>
      </c>
      <c r="D1413" t="s">
        <v>14</v>
      </c>
      <c r="E1413" t="s">
        <v>3233</v>
      </c>
      <c r="F1413" t="s">
        <v>57</v>
      </c>
      <c r="G1413">
        <v>22.06</v>
      </c>
      <c r="H1413">
        <v>62</v>
      </c>
      <c r="I1413" t="s">
        <v>17</v>
      </c>
      <c r="J1413" t="s">
        <v>24</v>
      </c>
      <c r="K1413" t="s">
        <v>2439</v>
      </c>
      <c r="L1413">
        <v>33</v>
      </c>
      <c r="M1413" t="str">
        <f t="shared" si="44"/>
        <v>Medium</v>
      </c>
      <c r="N1413" t="str">
        <f t="shared" si="45"/>
        <v>Average</v>
      </c>
    </row>
    <row r="1414" spans="1:14">
      <c r="A1414" t="s">
        <v>48</v>
      </c>
      <c r="B1414">
        <v>2011</v>
      </c>
      <c r="C1414" t="s">
        <v>3234</v>
      </c>
      <c r="D1414" t="s">
        <v>14</v>
      </c>
      <c r="E1414" t="s">
        <v>3235</v>
      </c>
      <c r="F1414" t="s">
        <v>46</v>
      </c>
      <c r="G1414">
        <v>48.36</v>
      </c>
      <c r="H1414">
        <v>82</v>
      </c>
      <c r="I1414" t="s">
        <v>61</v>
      </c>
      <c r="J1414" t="s">
        <v>24</v>
      </c>
      <c r="K1414" t="s">
        <v>26</v>
      </c>
      <c r="L1414">
        <v>307</v>
      </c>
      <c r="M1414" t="str">
        <f t="shared" si="44"/>
        <v>High</v>
      </c>
      <c r="N1414" t="str">
        <f t="shared" si="45"/>
        <v>Good</v>
      </c>
    </row>
    <row r="1415" spans="1:14">
      <c r="A1415" t="s">
        <v>31</v>
      </c>
      <c r="B1415">
        <v>2008</v>
      </c>
      <c r="C1415" t="s">
        <v>3236</v>
      </c>
      <c r="D1415" t="s">
        <v>33</v>
      </c>
      <c r="E1415" t="s">
        <v>3237</v>
      </c>
      <c r="F1415" t="s">
        <v>57</v>
      </c>
      <c r="G1415">
        <v>13.39</v>
      </c>
      <c r="H1415">
        <v>51</v>
      </c>
      <c r="I1415" t="s">
        <v>23</v>
      </c>
      <c r="J1415" t="s">
        <v>37</v>
      </c>
      <c r="K1415" t="s">
        <v>508</v>
      </c>
      <c r="L1415">
        <v>30</v>
      </c>
      <c r="M1415" t="str">
        <f t="shared" si="44"/>
        <v>Low</v>
      </c>
      <c r="N1415" t="str">
        <f t="shared" si="45"/>
        <v>Average</v>
      </c>
    </row>
    <row r="1416" spans="1:14">
      <c r="A1416" t="s">
        <v>20</v>
      </c>
      <c r="B1416">
        <v>2019</v>
      </c>
      <c r="C1416" t="s">
        <v>3238</v>
      </c>
      <c r="D1416" t="s">
        <v>33</v>
      </c>
      <c r="E1416" t="s">
        <v>3239</v>
      </c>
      <c r="F1416" t="s">
        <v>42</v>
      </c>
      <c r="G1416">
        <v>42.94</v>
      </c>
      <c r="H1416">
        <v>85</v>
      </c>
      <c r="I1416" t="s">
        <v>36</v>
      </c>
      <c r="J1416" t="s">
        <v>18</v>
      </c>
      <c r="K1416" t="s">
        <v>65</v>
      </c>
      <c r="L1416">
        <v>108</v>
      </c>
      <c r="M1416" t="str">
        <f t="shared" si="44"/>
        <v>High</v>
      </c>
      <c r="N1416" t="str">
        <f t="shared" si="45"/>
        <v>Good</v>
      </c>
    </row>
    <row r="1417" spans="1:14">
      <c r="A1417" t="s">
        <v>26</v>
      </c>
      <c r="B1417">
        <v>2010</v>
      </c>
      <c r="C1417" t="s">
        <v>3240</v>
      </c>
      <c r="D1417" t="s">
        <v>33</v>
      </c>
      <c r="E1417" t="s">
        <v>3241</v>
      </c>
      <c r="F1417" t="s">
        <v>46</v>
      </c>
      <c r="G1417">
        <v>17.78</v>
      </c>
      <c r="H1417">
        <v>71</v>
      </c>
      <c r="I1417" t="s">
        <v>23</v>
      </c>
      <c r="J1417" t="s">
        <v>18</v>
      </c>
      <c r="K1417" t="s">
        <v>3242</v>
      </c>
      <c r="L1417">
        <v>151</v>
      </c>
      <c r="M1417" t="str">
        <f t="shared" si="44"/>
        <v>Medium</v>
      </c>
      <c r="N1417" t="str">
        <f t="shared" si="45"/>
        <v>Average</v>
      </c>
    </row>
    <row r="1418" spans="1:14">
      <c r="A1418" t="s">
        <v>20</v>
      </c>
      <c r="B1418">
        <v>2016</v>
      </c>
      <c r="C1418" t="s">
        <v>3243</v>
      </c>
      <c r="D1418" t="s">
        <v>33</v>
      </c>
      <c r="E1418" t="s">
        <v>2944</v>
      </c>
      <c r="F1418" t="s">
        <v>35</v>
      </c>
      <c r="G1418">
        <v>2.35</v>
      </c>
      <c r="H1418">
        <v>92</v>
      </c>
      <c r="I1418" t="s">
        <v>36</v>
      </c>
      <c r="J1418" t="s">
        <v>18</v>
      </c>
      <c r="K1418" t="s">
        <v>529</v>
      </c>
      <c r="L1418">
        <v>170</v>
      </c>
      <c r="M1418" t="str">
        <f t="shared" si="44"/>
        <v>Low</v>
      </c>
      <c r="N1418" t="str">
        <f t="shared" si="45"/>
        <v>Excellent</v>
      </c>
    </row>
    <row r="1419" spans="1:14">
      <c r="A1419" t="s">
        <v>39</v>
      </c>
      <c r="B1419">
        <v>2000</v>
      </c>
      <c r="C1419" t="s">
        <v>3244</v>
      </c>
      <c r="D1419" t="s">
        <v>33</v>
      </c>
      <c r="E1419" t="s">
        <v>3245</v>
      </c>
      <c r="F1419" t="s">
        <v>46</v>
      </c>
      <c r="G1419">
        <v>46.87</v>
      </c>
      <c r="H1419">
        <v>72</v>
      </c>
      <c r="I1419" t="s">
        <v>61</v>
      </c>
      <c r="J1419" t="s">
        <v>18</v>
      </c>
      <c r="K1419" t="s">
        <v>286</v>
      </c>
      <c r="L1419">
        <v>293</v>
      </c>
      <c r="M1419" t="str">
        <f t="shared" si="44"/>
        <v>High</v>
      </c>
      <c r="N1419" t="str">
        <f t="shared" si="45"/>
        <v>Average</v>
      </c>
    </row>
    <row r="1420" spans="1:14">
      <c r="A1420" t="s">
        <v>20</v>
      </c>
      <c r="B1420">
        <v>2010</v>
      </c>
      <c r="C1420" t="s">
        <v>3246</v>
      </c>
      <c r="D1420" t="s">
        <v>33</v>
      </c>
      <c r="E1420" t="s">
        <v>3247</v>
      </c>
      <c r="F1420" t="s">
        <v>57</v>
      </c>
      <c r="G1420">
        <v>38.799999999999997</v>
      </c>
      <c r="H1420">
        <v>65</v>
      </c>
      <c r="I1420" t="s">
        <v>36</v>
      </c>
      <c r="J1420" t="s">
        <v>24</v>
      </c>
      <c r="K1420" t="s">
        <v>1131</v>
      </c>
      <c r="L1420">
        <v>56</v>
      </c>
      <c r="M1420" t="str">
        <f t="shared" si="44"/>
        <v>High</v>
      </c>
      <c r="N1420" t="str">
        <f t="shared" si="45"/>
        <v>Average</v>
      </c>
    </row>
    <row r="1421" spans="1:14">
      <c r="A1421" t="s">
        <v>65</v>
      </c>
      <c r="B1421">
        <v>2024</v>
      </c>
      <c r="C1421" t="s">
        <v>3248</v>
      </c>
      <c r="D1421" t="s">
        <v>14</v>
      </c>
      <c r="E1421" t="s">
        <v>3249</v>
      </c>
      <c r="F1421" t="s">
        <v>42</v>
      </c>
      <c r="G1421">
        <v>17.260000000000002</v>
      </c>
      <c r="H1421">
        <v>75</v>
      </c>
      <c r="I1421" t="s">
        <v>36</v>
      </c>
      <c r="J1421" t="s">
        <v>24</v>
      </c>
      <c r="K1421" t="s">
        <v>2712</v>
      </c>
      <c r="L1421">
        <v>327</v>
      </c>
      <c r="M1421" t="str">
        <f t="shared" si="44"/>
        <v>Medium</v>
      </c>
      <c r="N1421" t="str">
        <f t="shared" si="45"/>
        <v>Good</v>
      </c>
    </row>
    <row r="1422" spans="1:14">
      <c r="A1422" t="s">
        <v>65</v>
      </c>
      <c r="B1422">
        <v>2012</v>
      </c>
      <c r="C1422" t="s">
        <v>3250</v>
      </c>
      <c r="D1422" t="s">
        <v>14</v>
      </c>
      <c r="E1422" t="s">
        <v>3251</v>
      </c>
      <c r="F1422" t="s">
        <v>16</v>
      </c>
      <c r="G1422">
        <v>47.51</v>
      </c>
      <c r="H1422">
        <v>59</v>
      </c>
      <c r="I1422" t="s">
        <v>36</v>
      </c>
      <c r="J1422" t="s">
        <v>37</v>
      </c>
      <c r="K1422" t="s">
        <v>262</v>
      </c>
      <c r="L1422">
        <v>193</v>
      </c>
      <c r="M1422" t="str">
        <f t="shared" si="44"/>
        <v>High</v>
      </c>
      <c r="N1422" t="str">
        <f t="shared" si="45"/>
        <v>Average</v>
      </c>
    </row>
    <row r="1423" spans="1:14">
      <c r="A1423" t="s">
        <v>26</v>
      </c>
      <c r="B1423">
        <v>2020</v>
      </c>
      <c r="C1423" t="s">
        <v>3252</v>
      </c>
      <c r="D1423" t="s">
        <v>14</v>
      </c>
      <c r="E1423" t="s">
        <v>3253</v>
      </c>
      <c r="F1423" t="s">
        <v>16</v>
      </c>
      <c r="G1423">
        <v>4.63</v>
      </c>
      <c r="H1423">
        <v>87</v>
      </c>
      <c r="I1423" t="s">
        <v>61</v>
      </c>
      <c r="J1423" t="s">
        <v>24</v>
      </c>
      <c r="K1423" t="s">
        <v>48</v>
      </c>
      <c r="L1423">
        <v>340</v>
      </c>
      <c r="M1423" t="str">
        <f t="shared" si="44"/>
        <v>Low</v>
      </c>
      <c r="N1423" t="str">
        <f t="shared" si="45"/>
        <v>Good</v>
      </c>
    </row>
    <row r="1424" spans="1:14">
      <c r="A1424" t="s">
        <v>26</v>
      </c>
      <c r="B1424">
        <v>2008</v>
      </c>
      <c r="C1424" t="s">
        <v>3254</v>
      </c>
      <c r="D1424" t="s">
        <v>14</v>
      </c>
      <c r="E1424" t="s">
        <v>3255</v>
      </c>
      <c r="F1424" t="s">
        <v>57</v>
      </c>
      <c r="G1424">
        <v>4.9400000000000004</v>
      </c>
      <c r="H1424">
        <v>96</v>
      </c>
      <c r="I1424" t="s">
        <v>17</v>
      </c>
      <c r="J1424" t="s">
        <v>37</v>
      </c>
      <c r="K1424" t="s">
        <v>65</v>
      </c>
      <c r="L1424">
        <v>293</v>
      </c>
      <c r="M1424" t="str">
        <f t="shared" si="44"/>
        <v>Low</v>
      </c>
      <c r="N1424" t="str">
        <f t="shared" si="45"/>
        <v>Excellent</v>
      </c>
    </row>
    <row r="1425" spans="1:14">
      <c r="A1425" t="s">
        <v>39</v>
      </c>
      <c r="B1425">
        <v>2016</v>
      </c>
      <c r="C1425" t="s">
        <v>3256</v>
      </c>
      <c r="D1425" t="s">
        <v>33</v>
      </c>
      <c r="E1425" t="s">
        <v>3257</v>
      </c>
      <c r="F1425" t="s">
        <v>35</v>
      </c>
      <c r="G1425">
        <v>9.66</v>
      </c>
      <c r="H1425">
        <v>53</v>
      </c>
      <c r="I1425" t="s">
        <v>36</v>
      </c>
      <c r="J1425" t="s">
        <v>24</v>
      </c>
      <c r="K1425" t="s">
        <v>38</v>
      </c>
      <c r="L1425">
        <v>247</v>
      </c>
      <c r="M1425" t="str">
        <f t="shared" si="44"/>
        <v>Low</v>
      </c>
      <c r="N1425" t="str">
        <f t="shared" si="45"/>
        <v>Average</v>
      </c>
    </row>
    <row r="1426" spans="1:14">
      <c r="A1426" t="s">
        <v>20</v>
      </c>
      <c r="B1426">
        <v>2017</v>
      </c>
      <c r="C1426" t="s">
        <v>3258</v>
      </c>
      <c r="D1426" t="s">
        <v>33</v>
      </c>
      <c r="E1426" t="s">
        <v>3259</v>
      </c>
      <c r="F1426" t="s">
        <v>46</v>
      </c>
      <c r="G1426">
        <v>9.7899999999999991</v>
      </c>
      <c r="H1426">
        <v>74</v>
      </c>
      <c r="I1426" t="s">
        <v>36</v>
      </c>
      <c r="J1426" t="s">
        <v>18</v>
      </c>
      <c r="K1426" t="s">
        <v>1320</v>
      </c>
      <c r="L1426">
        <v>94</v>
      </c>
      <c r="M1426" t="str">
        <f t="shared" si="44"/>
        <v>Low</v>
      </c>
      <c r="N1426" t="str">
        <f t="shared" si="45"/>
        <v>Average</v>
      </c>
    </row>
    <row r="1427" spans="1:14">
      <c r="A1427" t="s">
        <v>26</v>
      </c>
      <c r="B1427">
        <v>2001</v>
      </c>
      <c r="C1427" t="s">
        <v>3260</v>
      </c>
      <c r="D1427" t="s">
        <v>33</v>
      </c>
      <c r="E1427" t="s">
        <v>3261</v>
      </c>
      <c r="F1427" t="s">
        <v>16</v>
      </c>
      <c r="G1427">
        <v>30.75</v>
      </c>
      <c r="H1427">
        <v>81</v>
      </c>
      <c r="I1427" t="s">
        <v>29</v>
      </c>
      <c r="J1427" t="s">
        <v>18</v>
      </c>
      <c r="K1427" t="s">
        <v>2125</v>
      </c>
      <c r="L1427">
        <v>297</v>
      </c>
      <c r="M1427" t="str">
        <f t="shared" si="44"/>
        <v>Medium</v>
      </c>
      <c r="N1427" t="str">
        <f t="shared" si="45"/>
        <v>Good</v>
      </c>
    </row>
    <row r="1428" spans="1:14">
      <c r="A1428" t="s">
        <v>26</v>
      </c>
      <c r="B1428">
        <v>2016</v>
      </c>
      <c r="C1428" t="s">
        <v>3262</v>
      </c>
      <c r="D1428" t="s">
        <v>14</v>
      </c>
      <c r="E1428" t="s">
        <v>3263</v>
      </c>
      <c r="F1428" t="s">
        <v>42</v>
      </c>
      <c r="G1428">
        <v>13.62</v>
      </c>
      <c r="H1428">
        <v>65</v>
      </c>
      <c r="I1428" t="s">
        <v>23</v>
      </c>
      <c r="J1428" t="s">
        <v>24</v>
      </c>
      <c r="K1428" t="s">
        <v>1604</v>
      </c>
      <c r="L1428">
        <v>252</v>
      </c>
      <c r="M1428" t="str">
        <f t="shared" si="44"/>
        <v>Low</v>
      </c>
      <c r="N1428" t="str">
        <f t="shared" si="45"/>
        <v>Average</v>
      </c>
    </row>
    <row r="1429" spans="1:14">
      <c r="A1429" t="s">
        <v>48</v>
      </c>
      <c r="B1429">
        <v>2003</v>
      </c>
      <c r="C1429" t="s">
        <v>3264</v>
      </c>
      <c r="D1429" t="s">
        <v>33</v>
      </c>
      <c r="E1429" t="s">
        <v>3265</v>
      </c>
      <c r="F1429" t="s">
        <v>57</v>
      </c>
      <c r="G1429">
        <v>49.91</v>
      </c>
      <c r="H1429">
        <v>69</v>
      </c>
      <c r="I1429" t="s">
        <v>61</v>
      </c>
      <c r="J1429" t="s">
        <v>37</v>
      </c>
      <c r="K1429" t="s">
        <v>123</v>
      </c>
      <c r="L1429">
        <v>327</v>
      </c>
      <c r="M1429" t="str">
        <f t="shared" si="44"/>
        <v>High</v>
      </c>
      <c r="N1429" t="str">
        <f t="shared" si="45"/>
        <v>Average</v>
      </c>
    </row>
    <row r="1430" spans="1:14">
      <c r="A1430" t="s">
        <v>68</v>
      </c>
      <c r="B1430">
        <v>2002</v>
      </c>
      <c r="C1430" t="s">
        <v>3266</v>
      </c>
      <c r="D1430" t="s">
        <v>14</v>
      </c>
      <c r="E1430" t="s">
        <v>3267</v>
      </c>
      <c r="F1430" t="s">
        <v>46</v>
      </c>
      <c r="G1430">
        <v>1.1299999999999999</v>
      </c>
      <c r="H1430">
        <v>69</v>
      </c>
      <c r="I1430" t="s">
        <v>17</v>
      </c>
      <c r="J1430" t="s">
        <v>24</v>
      </c>
      <c r="K1430" t="s">
        <v>2032</v>
      </c>
      <c r="L1430">
        <v>169</v>
      </c>
      <c r="M1430" t="str">
        <f t="shared" si="44"/>
        <v>Low</v>
      </c>
      <c r="N1430" t="str">
        <f t="shared" si="45"/>
        <v>Average</v>
      </c>
    </row>
    <row r="1431" spans="1:14">
      <c r="A1431" t="s">
        <v>48</v>
      </c>
      <c r="B1431">
        <v>2023</v>
      </c>
      <c r="C1431" t="s">
        <v>3268</v>
      </c>
      <c r="D1431" t="s">
        <v>14</v>
      </c>
      <c r="E1431" t="s">
        <v>3269</v>
      </c>
      <c r="F1431" t="s">
        <v>57</v>
      </c>
      <c r="G1431">
        <v>26.27</v>
      </c>
      <c r="H1431">
        <v>93</v>
      </c>
      <c r="I1431" t="s">
        <v>17</v>
      </c>
      <c r="J1431" t="s">
        <v>24</v>
      </c>
      <c r="K1431" t="s">
        <v>1058</v>
      </c>
      <c r="L1431">
        <v>111</v>
      </c>
      <c r="M1431" t="str">
        <f t="shared" si="44"/>
        <v>Medium</v>
      </c>
      <c r="N1431" t="str">
        <f t="shared" si="45"/>
        <v>Excellent</v>
      </c>
    </row>
    <row r="1432" spans="1:14">
      <c r="A1432" t="s">
        <v>65</v>
      </c>
      <c r="B1432">
        <v>2019</v>
      </c>
      <c r="C1432" t="s">
        <v>3270</v>
      </c>
      <c r="D1432" t="s">
        <v>33</v>
      </c>
      <c r="E1432" t="s">
        <v>3271</v>
      </c>
      <c r="F1432" t="s">
        <v>42</v>
      </c>
      <c r="G1432">
        <v>23.27</v>
      </c>
      <c r="H1432">
        <v>75</v>
      </c>
      <c r="I1432" t="s">
        <v>23</v>
      </c>
      <c r="J1432" t="s">
        <v>18</v>
      </c>
      <c r="K1432" t="s">
        <v>39</v>
      </c>
      <c r="L1432">
        <v>167</v>
      </c>
      <c r="M1432" t="str">
        <f t="shared" si="44"/>
        <v>Medium</v>
      </c>
      <c r="N1432" t="str">
        <f t="shared" si="45"/>
        <v>Good</v>
      </c>
    </row>
    <row r="1433" spans="1:14">
      <c r="A1433" t="s">
        <v>39</v>
      </c>
      <c r="B1433">
        <v>2010</v>
      </c>
      <c r="C1433" t="s">
        <v>3272</v>
      </c>
      <c r="D1433" t="s">
        <v>33</v>
      </c>
      <c r="E1433" t="s">
        <v>3273</v>
      </c>
      <c r="F1433" t="s">
        <v>42</v>
      </c>
      <c r="G1433">
        <v>3</v>
      </c>
      <c r="H1433">
        <v>53</v>
      </c>
      <c r="I1433" t="s">
        <v>17</v>
      </c>
      <c r="J1433" t="s">
        <v>37</v>
      </c>
      <c r="K1433" t="s">
        <v>84</v>
      </c>
      <c r="L1433">
        <v>95</v>
      </c>
      <c r="M1433" t="str">
        <f t="shared" si="44"/>
        <v>Low</v>
      </c>
      <c r="N1433" t="str">
        <f t="shared" si="45"/>
        <v>Average</v>
      </c>
    </row>
    <row r="1434" spans="1:14">
      <c r="A1434" t="s">
        <v>68</v>
      </c>
      <c r="B1434">
        <v>2012</v>
      </c>
      <c r="C1434" t="s">
        <v>3274</v>
      </c>
      <c r="D1434" t="s">
        <v>14</v>
      </c>
      <c r="E1434" t="s">
        <v>3275</v>
      </c>
      <c r="F1434" t="s">
        <v>42</v>
      </c>
      <c r="G1434">
        <v>4.6399999999999997</v>
      </c>
      <c r="H1434">
        <v>67</v>
      </c>
      <c r="I1434" t="s">
        <v>23</v>
      </c>
      <c r="J1434" t="s">
        <v>24</v>
      </c>
      <c r="K1434" t="s">
        <v>942</v>
      </c>
      <c r="L1434">
        <v>251</v>
      </c>
      <c r="M1434" t="str">
        <f t="shared" si="44"/>
        <v>Low</v>
      </c>
      <c r="N1434" t="str">
        <f t="shared" si="45"/>
        <v>Average</v>
      </c>
    </row>
    <row r="1435" spans="1:14">
      <c r="A1435" t="s">
        <v>48</v>
      </c>
      <c r="B1435">
        <v>2006</v>
      </c>
      <c r="C1435" t="s">
        <v>3276</v>
      </c>
      <c r="D1435" t="s">
        <v>14</v>
      </c>
      <c r="E1435" t="s">
        <v>3277</v>
      </c>
      <c r="F1435" t="s">
        <v>46</v>
      </c>
      <c r="G1435">
        <v>3.1</v>
      </c>
      <c r="H1435">
        <v>63</v>
      </c>
      <c r="I1435" t="s">
        <v>23</v>
      </c>
      <c r="J1435" t="s">
        <v>37</v>
      </c>
      <c r="K1435" t="s">
        <v>2458</v>
      </c>
      <c r="L1435">
        <v>270</v>
      </c>
      <c r="M1435" t="str">
        <f t="shared" si="44"/>
        <v>Low</v>
      </c>
      <c r="N1435" t="str">
        <f t="shared" si="45"/>
        <v>Average</v>
      </c>
    </row>
    <row r="1436" spans="1:14">
      <c r="A1436" t="s">
        <v>48</v>
      </c>
      <c r="B1436">
        <v>2005</v>
      </c>
      <c r="C1436" t="s">
        <v>3278</v>
      </c>
      <c r="D1436" t="s">
        <v>14</v>
      </c>
      <c r="E1436" t="s">
        <v>1082</v>
      </c>
      <c r="F1436" t="s">
        <v>35</v>
      </c>
      <c r="G1436">
        <v>29.13</v>
      </c>
      <c r="H1436">
        <v>85</v>
      </c>
      <c r="I1436" t="s">
        <v>23</v>
      </c>
      <c r="J1436" t="s">
        <v>18</v>
      </c>
      <c r="K1436" t="s">
        <v>48</v>
      </c>
      <c r="L1436">
        <v>121</v>
      </c>
      <c r="M1436" t="str">
        <f t="shared" si="44"/>
        <v>Medium</v>
      </c>
      <c r="N1436" t="str">
        <f t="shared" si="45"/>
        <v>Good</v>
      </c>
    </row>
    <row r="1437" spans="1:14">
      <c r="A1437" t="s">
        <v>39</v>
      </c>
      <c r="B1437">
        <v>2012</v>
      </c>
      <c r="C1437" t="s">
        <v>3279</v>
      </c>
      <c r="D1437" t="s">
        <v>14</v>
      </c>
      <c r="E1437" t="s">
        <v>3280</v>
      </c>
      <c r="F1437" t="s">
        <v>35</v>
      </c>
      <c r="G1437">
        <v>37.75</v>
      </c>
      <c r="H1437">
        <v>96</v>
      </c>
      <c r="I1437" t="s">
        <v>29</v>
      </c>
      <c r="J1437" t="s">
        <v>18</v>
      </c>
      <c r="K1437" t="s">
        <v>3281</v>
      </c>
      <c r="L1437">
        <v>86</v>
      </c>
      <c r="M1437" t="str">
        <f t="shared" si="44"/>
        <v>High</v>
      </c>
      <c r="N1437" t="str">
        <f t="shared" si="45"/>
        <v>Excellent</v>
      </c>
    </row>
    <row r="1438" spans="1:14">
      <c r="A1438" t="s">
        <v>12</v>
      </c>
      <c r="B1438">
        <v>2011</v>
      </c>
      <c r="C1438" t="s">
        <v>3282</v>
      </c>
      <c r="D1438" t="s">
        <v>33</v>
      </c>
      <c r="E1438" t="s">
        <v>2134</v>
      </c>
      <c r="F1438" t="s">
        <v>46</v>
      </c>
      <c r="G1438">
        <v>23.58</v>
      </c>
      <c r="H1438">
        <v>87</v>
      </c>
      <c r="I1438" t="s">
        <v>29</v>
      </c>
      <c r="J1438" t="s">
        <v>37</v>
      </c>
      <c r="K1438" t="s">
        <v>3283</v>
      </c>
      <c r="L1438">
        <v>307</v>
      </c>
      <c r="M1438" t="str">
        <f t="shared" si="44"/>
        <v>Medium</v>
      </c>
      <c r="N1438" t="str">
        <f t="shared" si="45"/>
        <v>Good</v>
      </c>
    </row>
    <row r="1439" spans="1:14">
      <c r="A1439" t="s">
        <v>12</v>
      </c>
      <c r="B1439">
        <v>2024</v>
      </c>
      <c r="C1439" t="s">
        <v>3284</v>
      </c>
      <c r="D1439" t="s">
        <v>14</v>
      </c>
      <c r="E1439" t="s">
        <v>3285</v>
      </c>
      <c r="F1439" t="s">
        <v>16</v>
      </c>
      <c r="G1439">
        <v>23.15</v>
      </c>
      <c r="H1439">
        <v>73</v>
      </c>
      <c r="I1439" t="s">
        <v>36</v>
      </c>
      <c r="J1439" t="s">
        <v>18</v>
      </c>
      <c r="K1439" t="s">
        <v>43</v>
      </c>
      <c r="L1439">
        <v>66</v>
      </c>
      <c r="M1439" t="str">
        <f t="shared" si="44"/>
        <v>Medium</v>
      </c>
      <c r="N1439" t="str">
        <f t="shared" si="45"/>
        <v>Average</v>
      </c>
    </row>
    <row r="1440" spans="1:14">
      <c r="A1440" t="s">
        <v>12</v>
      </c>
      <c r="B1440">
        <v>2009</v>
      </c>
      <c r="C1440" t="s">
        <v>3286</v>
      </c>
      <c r="D1440" t="s">
        <v>33</v>
      </c>
      <c r="E1440" t="s">
        <v>3287</v>
      </c>
      <c r="F1440" t="s">
        <v>35</v>
      </c>
      <c r="G1440">
        <v>29.97</v>
      </c>
      <c r="H1440">
        <v>55</v>
      </c>
      <c r="I1440" t="s">
        <v>61</v>
      </c>
      <c r="J1440" t="s">
        <v>18</v>
      </c>
      <c r="K1440" t="s">
        <v>320</v>
      </c>
      <c r="L1440">
        <v>112</v>
      </c>
      <c r="M1440" t="str">
        <f t="shared" si="44"/>
        <v>Medium</v>
      </c>
      <c r="N1440" t="str">
        <f t="shared" si="45"/>
        <v>Average</v>
      </c>
    </row>
    <row r="1441" spans="1:14">
      <c r="A1441" t="s">
        <v>26</v>
      </c>
      <c r="B1441">
        <v>2009</v>
      </c>
      <c r="C1441" t="s">
        <v>3288</v>
      </c>
      <c r="D1441" t="s">
        <v>14</v>
      </c>
      <c r="E1441" t="s">
        <v>3289</v>
      </c>
      <c r="F1441" t="s">
        <v>57</v>
      </c>
      <c r="G1441">
        <v>19.5</v>
      </c>
      <c r="H1441">
        <v>82</v>
      </c>
      <c r="I1441" t="s">
        <v>36</v>
      </c>
      <c r="J1441" t="s">
        <v>37</v>
      </c>
      <c r="K1441" t="s">
        <v>39</v>
      </c>
      <c r="L1441">
        <v>95</v>
      </c>
      <c r="M1441" t="str">
        <f t="shared" si="44"/>
        <v>Medium</v>
      </c>
      <c r="N1441" t="str">
        <f t="shared" si="45"/>
        <v>Good</v>
      </c>
    </row>
    <row r="1442" spans="1:14">
      <c r="A1442" t="s">
        <v>48</v>
      </c>
      <c r="B1442">
        <v>2018</v>
      </c>
      <c r="C1442" t="s">
        <v>3290</v>
      </c>
      <c r="D1442" t="s">
        <v>33</v>
      </c>
      <c r="E1442" t="s">
        <v>3291</v>
      </c>
      <c r="F1442" t="s">
        <v>57</v>
      </c>
      <c r="G1442">
        <v>7.95</v>
      </c>
      <c r="H1442">
        <v>68</v>
      </c>
      <c r="I1442" t="s">
        <v>17</v>
      </c>
      <c r="J1442" t="s">
        <v>18</v>
      </c>
      <c r="K1442" t="s">
        <v>123</v>
      </c>
      <c r="L1442">
        <v>64</v>
      </c>
      <c r="M1442" t="str">
        <f t="shared" si="44"/>
        <v>Low</v>
      </c>
      <c r="N1442" t="str">
        <f t="shared" si="45"/>
        <v>Average</v>
      </c>
    </row>
    <row r="1443" spans="1:14">
      <c r="A1443" t="s">
        <v>68</v>
      </c>
      <c r="B1443">
        <v>2002</v>
      </c>
      <c r="C1443" t="s">
        <v>3292</v>
      </c>
      <c r="D1443" t="s">
        <v>33</v>
      </c>
      <c r="E1443" t="s">
        <v>3293</v>
      </c>
      <c r="F1443" t="s">
        <v>46</v>
      </c>
      <c r="G1443">
        <v>14.9</v>
      </c>
      <c r="H1443">
        <v>50</v>
      </c>
      <c r="I1443" t="s">
        <v>29</v>
      </c>
      <c r="J1443" t="s">
        <v>24</v>
      </c>
      <c r="K1443" t="s">
        <v>1058</v>
      </c>
      <c r="L1443">
        <v>46</v>
      </c>
      <c r="M1443" t="str">
        <f t="shared" si="44"/>
        <v>Low</v>
      </c>
      <c r="N1443" t="str">
        <f t="shared" si="45"/>
        <v>Average</v>
      </c>
    </row>
    <row r="1444" spans="1:14">
      <c r="A1444" t="s">
        <v>65</v>
      </c>
      <c r="B1444">
        <v>2000</v>
      </c>
      <c r="C1444" t="s">
        <v>3294</v>
      </c>
      <c r="D1444" t="s">
        <v>14</v>
      </c>
      <c r="E1444" t="s">
        <v>3295</v>
      </c>
      <c r="F1444" t="s">
        <v>16</v>
      </c>
      <c r="G1444">
        <v>10.68</v>
      </c>
      <c r="H1444">
        <v>57</v>
      </c>
      <c r="I1444" t="s">
        <v>36</v>
      </c>
      <c r="J1444" t="s">
        <v>24</v>
      </c>
      <c r="K1444" t="s">
        <v>3296</v>
      </c>
      <c r="L1444">
        <v>105</v>
      </c>
      <c r="M1444" t="str">
        <f t="shared" si="44"/>
        <v>Low</v>
      </c>
      <c r="N1444" t="str">
        <f t="shared" si="45"/>
        <v>Average</v>
      </c>
    </row>
    <row r="1445" spans="1:14">
      <c r="A1445" t="s">
        <v>12</v>
      </c>
      <c r="B1445">
        <v>2022</v>
      </c>
      <c r="C1445" t="s">
        <v>3297</v>
      </c>
      <c r="D1445" t="s">
        <v>14</v>
      </c>
      <c r="E1445" t="s">
        <v>3298</v>
      </c>
      <c r="F1445" t="s">
        <v>16</v>
      </c>
      <c r="G1445">
        <v>28.96</v>
      </c>
      <c r="H1445">
        <v>65</v>
      </c>
      <c r="I1445" t="s">
        <v>29</v>
      </c>
      <c r="J1445" t="s">
        <v>37</v>
      </c>
      <c r="K1445" t="s">
        <v>39</v>
      </c>
      <c r="L1445">
        <v>328</v>
      </c>
      <c r="M1445" t="str">
        <f t="shared" si="44"/>
        <v>Medium</v>
      </c>
      <c r="N1445" t="str">
        <f t="shared" si="45"/>
        <v>Average</v>
      </c>
    </row>
    <row r="1446" spans="1:14">
      <c r="A1446" t="s">
        <v>12</v>
      </c>
      <c r="B1446">
        <v>2018</v>
      </c>
      <c r="C1446" t="s">
        <v>3299</v>
      </c>
      <c r="D1446" t="s">
        <v>14</v>
      </c>
      <c r="E1446" t="s">
        <v>3300</v>
      </c>
      <c r="F1446" t="s">
        <v>42</v>
      </c>
      <c r="G1446">
        <v>28.62</v>
      </c>
      <c r="H1446">
        <v>80</v>
      </c>
      <c r="I1446" t="s">
        <v>61</v>
      </c>
      <c r="J1446" t="s">
        <v>37</v>
      </c>
      <c r="K1446" t="s">
        <v>760</v>
      </c>
      <c r="L1446">
        <v>70</v>
      </c>
      <c r="M1446" t="str">
        <f t="shared" si="44"/>
        <v>Medium</v>
      </c>
      <c r="N1446" t="str">
        <f t="shared" si="45"/>
        <v>Good</v>
      </c>
    </row>
    <row r="1447" spans="1:14">
      <c r="A1447" t="s">
        <v>39</v>
      </c>
      <c r="B1447">
        <v>2015</v>
      </c>
      <c r="C1447" t="s">
        <v>3301</v>
      </c>
      <c r="D1447" t="s">
        <v>33</v>
      </c>
      <c r="E1447" t="s">
        <v>1110</v>
      </c>
      <c r="F1447" t="s">
        <v>46</v>
      </c>
      <c r="G1447">
        <v>1.97</v>
      </c>
      <c r="H1447">
        <v>85</v>
      </c>
      <c r="I1447" t="s">
        <v>36</v>
      </c>
      <c r="J1447" t="s">
        <v>37</v>
      </c>
      <c r="K1447" t="s">
        <v>2431</v>
      </c>
      <c r="L1447">
        <v>43</v>
      </c>
      <c r="M1447" t="str">
        <f t="shared" si="44"/>
        <v>Low</v>
      </c>
      <c r="N1447" t="str">
        <f t="shared" si="45"/>
        <v>Good</v>
      </c>
    </row>
    <row r="1448" spans="1:14">
      <c r="A1448" t="s">
        <v>39</v>
      </c>
      <c r="B1448">
        <v>2000</v>
      </c>
      <c r="C1448" t="s">
        <v>3302</v>
      </c>
      <c r="D1448" t="s">
        <v>14</v>
      </c>
      <c r="E1448" t="s">
        <v>3303</v>
      </c>
      <c r="F1448" t="s">
        <v>35</v>
      </c>
      <c r="G1448">
        <v>7.65</v>
      </c>
      <c r="H1448">
        <v>84</v>
      </c>
      <c r="I1448" t="s">
        <v>36</v>
      </c>
      <c r="J1448" t="s">
        <v>37</v>
      </c>
      <c r="K1448" t="s">
        <v>752</v>
      </c>
      <c r="L1448">
        <v>266</v>
      </c>
      <c r="M1448" t="str">
        <f t="shared" si="44"/>
        <v>Low</v>
      </c>
      <c r="N1448" t="str">
        <f t="shared" si="45"/>
        <v>Good</v>
      </c>
    </row>
    <row r="1449" spans="1:14">
      <c r="A1449" t="s">
        <v>47</v>
      </c>
      <c r="B1449">
        <v>2004</v>
      </c>
      <c r="C1449" t="s">
        <v>3304</v>
      </c>
      <c r="D1449" t="s">
        <v>14</v>
      </c>
      <c r="E1449" t="s">
        <v>3305</v>
      </c>
      <c r="F1449" t="s">
        <v>35</v>
      </c>
      <c r="G1449">
        <v>25.21</v>
      </c>
      <c r="H1449">
        <v>76</v>
      </c>
      <c r="I1449" t="s">
        <v>36</v>
      </c>
      <c r="J1449" t="s">
        <v>18</v>
      </c>
      <c r="K1449" t="s">
        <v>2815</v>
      </c>
      <c r="L1449">
        <v>9</v>
      </c>
      <c r="M1449" t="str">
        <f t="shared" si="44"/>
        <v>Medium</v>
      </c>
      <c r="N1449" t="str">
        <f t="shared" si="45"/>
        <v>Good</v>
      </c>
    </row>
    <row r="1450" spans="1:14">
      <c r="A1450" t="s">
        <v>47</v>
      </c>
      <c r="B1450">
        <v>2024</v>
      </c>
      <c r="C1450" t="s">
        <v>3306</v>
      </c>
      <c r="D1450" t="s">
        <v>33</v>
      </c>
      <c r="E1450" t="s">
        <v>3307</v>
      </c>
      <c r="F1450" t="s">
        <v>57</v>
      </c>
      <c r="G1450">
        <v>24.17</v>
      </c>
      <c r="H1450">
        <v>83</v>
      </c>
      <c r="I1450" t="s">
        <v>36</v>
      </c>
      <c r="J1450" t="s">
        <v>18</v>
      </c>
      <c r="K1450" t="s">
        <v>2591</v>
      </c>
      <c r="L1450">
        <v>274</v>
      </c>
      <c r="M1450" t="str">
        <f t="shared" si="44"/>
        <v>Medium</v>
      </c>
      <c r="N1450" t="str">
        <f t="shared" si="45"/>
        <v>Good</v>
      </c>
    </row>
    <row r="1451" spans="1:14">
      <c r="A1451" t="s">
        <v>68</v>
      </c>
      <c r="B1451">
        <v>2025</v>
      </c>
      <c r="C1451" t="s">
        <v>3308</v>
      </c>
      <c r="D1451" t="s">
        <v>14</v>
      </c>
      <c r="E1451" t="s">
        <v>3309</v>
      </c>
      <c r="F1451" t="s">
        <v>16</v>
      </c>
      <c r="G1451">
        <v>5.6</v>
      </c>
      <c r="H1451">
        <v>100</v>
      </c>
      <c r="I1451" t="s">
        <v>29</v>
      </c>
      <c r="J1451" t="s">
        <v>18</v>
      </c>
      <c r="K1451" t="s">
        <v>3310</v>
      </c>
      <c r="L1451">
        <v>222</v>
      </c>
      <c r="M1451" t="str">
        <f t="shared" si="44"/>
        <v>Low</v>
      </c>
      <c r="N1451" t="str">
        <f t="shared" si="45"/>
        <v>Excellent</v>
      </c>
    </row>
    <row r="1452" spans="1:14">
      <c r="A1452" t="s">
        <v>12</v>
      </c>
      <c r="B1452">
        <v>2002</v>
      </c>
      <c r="C1452" t="s">
        <v>3311</v>
      </c>
      <c r="D1452" t="s">
        <v>33</v>
      </c>
      <c r="E1452" t="s">
        <v>3312</v>
      </c>
      <c r="F1452" t="s">
        <v>46</v>
      </c>
      <c r="G1452">
        <v>19.670000000000002</v>
      </c>
      <c r="H1452">
        <v>97</v>
      </c>
      <c r="I1452" t="s">
        <v>61</v>
      </c>
      <c r="J1452" t="s">
        <v>24</v>
      </c>
      <c r="K1452" t="s">
        <v>126</v>
      </c>
      <c r="L1452">
        <v>290</v>
      </c>
      <c r="M1452" t="str">
        <f t="shared" si="44"/>
        <v>Medium</v>
      </c>
      <c r="N1452" t="str">
        <f t="shared" si="45"/>
        <v>Excellent</v>
      </c>
    </row>
    <row r="1453" spans="1:14">
      <c r="A1453" t="s">
        <v>48</v>
      </c>
      <c r="B1453">
        <v>2000</v>
      </c>
      <c r="C1453" t="s">
        <v>3313</v>
      </c>
      <c r="D1453" t="s">
        <v>14</v>
      </c>
      <c r="E1453" t="s">
        <v>3314</v>
      </c>
      <c r="F1453" t="s">
        <v>16</v>
      </c>
      <c r="G1453">
        <v>9</v>
      </c>
      <c r="H1453">
        <v>69</v>
      </c>
      <c r="I1453" t="s">
        <v>17</v>
      </c>
      <c r="J1453" t="s">
        <v>18</v>
      </c>
      <c r="K1453" t="s">
        <v>48</v>
      </c>
      <c r="L1453">
        <v>37</v>
      </c>
      <c r="M1453" t="str">
        <f t="shared" si="44"/>
        <v>Low</v>
      </c>
      <c r="N1453" t="str">
        <f t="shared" si="45"/>
        <v>Average</v>
      </c>
    </row>
    <row r="1454" spans="1:14">
      <c r="A1454" t="s">
        <v>48</v>
      </c>
      <c r="B1454">
        <v>2008</v>
      </c>
      <c r="C1454" t="s">
        <v>3315</v>
      </c>
      <c r="D1454" t="s">
        <v>33</v>
      </c>
      <c r="E1454" t="s">
        <v>3316</v>
      </c>
      <c r="F1454" t="s">
        <v>16</v>
      </c>
      <c r="G1454">
        <v>16.579999999999998</v>
      </c>
      <c r="H1454">
        <v>51</v>
      </c>
      <c r="I1454" t="s">
        <v>61</v>
      </c>
      <c r="J1454" t="s">
        <v>24</v>
      </c>
      <c r="K1454" t="s">
        <v>356</v>
      </c>
      <c r="L1454">
        <v>37</v>
      </c>
      <c r="M1454" t="str">
        <f t="shared" si="44"/>
        <v>Medium</v>
      </c>
      <c r="N1454" t="str">
        <f t="shared" si="45"/>
        <v>Average</v>
      </c>
    </row>
    <row r="1455" spans="1:14">
      <c r="A1455" t="s">
        <v>38</v>
      </c>
      <c r="B1455">
        <v>2010</v>
      </c>
      <c r="C1455" t="s">
        <v>3317</v>
      </c>
      <c r="D1455" t="s">
        <v>14</v>
      </c>
      <c r="E1455" t="s">
        <v>3318</v>
      </c>
      <c r="F1455" t="s">
        <v>46</v>
      </c>
      <c r="G1455">
        <v>36.049999999999997</v>
      </c>
      <c r="H1455">
        <v>60</v>
      </c>
      <c r="I1455" t="s">
        <v>23</v>
      </c>
      <c r="J1455" t="s">
        <v>24</v>
      </c>
      <c r="K1455" t="s">
        <v>1320</v>
      </c>
      <c r="L1455">
        <v>99</v>
      </c>
      <c r="M1455" t="str">
        <f t="shared" si="44"/>
        <v>High</v>
      </c>
      <c r="N1455" t="str">
        <f t="shared" si="45"/>
        <v>Average</v>
      </c>
    </row>
    <row r="1456" spans="1:14">
      <c r="A1456" t="s">
        <v>12</v>
      </c>
      <c r="B1456">
        <v>2005</v>
      </c>
      <c r="C1456" t="s">
        <v>3319</v>
      </c>
      <c r="D1456" t="s">
        <v>14</v>
      </c>
      <c r="E1456" t="s">
        <v>3320</v>
      </c>
      <c r="F1456" t="s">
        <v>46</v>
      </c>
      <c r="G1456">
        <v>27.24</v>
      </c>
      <c r="H1456">
        <v>97</v>
      </c>
      <c r="I1456" t="s">
        <v>17</v>
      </c>
      <c r="J1456" t="s">
        <v>37</v>
      </c>
      <c r="K1456" t="s">
        <v>1597</v>
      </c>
      <c r="L1456">
        <v>123</v>
      </c>
      <c r="M1456" t="str">
        <f t="shared" si="44"/>
        <v>Medium</v>
      </c>
      <c r="N1456" t="str">
        <f t="shared" si="45"/>
        <v>Excellent</v>
      </c>
    </row>
    <row r="1457" spans="1:14">
      <c r="A1457" t="s">
        <v>68</v>
      </c>
      <c r="B1457">
        <v>2022</v>
      </c>
      <c r="C1457" t="s">
        <v>3321</v>
      </c>
      <c r="D1457" t="s">
        <v>33</v>
      </c>
      <c r="E1457" t="s">
        <v>3322</v>
      </c>
      <c r="F1457" t="s">
        <v>42</v>
      </c>
      <c r="G1457">
        <v>46.98</v>
      </c>
      <c r="H1457">
        <v>64</v>
      </c>
      <c r="I1457" t="s">
        <v>36</v>
      </c>
      <c r="J1457" t="s">
        <v>18</v>
      </c>
      <c r="K1457" t="s">
        <v>47</v>
      </c>
      <c r="L1457">
        <v>88</v>
      </c>
      <c r="M1457" t="str">
        <f t="shared" si="44"/>
        <v>High</v>
      </c>
      <c r="N1457" t="str">
        <f t="shared" si="45"/>
        <v>Average</v>
      </c>
    </row>
    <row r="1458" spans="1:14">
      <c r="A1458" t="s">
        <v>20</v>
      </c>
      <c r="B1458">
        <v>2021</v>
      </c>
      <c r="C1458" t="s">
        <v>3323</v>
      </c>
      <c r="D1458" t="s">
        <v>33</v>
      </c>
      <c r="E1458" t="s">
        <v>3324</v>
      </c>
      <c r="F1458" t="s">
        <v>57</v>
      </c>
      <c r="G1458">
        <v>22.57</v>
      </c>
      <c r="H1458">
        <v>53</v>
      </c>
      <c r="I1458" t="s">
        <v>29</v>
      </c>
      <c r="J1458" t="s">
        <v>24</v>
      </c>
      <c r="K1458" t="s">
        <v>2125</v>
      </c>
      <c r="L1458">
        <v>203</v>
      </c>
      <c r="M1458" t="str">
        <f t="shared" si="44"/>
        <v>Medium</v>
      </c>
      <c r="N1458" t="str">
        <f t="shared" si="45"/>
        <v>Average</v>
      </c>
    </row>
    <row r="1459" spans="1:14">
      <c r="A1459" t="s">
        <v>20</v>
      </c>
      <c r="B1459">
        <v>2008</v>
      </c>
      <c r="C1459" t="s">
        <v>3325</v>
      </c>
      <c r="D1459" t="s">
        <v>33</v>
      </c>
      <c r="E1459" t="s">
        <v>2786</v>
      </c>
      <c r="F1459" t="s">
        <v>46</v>
      </c>
      <c r="G1459">
        <v>18.07</v>
      </c>
      <c r="H1459">
        <v>51</v>
      </c>
      <c r="I1459" t="s">
        <v>29</v>
      </c>
      <c r="J1459" t="s">
        <v>18</v>
      </c>
      <c r="K1459" t="s">
        <v>508</v>
      </c>
      <c r="L1459">
        <v>194</v>
      </c>
      <c r="M1459" t="str">
        <f t="shared" si="44"/>
        <v>Medium</v>
      </c>
      <c r="N1459" t="str">
        <f t="shared" si="45"/>
        <v>Average</v>
      </c>
    </row>
    <row r="1460" spans="1:14">
      <c r="A1460" t="s">
        <v>68</v>
      </c>
      <c r="B1460">
        <v>2009</v>
      </c>
      <c r="C1460" t="s">
        <v>3326</v>
      </c>
      <c r="D1460" t="s">
        <v>33</v>
      </c>
      <c r="E1460" t="s">
        <v>3327</v>
      </c>
      <c r="F1460" t="s">
        <v>16</v>
      </c>
      <c r="G1460">
        <v>4.1500000000000004</v>
      </c>
      <c r="H1460">
        <v>75</v>
      </c>
      <c r="I1460" t="s">
        <v>29</v>
      </c>
      <c r="J1460" t="s">
        <v>37</v>
      </c>
      <c r="K1460" t="s">
        <v>38</v>
      </c>
      <c r="L1460">
        <v>96</v>
      </c>
      <c r="M1460" t="str">
        <f t="shared" si="44"/>
        <v>Low</v>
      </c>
      <c r="N1460" t="str">
        <f t="shared" si="45"/>
        <v>Good</v>
      </c>
    </row>
    <row r="1461" spans="1:14">
      <c r="A1461" t="s">
        <v>31</v>
      </c>
      <c r="B1461">
        <v>2016</v>
      </c>
      <c r="C1461" t="s">
        <v>3328</v>
      </c>
      <c r="D1461" t="s">
        <v>14</v>
      </c>
      <c r="E1461" t="s">
        <v>3329</v>
      </c>
      <c r="F1461" t="s">
        <v>16</v>
      </c>
      <c r="G1461">
        <v>8.6199999999999992</v>
      </c>
      <c r="H1461">
        <v>79</v>
      </c>
      <c r="I1461" t="s">
        <v>17</v>
      </c>
      <c r="J1461" t="s">
        <v>18</v>
      </c>
      <c r="K1461" t="s">
        <v>65</v>
      </c>
      <c r="L1461">
        <v>350</v>
      </c>
      <c r="M1461" t="str">
        <f t="shared" si="44"/>
        <v>Low</v>
      </c>
      <c r="N1461" t="str">
        <f t="shared" si="45"/>
        <v>Good</v>
      </c>
    </row>
    <row r="1462" spans="1:14">
      <c r="A1462" t="s">
        <v>47</v>
      </c>
      <c r="B1462">
        <v>2017</v>
      </c>
      <c r="C1462" t="s">
        <v>3330</v>
      </c>
      <c r="D1462" t="s">
        <v>14</v>
      </c>
      <c r="E1462" t="s">
        <v>3331</v>
      </c>
      <c r="F1462" t="s">
        <v>35</v>
      </c>
      <c r="G1462">
        <v>8.56</v>
      </c>
      <c r="H1462">
        <v>80</v>
      </c>
      <c r="I1462" t="s">
        <v>61</v>
      </c>
      <c r="J1462" t="s">
        <v>37</v>
      </c>
      <c r="K1462" t="s">
        <v>12</v>
      </c>
      <c r="L1462">
        <v>291</v>
      </c>
      <c r="M1462" t="str">
        <f t="shared" si="44"/>
        <v>Low</v>
      </c>
      <c r="N1462" t="str">
        <f t="shared" si="45"/>
        <v>Good</v>
      </c>
    </row>
    <row r="1463" spans="1:14">
      <c r="A1463" t="s">
        <v>48</v>
      </c>
      <c r="B1463">
        <v>2006</v>
      </c>
      <c r="C1463" t="s">
        <v>3332</v>
      </c>
      <c r="D1463" t="s">
        <v>33</v>
      </c>
      <c r="E1463" t="s">
        <v>3333</v>
      </c>
      <c r="F1463" t="s">
        <v>42</v>
      </c>
      <c r="G1463">
        <v>20.66</v>
      </c>
      <c r="H1463">
        <v>96</v>
      </c>
      <c r="I1463" t="s">
        <v>17</v>
      </c>
      <c r="J1463" t="s">
        <v>37</v>
      </c>
      <c r="K1463" t="s">
        <v>173</v>
      </c>
      <c r="L1463">
        <v>142</v>
      </c>
      <c r="M1463" t="str">
        <f t="shared" si="44"/>
        <v>Medium</v>
      </c>
      <c r="N1463" t="str">
        <f t="shared" si="45"/>
        <v>Excellent</v>
      </c>
    </row>
    <row r="1464" spans="1:14">
      <c r="A1464" t="s">
        <v>65</v>
      </c>
      <c r="B1464">
        <v>2012</v>
      </c>
      <c r="C1464" t="s">
        <v>3334</v>
      </c>
      <c r="D1464" t="s">
        <v>14</v>
      </c>
      <c r="E1464" t="s">
        <v>3335</v>
      </c>
      <c r="F1464" t="s">
        <v>42</v>
      </c>
      <c r="G1464">
        <v>20.45</v>
      </c>
      <c r="H1464">
        <v>73</v>
      </c>
      <c r="I1464" t="s">
        <v>36</v>
      </c>
      <c r="J1464" t="s">
        <v>18</v>
      </c>
      <c r="K1464" t="s">
        <v>151</v>
      </c>
      <c r="L1464">
        <v>232</v>
      </c>
      <c r="M1464" t="str">
        <f t="shared" si="44"/>
        <v>Medium</v>
      </c>
      <c r="N1464" t="str">
        <f t="shared" si="45"/>
        <v>Average</v>
      </c>
    </row>
    <row r="1465" spans="1:14">
      <c r="A1465" t="s">
        <v>68</v>
      </c>
      <c r="B1465">
        <v>2013</v>
      </c>
      <c r="C1465" t="s">
        <v>3336</v>
      </c>
      <c r="D1465" t="s">
        <v>14</v>
      </c>
      <c r="E1465" t="s">
        <v>3337</v>
      </c>
      <c r="F1465" t="s">
        <v>46</v>
      </c>
      <c r="G1465">
        <v>43.01</v>
      </c>
      <c r="H1465">
        <v>59</v>
      </c>
      <c r="I1465" t="s">
        <v>36</v>
      </c>
      <c r="J1465" t="s">
        <v>24</v>
      </c>
      <c r="K1465" t="s">
        <v>3338</v>
      </c>
      <c r="L1465">
        <v>288</v>
      </c>
      <c r="M1465" t="str">
        <f t="shared" si="44"/>
        <v>High</v>
      </c>
      <c r="N1465" t="str">
        <f t="shared" si="45"/>
        <v>Average</v>
      </c>
    </row>
    <row r="1466" spans="1:14">
      <c r="A1466" t="s">
        <v>68</v>
      </c>
      <c r="B1466">
        <v>2011</v>
      </c>
      <c r="C1466" t="s">
        <v>3339</v>
      </c>
      <c r="D1466" t="s">
        <v>33</v>
      </c>
      <c r="E1466" t="s">
        <v>1218</v>
      </c>
      <c r="F1466" t="s">
        <v>16</v>
      </c>
      <c r="G1466">
        <v>26.87</v>
      </c>
      <c r="H1466">
        <v>67</v>
      </c>
      <c r="I1466" t="s">
        <v>17</v>
      </c>
      <c r="J1466" t="s">
        <v>24</v>
      </c>
      <c r="K1466" t="s">
        <v>3340</v>
      </c>
      <c r="L1466">
        <v>81</v>
      </c>
      <c r="M1466" t="str">
        <f t="shared" si="44"/>
        <v>Medium</v>
      </c>
      <c r="N1466" t="str">
        <f t="shared" si="45"/>
        <v>Average</v>
      </c>
    </row>
    <row r="1467" spans="1:14">
      <c r="A1467" t="s">
        <v>65</v>
      </c>
      <c r="B1467">
        <v>2009</v>
      </c>
      <c r="C1467" t="s">
        <v>3341</v>
      </c>
      <c r="D1467" t="s">
        <v>14</v>
      </c>
      <c r="E1467" t="s">
        <v>3342</v>
      </c>
      <c r="F1467" t="s">
        <v>57</v>
      </c>
      <c r="G1467">
        <v>2.81</v>
      </c>
      <c r="H1467">
        <v>79</v>
      </c>
      <c r="I1467" t="s">
        <v>61</v>
      </c>
      <c r="J1467" t="s">
        <v>18</v>
      </c>
      <c r="K1467" t="s">
        <v>846</v>
      </c>
      <c r="L1467">
        <v>151</v>
      </c>
      <c r="M1467" t="str">
        <f t="shared" si="44"/>
        <v>Low</v>
      </c>
      <c r="N1467" t="str">
        <f t="shared" si="45"/>
        <v>Good</v>
      </c>
    </row>
    <row r="1468" spans="1:14">
      <c r="A1468" t="s">
        <v>38</v>
      </c>
      <c r="B1468">
        <v>2020</v>
      </c>
      <c r="C1468" t="s">
        <v>3343</v>
      </c>
      <c r="D1468" t="s">
        <v>33</v>
      </c>
      <c r="E1468" t="s">
        <v>3344</v>
      </c>
      <c r="F1468" t="s">
        <v>16</v>
      </c>
      <c r="G1468">
        <v>43.21</v>
      </c>
      <c r="H1468">
        <v>55</v>
      </c>
      <c r="I1468" t="s">
        <v>61</v>
      </c>
      <c r="J1468" t="s">
        <v>18</v>
      </c>
      <c r="K1468" t="s">
        <v>460</v>
      </c>
      <c r="L1468">
        <v>310</v>
      </c>
      <c r="M1468" t="str">
        <f t="shared" si="44"/>
        <v>High</v>
      </c>
      <c r="N1468" t="str">
        <f t="shared" si="45"/>
        <v>Average</v>
      </c>
    </row>
    <row r="1469" spans="1:14">
      <c r="A1469" t="s">
        <v>39</v>
      </c>
      <c r="B1469">
        <v>2025</v>
      </c>
      <c r="C1469" t="s">
        <v>3345</v>
      </c>
      <c r="D1469" t="s">
        <v>14</v>
      </c>
      <c r="E1469" t="s">
        <v>3346</v>
      </c>
      <c r="F1469" t="s">
        <v>46</v>
      </c>
      <c r="G1469">
        <v>49.28</v>
      </c>
      <c r="H1469">
        <v>67</v>
      </c>
      <c r="I1469" t="s">
        <v>17</v>
      </c>
      <c r="J1469" t="s">
        <v>18</v>
      </c>
      <c r="K1469" t="s">
        <v>68</v>
      </c>
      <c r="L1469">
        <v>171</v>
      </c>
      <c r="M1469" t="str">
        <f t="shared" si="44"/>
        <v>High</v>
      </c>
      <c r="N1469" t="str">
        <f t="shared" si="45"/>
        <v>Average</v>
      </c>
    </row>
    <row r="1470" spans="1:14">
      <c r="A1470" t="s">
        <v>47</v>
      </c>
      <c r="B1470">
        <v>2012</v>
      </c>
      <c r="C1470" t="s">
        <v>3347</v>
      </c>
      <c r="D1470" t="s">
        <v>14</v>
      </c>
      <c r="E1470" t="s">
        <v>3348</v>
      </c>
      <c r="F1470" t="s">
        <v>35</v>
      </c>
      <c r="G1470">
        <v>36.81</v>
      </c>
      <c r="H1470">
        <v>98</v>
      </c>
      <c r="I1470" t="s">
        <v>36</v>
      </c>
      <c r="J1470" t="s">
        <v>18</v>
      </c>
      <c r="K1470" t="s">
        <v>292</v>
      </c>
      <c r="L1470">
        <v>313</v>
      </c>
      <c r="M1470" t="str">
        <f t="shared" si="44"/>
        <v>High</v>
      </c>
      <c r="N1470" t="str">
        <f t="shared" si="45"/>
        <v>Excellent</v>
      </c>
    </row>
    <row r="1471" spans="1:14">
      <c r="A1471" t="s">
        <v>48</v>
      </c>
      <c r="B1471">
        <v>2024</v>
      </c>
      <c r="C1471" t="s">
        <v>3349</v>
      </c>
      <c r="D1471" t="s">
        <v>14</v>
      </c>
      <c r="E1471" t="s">
        <v>3350</v>
      </c>
      <c r="F1471" t="s">
        <v>42</v>
      </c>
      <c r="G1471">
        <v>5.71</v>
      </c>
      <c r="H1471">
        <v>78</v>
      </c>
      <c r="I1471" t="s">
        <v>61</v>
      </c>
      <c r="J1471" t="s">
        <v>37</v>
      </c>
      <c r="K1471" t="s">
        <v>48</v>
      </c>
      <c r="L1471">
        <v>325</v>
      </c>
      <c r="M1471" t="str">
        <f t="shared" si="44"/>
        <v>Low</v>
      </c>
      <c r="N1471" t="str">
        <f t="shared" si="45"/>
        <v>Good</v>
      </c>
    </row>
    <row r="1472" spans="1:14">
      <c r="A1472" t="s">
        <v>47</v>
      </c>
      <c r="B1472">
        <v>2006</v>
      </c>
      <c r="C1472" t="s">
        <v>3351</v>
      </c>
      <c r="D1472" t="s">
        <v>33</v>
      </c>
      <c r="E1472" t="s">
        <v>3352</v>
      </c>
      <c r="F1472" t="s">
        <v>46</v>
      </c>
      <c r="G1472">
        <v>21.83</v>
      </c>
      <c r="H1472">
        <v>61</v>
      </c>
      <c r="I1472" t="s">
        <v>61</v>
      </c>
      <c r="J1472" t="s">
        <v>24</v>
      </c>
      <c r="K1472" t="s">
        <v>12</v>
      </c>
      <c r="L1472">
        <v>1</v>
      </c>
      <c r="M1472" t="str">
        <f t="shared" si="44"/>
        <v>Medium</v>
      </c>
      <c r="N1472" t="str">
        <f t="shared" si="45"/>
        <v>Average</v>
      </c>
    </row>
    <row r="1473" spans="1:14">
      <c r="A1473" t="s">
        <v>12</v>
      </c>
      <c r="B1473">
        <v>2021</v>
      </c>
      <c r="C1473" t="s">
        <v>3353</v>
      </c>
      <c r="D1473" t="s">
        <v>33</v>
      </c>
      <c r="E1473" t="s">
        <v>3354</v>
      </c>
      <c r="F1473" t="s">
        <v>57</v>
      </c>
      <c r="G1473">
        <v>46.3</v>
      </c>
      <c r="H1473">
        <v>74</v>
      </c>
      <c r="I1473" t="s">
        <v>36</v>
      </c>
      <c r="J1473" t="s">
        <v>24</v>
      </c>
      <c r="K1473" t="s">
        <v>139</v>
      </c>
      <c r="L1473">
        <v>180</v>
      </c>
      <c r="M1473" t="str">
        <f t="shared" si="44"/>
        <v>High</v>
      </c>
      <c r="N1473" t="str">
        <f t="shared" si="45"/>
        <v>Average</v>
      </c>
    </row>
    <row r="1474" spans="1:14">
      <c r="A1474" t="s">
        <v>26</v>
      </c>
      <c r="B1474">
        <v>2015</v>
      </c>
      <c r="C1474" t="s">
        <v>3355</v>
      </c>
      <c r="D1474" t="s">
        <v>33</v>
      </c>
      <c r="E1474" t="s">
        <v>3356</v>
      </c>
      <c r="F1474" t="s">
        <v>46</v>
      </c>
      <c r="G1474">
        <v>33.29</v>
      </c>
      <c r="H1474">
        <v>72</v>
      </c>
      <c r="I1474" t="s">
        <v>29</v>
      </c>
      <c r="J1474" t="s">
        <v>24</v>
      </c>
      <c r="K1474" t="s">
        <v>1612</v>
      </c>
      <c r="L1474">
        <v>105</v>
      </c>
      <c r="M1474" t="str">
        <f t="shared" si="44"/>
        <v>Medium</v>
      </c>
      <c r="N1474" t="str">
        <f t="shared" si="45"/>
        <v>Average</v>
      </c>
    </row>
    <row r="1475" spans="1:14">
      <c r="A1475" t="s">
        <v>31</v>
      </c>
      <c r="B1475">
        <v>2006</v>
      </c>
      <c r="C1475" t="s">
        <v>3357</v>
      </c>
      <c r="D1475" t="s">
        <v>14</v>
      </c>
      <c r="E1475" t="s">
        <v>3358</v>
      </c>
      <c r="F1475" t="s">
        <v>57</v>
      </c>
      <c r="G1475">
        <v>19.899999999999999</v>
      </c>
      <c r="H1475">
        <v>73</v>
      </c>
      <c r="I1475" t="s">
        <v>36</v>
      </c>
      <c r="J1475" t="s">
        <v>24</v>
      </c>
      <c r="K1475" t="s">
        <v>12</v>
      </c>
      <c r="L1475">
        <v>334</v>
      </c>
      <c r="M1475" t="str">
        <f t="shared" ref="M1475:M1538" si="46">IF(G1475&lt;15,"Low",IF(G1475&lt;35,"Medium","High"))</f>
        <v>Medium</v>
      </c>
      <c r="N1475" t="str">
        <f t="shared" ref="N1475:N1538" si="47">IF(H1475&gt;=90,"Excellent",IF(H1475&gt;=75,"Good","Average"))</f>
        <v>Average</v>
      </c>
    </row>
    <row r="1476" spans="1:14">
      <c r="A1476" t="s">
        <v>31</v>
      </c>
      <c r="B1476">
        <v>2005</v>
      </c>
      <c r="C1476" t="s">
        <v>3359</v>
      </c>
      <c r="D1476" t="s">
        <v>33</v>
      </c>
      <c r="E1476" t="s">
        <v>3360</v>
      </c>
      <c r="F1476" t="s">
        <v>46</v>
      </c>
      <c r="G1476">
        <v>15.34</v>
      </c>
      <c r="H1476">
        <v>90</v>
      </c>
      <c r="I1476" t="s">
        <v>29</v>
      </c>
      <c r="J1476" t="s">
        <v>24</v>
      </c>
      <c r="K1476" t="s">
        <v>607</v>
      </c>
      <c r="L1476">
        <v>193</v>
      </c>
      <c r="M1476" t="str">
        <f t="shared" si="46"/>
        <v>Medium</v>
      </c>
      <c r="N1476" t="str">
        <f t="shared" si="47"/>
        <v>Excellent</v>
      </c>
    </row>
    <row r="1477" spans="1:14">
      <c r="A1477" t="s">
        <v>38</v>
      </c>
      <c r="B1477">
        <v>2013</v>
      </c>
      <c r="C1477" t="s">
        <v>3361</v>
      </c>
      <c r="D1477" t="s">
        <v>14</v>
      </c>
      <c r="E1477" t="s">
        <v>3362</v>
      </c>
      <c r="F1477" t="s">
        <v>16</v>
      </c>
      <c r="G1477">
        <v>44.01</v>
      </c>
      <c r="H1477">
        <v>80</v>
      </c>
      <c r="I1477" t="s">
        <v>17</v>
      </c>
      <c r="J1477" t="s">
        <v>24</v>
      </c>
      <c r="K1477" t="s">
        <v>47</v>
      </c>
      <c r="L1477">
        <v>167</v>
      </c>
      <c r="M1477" t="str">
        <f t="shared" si="46"/>
        <v>High</v>
      </c>
      <c r="N1477" t="str">
        <f t="shared" si="47"/>
        <v>Good</v>
      </c>
    </row>
    <row r="1478" spans="1:14">
      <c r="A1478" t="s">
        <v>31</v>
      </c>
      <c r="B1478">
        <v>2008</v>
      </c>
      <c r="C1478" t="s">
        <v>3363</v>
      </c>
      <c r="D1478" t="s">
        <v>33</v>
      </c>
      <c r="E1478" t="s">
        <v>3364</v>
      </c>
      <c r="F1478" t="s">
        <v>42</v>
      </c>
      <c r="G1478">
        <v>23.9</v>
      </c>
      <c r="H1478">
        <v>58</v>
      </c>
      <c r="I1478" t="s">
        <v>23</v>
      </c>
      <c r="J1478" t="s">
        <v>18</v>
      </c>
      <c r="K1478" t="s">
        <v>1873</v>
      </c>
      <c r="L1478">
        <v>178</v>
      </c>
      <c r="M1478" t="str">
        <f t="shared" si="46"/>
        <v>Medium</v>
      </c>
      <c r="N1478" t="str">
        <f t="shared" si="47"/>
        <v>Average</v>
      </c>
    </row>
    <row r="1479" spans="1:14">
      <c r="A1479" t="s">
        <v>47</v>
      </c>
      <c r="B1479">
        <v>2024</v>
      </c>
      <c r="C1479" t="s">
        <v>3365</v>
      </c>
      <c r="D1479" t="s">
        <v>33</v>
      </c>
      <c r="E1479" t="s">
        <v>3366</v>
      </c>
      <c r="F1479" t="s">
        <v>42</v>
      </c>
      <c r="G1479">
        <v>38.33</v>
      </c>
      <c r="H1479">
        <v>57</v>
      </c>
      <c r="I1479" t="s">
        <v>29</v>
      </c>
      <c r="J1479" t="s">
        <v>24</v>
      </c>
      <c r="K1479" t="s">
        <v>97</v>
      </c>
      <c r="L1479">
        <v>284</v>
      </c>
      <c r="M1479" t="str">
        <f t="shared" si="46"/>
        <v>High</v>
      </c>
      <c r="N1479" t="str">
        <f t="shared" si="47"/>
        <v>Average</v>
      </c>
    </row>
    <row r="1480" spans="1:14">
      <c r="A1480" t="s">
        <v>12</v>
      </c>
      <c r="B1480">
        <v>2018</v>
      </c>
      <c r="C1480" t="s">
        <v>3367</v>
      </c>
      <c r="D1480" t="s">
        <v>14</v>
      </c>
      <c r="E1480" t="s">
        <v>3368</v>
      </c>
      <c r="F1480" t="s">
        <v>16</v>
      </c>
      <c r="G1480">
        <v>24.06</v>
      </c>
      <c r="H1480">
        <v>61</v>
      </c>
      <c r="I1480" t="s">
        <v>61</v>
      </c>
      <c r="J1480" t="s">
        <v>37</v>
      </c>
      <c r="K1480" t="s">
        <v>68</v>
      </c>
      <c r="L1480">
        <v>316</v>
      </c>
      <c r="M1480" t="str">
        <f t="shared" si="46"/>
        <v>Medium</v>
      </c>
      <c r="N1480" t="str">
        <f t="shared" si="47"/>
        <v>Average</v>
      </c>
    </row>
    <row r="1481" spans="1:14">
      <c r="A1481" t="s">
        <v>12</v>
      </c>
      <c r="B1481">
        <v>2002</v>
      </c>
      <c r="C1481" t="s">
        <v>3369</v>
      </c>
      <c r="D1481" t="s">
        <v>14</v>
      </c>
      <c r="E1481" t="s">
        <v>3370</v>
      </c>
      <c r="F1481" t="s">
        <v>35</v>
      </c>
      <c r="G1481">
        <v>22.63</v>
      </c>
      <c r="H1481">
        <v>60</v>
      </c>
      <c r="I1481" t="s">
        <v>23</v>
      </c>
      <c r="J1481" t="s">
        <v>24</v>
      </c>
      <c r="K1481" t="s">
        <v>1564</v>
      </c>
      <c r="L1481">
        <v>325</v>
      </c>
      <c r="M1481" t="str">
        <f t="shared" si="46"/>
        <v>Medium</v>
      </c>
      <c r="N1481" t="str">
        <f t="shared" si="47"/>
        <v>Average</v>
      </c>
    </row>
    <row r="1482" spans="1:14">
      <c r="A1482" t="s">
        <v>20</v>
      </c>
      <c r="B1482">
        <v>2006</v>
      </c>
      <c r="C1482" t="s">
        <v>3371</v>
      </c>
      <c r="D1482" t="s">
        <v>33</v>
      </c>
      <c r="E1482" t="s">
        <v>3372</v>
      </c>
      <c r="F1482" t="s">
        <v>35</v>
      </c>
      <c r="G1482">
        <v>35.15</v>
      </c>
      <c r="H1482">
        <v>63</v>
      </c>
      <c r="I1482" t="s">
        <v>23</v>
      </c>
      <c r="J1482" t="s">
        <v>37</v>
      </c>
      <c r="K1482" t="s">
        <v>39</v>
      </c>
      <c r="L1482">
        <v>296</v>
      </c>
      <c r="M1482" t="str">
        <f t="shared" si="46"/>
        <v>High</v>
      </c>
      <c r="N1482" t="str">
        <f t="shared" si="47"/>
        <v>Average</v>
      </c>
    </row>
    <row r="1483" spans="1:14">
      <c r="A1483" t="s">
        <v>38</v>
      </c>
      <c r="B1483">
        <v>2012</v>
      </c>
      <c r="C1483" t="s">
        <v>3373</v>
      </c>
      <c r="D1483" t="s">
        <v>33</v>
      </c>
      <c r="E1483" t="s">
        <v>3374</v>
      </c>
      <c r="F1483" t="s">
        <v>42</v>
      </c>
      <c r="G1483">
        <v>31.22</v>
      </c>
      <c r="H1483">
        <v>84</v>
      </c>
      <c r="I1483" t="s">
        <v>29</v>
      </c>
      <c r="J1483" t="s">
        <v>37</v>
      </c>
      <c r="K1483" t="s">
        <v>3375</v>
      </c>
      <c r="L1483">
        <v>36</v>
      </c>
      <c r="M1483" t="str">
        <f t="shared" si="46"/>
        <v>Medium</v>
      </c>
      <c r="N1483" t="str">
        <f t="shared" si="47"/>
        <v>Good</v>
      </c>
    </row>
    <row r="1484" spans="1:14">
      <c r="A1484" t="s">
        <v>20</v>
      </c>
      <c r="B1484">
        <v>2015</v>
      </c>
      <c r="C1484" t="s">
        <v>3376</v>
      </c>
      <c r="D1484" t="s">
        <v>33</v>
      </c>
      <c r="E1484" t="s">
        <v>3377</v>
      </c>
      <c r="F1484" t="s">
        <v>42</v>
      </c>
      <c r="G1484">
        <v>30.32</v>
      </c>
      <c r="H1484">
        <v>67</v>
      </c>
      <c r="I1484" t="s">
        <v>23</v>
      </c>
      <c r="J1484" t="s">
        <v>37</v>
      </c>
      <c r="K1484" t="s">
        <v>26</v>
      </c>
      <c r="L1484">
        <v>73</v>
      </c>
      <c r="M1484" t="str">
        <f t="shared" si="46"/>
        <v>Medium</v>
      </c>
      <c r="N1484" t="str">
        <f t="shared" si="47"/>
        <v>Average</v>
      </c>
    </row>
    <row r="1485" spans="1:14">
      <c r="A1485" t="s">
        <v>65</v>
      </c>
      <c r="B1485">
        <v>2012</v>
      </c>
      <c r="C1485" t="s">
        <v>3378</v>
      </c>
      <c r="D1485" t="s">
        <v>33</v>
      </c>
      <c r="E1485" t="s">
        <v>3379</v>
      </c>
      <c r="F1485" t="s">
        <v>57</v>
      </c>
      <c r="G1485">
        <v>26.5</v>
      </c>
      <c r="H1485">
        <v>66</v>
      </c>
      <c r="I1485" t="s">
        <v>23</v>
      </c>
      <c r="J1485" t="s">
        <v>18</v>
      </c>
      <c r="K1485" t="s">
        <v>3375</v>
      </c>
      <c r="L1485">
        <v>364</v>
      </c>
      <c r="M1485" t="str">
        <f t="shared" si="46"/>
        <v>Medium</v>
      </c>
      <c r="N1485" t="str">
        <f t="shared" si="47"/>
        <v>Average</v>
      </c>
    </row>
    <row r="1486" spans="1:14">
      <c r="A1486" t="s">
        <v>65</v>
      </c>
      <c r="B1486">
        <v>2001</v>
      </c>
      <c r="C1486" t="s">
        <v>3380</v>
      </c>
      <c r="D1486" t="s">
        <v>14</v>
      </c>
      <c r="E1486" t="s">
        <v>3381</v>
      </c>
      <c r="F1486" t="s">
        <v>35</v>
      </c>
      <c r="G1486">
        <v>6.15</v>
      </c>
      <c r="H1486">
        <v>86</v>
      </c>
      <c r="I1486" t="s">
        <v>61</v>
      </c>
      <c r="J1486" t="s">
        <v>37</v>
      </c>
      <c r="K1486" t="s">
        <v>1297</v>
      </c>
      <c r="L1486">
        <v>24</v>
      </c>
      <c r="M1486" t="str">
        <f t="shared" si="46"/>
        <v>Low</v>
      </c>
      <c r="N1486" t="str">
        <f t="shared" si="47"/>
        <v>Good</v>
      </c>
    </row>
    <row r="1487" spans="1:14">
      <c r="A1487" t="s">
        <v>38</v>
      </c>
      <c r="B1487">
        <v>2011</v>
      </c>
      <c r="C1487" t="s">
        <v>3382</v>
      </c>
      <c r="D1487" t="s">
        <v>14</v>
      </c>
      <c r="E1487" t="s">
        <v>3383</v>
      </c>
      <c r="F1487" t="s">
        <v>16</v>
      </c>
      <c r="G1487">
        <v>4.01</v>
      </c>
      <c r="H1487">
        <v>82</v>
      </c>
      <c r="I1487" t="s">
        <v>17</v>
      </c>
      <c r="J1487" t="s">
        <v>24</v>
      </c>
      <c r="K1487" t="s">
        <v>48</v>
      </c>
      <c r="L1487">
        <v>239</v>
      </c>
      <c r="M1487" t="str">
        <f t="shared" si="46"/>
        <v>Low</v>
      </c>
      <c r="N1487" t="str">
        <f t="shared" si="47"/>
        <v>Good</v>
      </c>
    </row>
    <row r="1488" spans="1:14">
      <c r="A1488" t="s">
        <v>65</v>
      </c>
      <c r="B1488">
        <v>2012</v>
      </c>
      <c r="C1488" t="s">
        <v>3384</v>
      </c>
      <c r="D1488" t="s">
        <v>33</v>
      </c>
      <c r="E1488" t="s">
        <v>3385</v>
      </c>
      <c r="F1488" t="s">
        <v>46</v>
      </c>
      <c r="G1488">
        <v>42</v>
      </c>
      <c r="H1488">
        <v>74</v>
      </c>
      <c r="I1488" t="s">
        <v>61</v>
      </c>
      <c r="J1488" t="s">
        <v>18</v>
      </c>
      <c r="K1488" t="s">
        <v>2431</v>
      </c>
      <c r="L1488">
        <v>112</v>
      </c>
      <c r="M1488" t="str">
        <f t="shared" si="46"/>
        <v>High</v>
      </c>
      <c r="N1488" t="str">
        <f t="shared" si="47"/>
        <v>Average</v>
      </c>
    </row>
    <row r="1489" spans="1:14">
      <c r="A1489" t="s">
        <v>47</v>
      </c>
      <c r="B1489">
        <v>2009</v>
      </c>
      <c r="C1489" t="s">
        <v>3386</v>
      </c>
      <c r="D1489" t="s">
        <v>33</v>
      </c>
      <c r="E1489" t="s">
        <v>3387</v>
      </c>
      <c r="F1489" t="s">
        <v>42</v>
      </c>
      <c r="G1489">
        <v>13.69</v>
      </c>
      <c r="H1489">
        <v>70</v>
      </c>
      <c r="I1489" t="s">
        <v>29</v>
      </c>
      <c r="J1489" t="s">
        <v>18</v>
      </c>
      <c r="K1489" t="s">
        <v>335</v>
      </c>
      <c r="L1489">
        <v>185</v>
      </c>
      <c r="M1489" t="str">
        <f t="shared" si="46"/>
        <v>Low</v>
      </c>
      <c r="N1489" t="str">
        <f t="shared" si="47"/>
        <v>Average</v>
      </c>
    </row>
    <row r="1490" spans="1:14">
      <c r="A1490" t="s">
        <v>38</v>
      </c>
      <c r="B1490">
        <v>2021</v>
      </c>
      <c r="C1490" t="s">
        <v>3388</v>
      </c>
      <c r="D1490" t="s">
        <v>14</v>
      </c>
      <c r="E1490" t="s">
        <v>3389</v>
      </c>
      <c r="F1490" t="s">
        <v>46</v>
      </c>
      <c r="G1490">
        <v>47.5</v>
      </c>
      <c r="H1490">
        <v>57</v>
      </c>
      <c r="I1490" t="s">
        <v>29</v>
      </c>
      <c r="J1490" t="s">
        <v>24</v>
      </c>
      <c r="K1490" t="s">
        <v>48</v>
      </c>
      <c r="L1490">
        <v>138</v>
      </c>
      <c r="M1490" t="str">
        <f t="shared" si="46"/>
        <v>High</v>
      </c>
      <c r="N1490" t="str">
        <f t="shared" si="47"/>
        <v>Average</v>
      </c>
    </row>
    <row r="1491" spans="1:14">
      <c r="A1491" t="s">
        <v>39</v>
      </c>
      <c r="B1491">
        <v>2008</v>
      </c>
      <c r="C1491" t="s">
        <v>3390</v>
      </c>
      <c r="D1491" t="s">
        <v>14</v>
      </c>
      <c r="E1491" t="s">
        <v>3391</v>
      </c>
      <c r="F1491" t="s">
        <v>42</v>
      </c>
      <c r="G1491">
        <v>29.24</v>
      </c>
      <c r="H1491">
        <v>95</v>
      </c>
      <c r="I1491" t="s">
        <v>36</v>
      </c>
      <c r="J1491" t="s">
        <v>18</v>
      </c>
      <c r="K1491" t="s">
        <v>1590</v>
      </c>
      <c r="L1491">
        <v>303</v>
      </c>
      <c r="M1491" t="str">
        <f t="shared" si="46"/>
        <v>Medium</v>
      </c>
      <c r="N1491" t="str">
        <f t="shared" si="47"/>
        <v>Excellent</v>
      </c>
    </row>
    <row r="1492" spans="1:14">
      <c r="A1492" t="s">
        <v>68</v>
      </c>
      <c r="B1492">
        <v>2021</v>
      </c>
      <c r="C1492" t="s">
        <v>3392</v>
      </c>
      <c r="D1492" t="s">
        <v>33</v>
      </c>
      <c r="E1492" t="s">
        <v>3393</v>
      </c>
      <c r="F1492" t="s">
        <v>46</v>
      </c>
      <c r="G1492">
        <v>2.78</v>
      </c>
      <c r="H1492">
        <v>60</v>
      </c>
      <c r="I1492" t="s">
        <v>61</v>
      </c>
      <c r="J1492" t="s">
        <v>24</v>
      </c>
      <c r="K1492" t="s">
        <v>3394</v>
      </c>
      <c r="L1492">
        <v>20</v>
      </c>
      <c r="M1492" t="str">
        <f t="shared" si="46"/>
        <v>Low</v>
      </c>
      <c r="N1492" t="str">
        <f t="shared" si="47"/>
        <v>Average</v>
      </c>
    </row>
    <row r="1493" spans="1:14">
      <c r="A1493" t="s">
        <v>26</v>
      </c>
      <c r="B1493">
        <v>2008</v>
      </c>
      <c r="C1493" t="s">
        <v>3395</v>
      </c>
      <c r="D1493" t="s">
        <v>33</v>
      </c>
      <c r="E1493" t="s">
        <v>3396</v>
      </c>
      <c r="F1493" t="s">
        <v>35</v>
      </c>
      <c r="G1493">
        <v>3.81</v>
      </c>
      <c r="H1493">
        <v>65</v>
      </c>
      <c r="I1493" t="s">
        <v>36</v>
      </c>
      <c r="J1493" t="s">
        <v>18</v>
      </c>
      <c r="K1493" t="s">
        <v>39</v>
      </c>
      <c r="L1493">
        <v>265</v>
      </c>
      <c r="M1493" t="str">
        <f t="shared" si="46"/>
        <v>Low</v>
      </c>
      <c r="N1493" t="str">
        <f t="shared" si="47"/>
        <v>Average</v>
      </c>
    </row>
    <row r="1494" spans="1:14">
      <c r="A1494" t="s">
        <v>12</v>
      </c>
      <c r="B1494">
        <v>2000</v>
      </c>
      <c r="C1494" t="s">
        <v>3397</v>
      </c>
      <c r="D1494" t="s">
        <v>33</v>
      </c>
      <c r="E1494" t="s">
        <v>2662</v>
      </c>
      <c r="F1494" t="s">
        <v>42</v>
      </c>
      <c r="G1494">
        <v>39.54</v>
      </c>
      <c r="H1494">
        <v>100</v>
      </c>
      <c r="I1494" t="s">
        <v>61</v>
      </c>
      <c r="J1494" t="s">
        <v>24</v>
      </c>
      <c r="K1494" t="s">
        <v>20</v>
      </c>
      <c r="L1494">
        <v>130</v>
      </c>
      <c r="M1494" t="str">
        <f t="shared" si="46"/>
        <v>High</v>
      </c>
      <c r="N1494" t="str">
        <f t="shared" si="47"/>
        <v>Excellent</v>
      </c>
    </row>
    <row r="1495" spans="1:14">
      <c r="A1495" t="s">
        <v>65</v>
      </c>
      <c r="B1495">
        <v>2001</v>
      </c>
      <c r="C1495" t="s">
        <v>3398</v>
      </c>
      <c r="D1495" t="s">
        <v>14</v>
      </c>
      <c r="E1495" t="s">
        <v>3068</v>
      </c>
      <c r="F1495" t="s">
        <v>16</v>
      </c>
      <c r="G1495">
        <v>13.66</v>
      </c>
      <c r="H1495">
        <v>75</v>
      </c>
      <c r="I1495" t="s">
        <v>36</v>
      </c>
      <c r="J1495" t="s">
        <v>24</v>
      </c>
      <c r="K1495" t="s">
        <v>305</v>
      </c>
      <c r="L1495">
        <v>260</v>
      </c>
      <c r="M1495" t="str">
        <f t="shared" si="46"/>
        <v>Low</v>
      </c>
      <c r="N1495" t="str">
        <f t="shared" si="47"/>
        <v>Good</v>
      </c>
    </row>
    <row r="1496" spans="1:14">
      <c r="A1496" t="s">
        <v>20</v>
      </c>
      <c r="B1496">
        <v>2018</v>
      </c>
      <c r="C1496" t="s">
        <v>3399</v>
      </c>
      <c r="D1496" t="s">
        <v>14</v>
      </c>
      <c r="E1496" t="s">
        <v>3400</v>
      </c>
      <c r="F1496" t="s">
        <v>57</v>
      </c>
      <c r="G1496">
        <v>35.57</v>
      </c>
      <c r="H1496">
        <v>79</v>
      </c>
      <c r="I1496" t="s">
        <v>36</v>
      </c>
      <c r="J1496" t="s">
        <v>24</v>
      </c>
      <c r="K1496" t="s">
        <v>3401</v>
      </c>
      <c r="L1496">
        <v>107</v>
      </c>
      <c r="M1496" t="str">
        <f t="shared" si="46"/>
        <v>High</v>
      </c>
      <c r="N1496" t="str">
        <f t="shared" si="47"/>
        <v>Good</v>
      </c>
    </row>
    <row r="1497" spans="1:14">
      <c r="A1497" t="s">
        <v>31</v>
      </c>
      <c r="B1497">
        <v>2016</v>
      </c>
      <c r="C1497" t="s">
        <v>3402</v>
      </c>
      <c r="D1497" t="s">
        <v>33</v>
      </c>
      <c r="E1497" t="s">
        <v>3403</v>
      </c>
      <c r="F1497" t="s">
        <v>57</v>
      </c>
      <c r="G1497">
        <v>15.64</v>
      </c>
      <c r="H1497">
        <v>95</v>
      </c>
      <c r="I1497" t="s">
        <v>36</v>
      </c>
      <c r="J1497" t="s">
        <v>24</v>
      </c>
      <c r="K1497" t="s">
        <v>31</v>
      </c>
      <c r="L1497">
        <v>330</v>
      </c>
      <c r="M1497" t="str">
        <f t="shared" si="46"/>
        <v>Medium</v>
      </c>
      <c r="N1497" t="str">
        <f t="shared" si="47"/>
        <v>Excellent</v>
      </c>
    </row>
    <row r="1498" spans="1:14">
      <c r="A1498" t="s">
        <v>31</v>
      </c>
      <c r="B1498">
        <v>2025</v>
      </c>
      <c r="C1498" t="s">
        <v>3404</v>
      </c>
      <c r="D1498" t="s">
        <v>14</v>
      </c>
      <c r="E1498" t="s">
        <v>3405</v>
      </c>
      <c r="F1498" t="s">
        <v>57</v>
      </c>
      <c r="G1498">
        <v>28.52</v>
      </c>
      <c r="H1498">
        <v>50</v>
      </c>
      <c r="I1498" t="s">
        <v>29</v>
      </c>
      <c r="J1498" t="s">
        <v>24</v>
      </c>
      <c r="K1498" t="s">
        <v>2048</v>
      </c>
      <c r="L1498">
        <v>161</v>
      </c>
      <c r="M1498" t="str">
        <f t="shared" si="46"/>
        <v>Medium</v>
      </c>
      <c r="N1498" t="str">
        <f t="shared" si="47"/>
        <v>Average</v>
      </c>
    </row>
    <row r="1499" spans="1:14">
      <c r="A1499" t="s">
        <v>48</v>
      </c>
      <c r="B1499">
        <v>2014</v>
      </c>
      <c r="C1499" t="s">
        <v>3406</v>
      </c>
      <c r="D1499" t="s">
        <v>33</v>
      </c>
      <c r="E1499" t="s">
        <v>2687</v>
      </c>
      <c r="F1499" t="s">
        <v>16</v>
      </c>
      <c r="G1499">
        <v>38.47</v>
      </c>
      <c r="H1499">
        <v>98</v>
      </c>
      <c r="I1499" t="s">
        <v>17</v>
      </c>
      <c r="J1499" t="s">
        <v>18</v>
      </c>
      <c r="K1499" t="s">
        <v>513</v>
      </c>
      <c r="L1499">
        <v>97</v>
      </c>
      <c r="M1499" t="str">
        <f t="shared" si="46"/>
        <v>High</v>
      </c>
      <c r="N1499" t="str">
        <f t="shared" si="47"/>
        <v>Excellent</v>
      </c>
    </row>
    <row r="1500" spans="1:14">
      <c r="A1500" t="s">
        <v>68</v>
      </c>
      <c r="B1500">
        <v>2005</v>
      </c>
      <c r="C1500" t="s">
        <v>3407</v>
      </c>
      <c r="D1500" t="s">
        <v>14</v>
      </c>
      <c r="E1500" t="s">
        <v>2708</v>
      </c>
      <c r="F1500" t="s">
        <v>35</v>
      </c>
      <c r="G1500">
        <v>37.22</v>
      </c>
      <c r="H1500">
        <v>89</v>
      </c>
      <c r="I1500" t="s">
        <v>36</v>
      </c>
      <c r="J1500" t="s">
        <v>37</v>
      </c>
      <c r="K1500" t="s">
        <v>3229</v>
      </c>
      <c r="L1500">
        <v>80</v>
      </c>
      <c r="M1500" t="str">
        <f t="shared" si="46"/>
        <v>High</v>
      </c>
      <c r="N1500" t="str">
        <f t="shared" si="47"/>
        <v>Good</v>
      </c>
    </row>
    <row r="1501" spans="1:14">
      <c r="A1501" t="s">
        <v>48</v>
      </c>
      <c r="B1501">
        <v>2000</v>
      </c>
      <c r="C1501" t="s">
        <v>3408</v>
      </c>
      <c r="D1501" t="s">
        <v>14</v>
      </c>
      <c r="E1501" t="s">
        <v>3409</v>
      </c>
      <c r="F1501" t="s">
        <v>16</v>
      </c>
      <c r="G1501">
        <v>46.42</v>
      </c>
      <c r="H1501">
        <v>73</v>
      </c>
      <c r="I1501" t="s">
        <v>23</v>
      </c>
      <c r="J1501" t="s">
        <v>18</v>
      </c>
      <c r="K1501" t="s">
        <v>12</v>
      </c>
      <c r="L1501">
        <v>68</v>
      </c>
      <c r="M1501" t="str">
        <f t="shared" si="46"/>
        <v>High</v>
      </c>
      <c r="N1501" t="str">
        <f t="shared" si="47"/>
        <v>Average</v>
      </c>
    </row>
    <row r="1502" spans="1:14">
      <c r="A1502" t="s">
        <v>31</v>
      </c>
      <c r="B1502">
        <v>2018</v>
      </c>
      <c r="C1502" t="s">
        <v>3410</v>
      </c>
      <c r="D1502" t="s">
        <v>33</v>
      </c>
      <c r="E1502" t="s">
        <v>3411</v>
      </c>
      <c r="F1502" t="s">
        <v>35</v>
      </c>
      <c r="G1502">
        <v>49.64</v>
      </c>
      <c r="H1502">
        <v>63</v>
      </c>
      <c r="I1502" t="s">
        <v>36</v>
      </c>
      <c r="J1502" t="s">
        <v>37</v>
      </c>
      <c r="K1502" t="s">
        <v>20</v>
      </c>
      <c r="L1502">
        <v>30</v>
      </c>
      <c r="M1502" t="str">
        <f t="shared" si="46"/>
        <v>High</v>
      </c>
      <c r="N1502" t="str">
        <f t="shared" si="47"/>
        <v>Average</v>
      </c>
    </row>
    <row r="1503" spans="1:14">
      <c r="A1503" t="s">
        <v>68</v>
      </c>
      <c r="B1503">
        <v>2011</v>
      </c>
      <c r="C1503" t="s">
        <v>3412</v>
      </c>
      <c r="D1503" t="s">
        <v>14</v>
      </c>
      <c r="E1503" t="s">
        <v>3413</v>
      </c>
      <c r="F1503" t="s">
        <v>46</v>
      </c>
      <c r="G1503">
        <v>8.35</v>
      </c>
      <c r="H1503">
        <v>66</v>
      </c>
      <c r="I1503" t="s">
        <v>17</v>
      </c>
      <c r="J1503" t="s">
        <v>24</v>
      </c>
      <c r="K1503" t="s">
        <v>39</v>
      </c>
      <c r="L1503">
        <v>48</v>
      </c>
      <c r="M1503" t="str">
        <f t="shared" si="46"/>
        <v>Low</v>
      </c>
      <c r="N1503" t="str">
        <f t="shared" si="47"/>
        <v>Average</v>
      </c>
    </row>
    <row r="1504" spans="1:14">
      <c r="A1504" t="s">
        <v>31</v>
      </c>
      <c r="B1504">
        <v>2016</v>
      </c>
      <c r="C1504" t="s">
        <v>3414</v>
      </c>
      <c r="D1504" t="s">
        <v>14</v>
      </c>
      <c r="E1504" t="s">
        <v>3415</v>
      </c>
      <c r="F1504" t="s">
        <v>16</v>
      </c>
      <c r="G1504">
        <v>22.47</v>
      </c>
      <c r="H1504">
        <v>85</v>
      </c>
      <c r="I1504" t="s">
        <v>61</v>
      </c>
      <c r="J1504" t="s">
        <v>37</v>
      </c>
      <c r="K1504" t="s">
        <v>38</v>
      </c>
      <c r="L1504">
        <v>4</v>
      </c>
      <c r="M1504" t="str">
        <f t="shared" si="46"/>
        <v>Medium</v>
      </c>
      <c r="N1504" t="str">
        <f t="shared" si="47"/>
        <v>Good</v>
      </c>
    </row>
    <row r="1505" spans="1:14">
      <c r="A1505" t="s">
        <v>48</v>
      </c>
      <c r="B1505">
        <v>2003</v>
      </c>
      <c r="C1505" t="s">
        <v>3416</v>
      </c>
      <c r="D1505" t="s">
        <v>14</v>
      </c>
      <c r="E1505" t="s">
        <v>3417</v>
      </c>
      <c r="F1505" t="s">
        <v>35</v>
      </c>
      <c r="G1505">
        <v>36.47</v>
      </c>
      <c r="H1505">
        <v>61</v>
      </c>
      <c r="I1505" t="s">
        <v>61</v>
      </c>
      <c r="J1505" t="s">
        <v>18</v>
      </c>
      <c r="K1505" t="s">
        <v>607</v>
      </c>
      <c r="L1505">
        <v>231</v>
      </c>
      <c r="M1505" t="str">
        <f t="shared" si="46"/>
        <v>High</v>
      </c>
      <c r="N1505" t="str">
        <f t="shared" si="47"/>
        <v>Average</v>
      </c>
    </row>
    <row r="1506" spans="1:14">
      <c r="A1506" t="s">
        <v>39</v>
      </c>
      <c r="B1506">
        <v>2011</v>
      </c>
      <c r="C1506" t="s">
        <v>3418</v>
      </c>
      <c r="D1506" t="s">
        <v>14</v>
      </c>
      <c r="E1506" t="s">
        <v>3419</v>
      </c>
      <c r="F1506" t="s">
        <v>42</v>
      </c>
      <c r="G1506">
        <v>25.34</v>
      </c>
      <c r="H1506">
        <v>95</v>
      </c>
      <c r="I1506" t="s">
        <v>17</v>
      </c>
      <c r="J1506" t="s">
        <v>24</v>
      </c>
      <c r="K1506" t="s">
        <v>2563</v>
      </c>
      <c r="L1506">
        <v>302</v>
      </c>
      <c r="M1506" t="str">
        <f t="shared" si="46"/>
        <v>Medium</v>
      </c>
      <c r="N1506" t="str">
        <f t="shared" si="47"/>
        <v>Excellent</v>
      </c>
    </row>
    <row r="1507" spans="1:14">
      <c r="A1507" t="s">
        <v>47</v>
      </c>
      <c r="B1507">
        <v>2013</v>
      </c>
      <c r="C1507" t="s">
        <v>3420</v>
      </c>
      <c r="D1507" t="s">
        <v>33</v>
      </c>
      <c r="E1507" t="s">
        <v>3421</v>
      </c>
      <c r="F1507" t="s">
        <v>42</v>
      </c>
      <c r="G1507">
        <v>19.46</v>
      </c>
      <c r="H1507">
        <v>57</v>
      </c>
      <c r="I1507" t="s">
        <v>61</v>
      </c>
      <c r="J1507" t="s">
        <v>37</v>
      </c>
      <c r="K1507" t="s">
        <v>2284</v>
      </c>
      <c r="L1507">
        <v>120</v>
      </c>
      <c r="M1507" t="str">
        <f t="shared" si="46"/>
        <v>Medium</v>
      </c>
      <c r="N1507" t="str">
        <f t="shared" si="47"/>
        <v>Average</v>
      </c>
    </row>
    <row r="1508" spans="1:14">
      <c r="A1508" t="s">
        <v>65</v>
      </c>
      <c r="B1508">
        <v>2012</v>
      </c>
      <c r="C1508" t="s">
        <v>3422</v>
      </c>
      <c r="D1508" t="s">
        <v>14</v>
      </c>
      <c r="E1508" t="s">
        <v>3423</v>
      </c>
      <c r="F1508" t="s">
        <v>16</v>
      </c>
      <c r="G1508">
        <v>25.49</v>
      </c>
      <c r="H1508">
        <v>59</v>
      </c>
      <c r="I1508" t="s">
        <v>23</v>
      </c>
      <c r="J1508" t="s">
        <v>18</v>
      </c>
      <c r="K1508" t="s">
        <v>2066</v>
      </c>
      <c r="L1508">
        <v>242</v>
      </c>
      <c r="M1508" t="str">
        <f t="shared" si="46"/>
        <v>Medium</v>
      </c>
      <c r="N1508" t="str">
        <f t="shared" si="47"/>
        <v>Average</v>
      </c>
    </row>
    <row r="1509" spans="1:14">
      <c r="A1509" t="s">
        <v>39</v>
      </c>
      <c r="B1509">
        <v>2025</v>
      </c>
      <c r="C1509" t="s">
        <v>3424</v>
      </c>
      <c r="D1509" t="s">
        <v>14</v>
      </c>
      <c r="E1509" t="s">
        <v>3425</v>
      </c>
      <c r="F1509" t="s">
        <v>57</v>
      </c>
      <c r="G1509">
        <v>31.77</v>
      </c>
      <c r="H1509">
        <v>98</v>
      </c>
      <c r="I1509" t="s">
        <v>61</v>
      </c>
      <c r="J1509" t="s">
        <v>24</v>
      </c>
      <c r="K1509" t="s">
        <v>430</v>
      </c>
      <c r="L1509">
        <v>341</v>
      </c>
      <c r="M1509" t="str">
        <f t="shared" si="46"/>
        <v>Medium</v>
      </c>
      <c r="N1509" t="str">
        <f t="shared" si="47"/>
        <v>Excellent</v>
      </c>
    </row>
    <row r="1510" spans="1:14">
      <c r="A1510" t="s">
        <v>31</v>
      </c>
      <c r="B1510">
        <v>2011</v>
      </c>
      <c r="C1510" t="s">
        <v>3426</v>
      </c>
      <c r="D1510" t="s">
        <v>33</v>
      </c>
      <c r="E1510" t="s">
        <v>3427</v>
      </c>
      <c r="F1510" t="s">
        <v>35</v>
      </c>
      <c r="G1510">
        <v>10.59</v>
      </c>
      <c r="H1510">
        <v>64</v>
      </c>
      <c r="I1510" t="s">
        <v>23</v>
      </c>
      <c r="J1510" t="s">
        <v>37</v>
      </c>
      <c r="K1510" t="s">
        <v>38</v>
      </c>
      <c r="L1510">
        <v>290</v>
      </c>
      <c r="M1510" t="str">
        <f t="shared" si="46"/>
        <v>Low</v>
      </c>
      <c r="N1510" t="str">
        <f t="shared" si="47"/>
        <v>Average</v>
      </c>
    </row>
    <row r="1511" spans="1:14">
      <c r="A1511" t="s">
        <v>47</v>
      </c>
      <c r="B1511">
        <v>2021</v>
      </c>
      <c r="C1511" t="s">
        <v>3428</v>
      </c>
      <c r="D1511" t="s">
        <v>14</v>
      </c>
      <c r="E1511" t="s">
        <v>2406</v>
      </c>
      <c r="F1511" t="s">
        <v>57</v>
      </c>
      <c r="G1511">
        <v>47.14</v>
      </c>
      <c r="H1511">
        <v>71</v>
      </c>
      <c r="I1511" t="s">
        <v>61</v>
      </c>
      <c r="J1511" t="s">
        <v>37</v>
      </c>
      <c r="K1511" t="s">
        <v>323</v>
      </c>
      <c r="L1511">
        <v>180</v>
      </c>
      <c r="M1511" t="str">
        <f t="shared" si="46"/>
        <v>High</v>
      </c>
      <c r="N1511" t="str">
        <f t="shared" si="47"/>
        <v>Average</v>
      </c>
    </row>
    <row r="1512" spans="1:14">
      <c r="A1512" t="s">
        <v>38</v>
      </c>
      <c r="B1512">
        <v>2022</v>
      </c>
      <c r="C1512" t="s">
        <v>3429</v>
      </c>
      <c r="D1512" t="s">
        <v>33</v>
      </c>
      <c r="E1512" t="s">
        <v>3430</v>
      </c>
      <c r="F1512" t="s">
        <v>46</v>
      </c>
      <c r="G1512">
        <v>31.36</v>
      </c>
      <c r="H1512">
        <v>72</v>
      </c>
      <c r="I1512" t="s">
        <v>23</v>
      </c>
      <c r="J1512" t="s">
        <v>37</v>
      </c>
      <c r="K1512" t="s">
        <v>3431</v>
      </c>
      <c r="L1512">
        <v>119</v>
      </c>
      <c r="M1512" t="str">
        <f t="shared" si="46"/>
        <v>Medium</v>
      </c>
      <c r="N1512" t="str">
        <f t="shared" si="47"/>
        <v>Average</v>
      </c>
    </row>
    <row r="1513" spans="1:14">
      <c r="A1513" t="s">
        <v>65</v>
      </c>
      <c r="B1513">
        <v>2011</v>
      </c>
      <c r="C1513" t="s">
        <v>3432</v>
      </c>
      <c r="D1513" t="s">
        <v>33</v>
      </c>
      <c r="E1513" t="s">
        <v>3433</v>
      </c>
      <c r="F1513" t="s">
        <v>35</v>
      </c>
      <c r="G1513">
        <v>1.53</v>
      </c>
      <c r="H1513">
        <v>64</v>
      </c>
      <c r="I1513" t="s">
        <v>17</v>
      </c>
      <c r="J1513" t="s">
        <v>37</v>
      </c>
      <c r="K1513" t="s">
        <v>232</v>
      </c>
      <c r="L1513">
        <v>339</v>
      </c>
      <c r="M1513" t="str">
        <f t="shared" si="46"/>
        <v>Low</v>
      </c>
      <c r="N1513" t="str">
        <f t="shared" si="47"/>
        <v>Average</v>
      </c>
    </row>
    <row r="1514" spans="1:14">
      <c r="A1514" t="s">
        <v>20</v>
      </c>
      <c r="B1514">
        <v>2008</v>
      </c>
      <c r="C1514" t="s">
        <v>3434</v>
      </c>
      <c r="D1514" t="s">
        <v>14</v>
      </c>
      <c r="E1514" t="s">
        <v>3435</v>
      </c>
      <c r="F1514" t="s">
        <v>42</v>
      </c>
      <c r="G1514">
        <v>29.78</v>
      </c>
      <c r="H1514">
        <v>80</v>
      </c>
      <c r="I1514" t="s">
        <v>61</v>
      </c>
      <c r="J1514" t="s">
        <v>37</v>
      </c>
      <c r="K1514" t="s">
        <v>763</v>
      </c>
      <c r="L1514">
        <v>210</v>
      </c>
      <c r="M1514" t="str">
        <f t="shared" si="46"/>
        <v>Medium</v>
      </c>
      <c r="N1514" t="str">
        <f t="shared" si="47"/>
        <v>Good</v>
      </c>
    </row>
    <row r="1515" spans="1:14">
      <c r="A1515" t="s">
        <v>26</v>
      </c>
      <c r="B1515">
        <v>2001</v>
      </c>
      <c r="C1515" t="s">
        <v>3436</v>
      </c>
      <c r="D1515" t="s">
        <v>33</v>
      </c>
      <c r="E1515" t="s">
        <v>3437</v>
      </c>
      <c r="F1515" t="s">
        <v>42</v>
      </c>
      <c r="G1515">
        <v>46.14</v>
      </c>
      <c r="H1515">
        <v>52</v>
      </c>
      <c r="I1515" t="s">
        <v>23</v>
      </c>
      <c r="J1515" t="s">
        <v>18</v>
      </c>
      <c r="K1515" t="s">
        <v>12</v>
      </c>
      <c r="L1515">
        <v>102</v>
      </c>
      <c r="M1515" t="str">
        <f t="shared" si="46"/>
        <v>High</v>
      </c>
      <c r="N1515" t="str">
        <f t="shared" si="47"/>
        <v>Average</v>
      </c>
    </row>
    <row r="1516" spans="1:14">
      <c r="A1516" t="s">
        <v>39</v>
      </c>
      <c r="B1516">
        <v>2004</v>
      </c>
      <c r="C1516" t="s">
        <v>3438</v>
      </c>
      <c r="D1516" t="s">
        <v>14</v>
      </c>
      <c r="E1516" t="s">
        <v>3439</v>
      </c>
      <c r="F1516" t="s">
        <v>35</v>
      </c>
      <c r="G1516">
        <v>31.87</v>
      </c>
      <c r="H1516">
        <v>69</v>
      </c>
      <c r="I1516" t="s">
        <v>17</v>
      </c>
      <c r="J1516" t="s">
        <v>18</v>
      </c>
      <c r="K1516" t="s">
        <v>39</v>
      </c>
      <c r="L1516">
        <v>287</v>
      </c>
      <c r="M1516" t="str">
        <f t="shared" si="46"/>
        <v>Medium</v>
      </c>
      <c r="N1516" t="str">
        <f t="shared" si="47"/>
        <v>Average</v>
      </c>
    </row>
    <row r="1517" spans="1:14">
      <c r="A1517" t="s">
        <v>26</v>
      </c>
      <c r="B1517">
        <v>2021</v>
      </c>
      <c r="C1517" t="s">
        <v>3440</v>
      </c>
      <c r="D1517" t="s">
        <v>14</v>
      </c>
      <c r="E1517" t="s">
        <v>3441</v>
      </c>
      <c r="F1517" t="s">
        <v>16</v>
      </c>
      <c r="G1517">
        <v>43.98</v>
      </c>
      <c r="H1517">
        <v>100</v>
      </c>
      <c r="I1517" t="s">
        <v>36</v>
      </c>
      <c r="J1517" t="s">
        <v>37</v>
      </c>
      <c r="K1517" t="s">
        <v>68</v>
      </c>
      <c r="L1517">
        <v>137</v>
      </c>
      <c r="M1517" t="str">
        <f t="shared" si="46"/>
        <v>High</v>
      </c>
      <c r="N1517" t="str">
        <f t="shared" si="47"/>
        <v>Excellent</v>
      </c>
    </row>
    <row r="1518" spans="1:14">
      <c r="A1518" t="s">
        <v>47</v>
      </c>
      <c r="B1518">
        <v>2002</v>
      </c>
      <c r="C1518" t="s">
        <v>3442</v>
      </c>
      <c r="D1518" t="s">
        <v>14</v>
      </c>
      <c r="E1518" t="s">
        <v>3443</v>
      </c>
      <c r="F1518" t="s">
        <v>46</v>
      </c>
      <c r="G1518">
        <v>33.69</v>
      </c>
      <c r="H1518">
        <v>89</v>
      </c>
      <c r="I1518" t="s">
        <v>36</v>
      </c>
      <c r="J1518" t="s">
        <v>18</v>
      </c>
      <c r="K1518" t="s">
        <v>831</v>
      </c>
      <c r="L1518">
        <v>221</v>
      </c>
      <c r="M1518" t="str">
        <f t="shared" si="46"/>
        <v>Medium</v>
      </c>
      <c r="N1518" t="str">
        <f t="shared" si="47"/>
        <v>Good</v>
      </c>
    </row>
    <row r="1519" spans="1:14">
      <c r="A1519" t="s">
        <v>12</v>
      </c>
      <c r="B1519">
        <v>2024</v>
      </c>
      <c r="C1519" t="s">
        <v>3444</v>
      </c>
      <c r="D1519" t="s">
        <v>14</v>
      </c>
      <c r="E1519" t="s">
        <v>3445</v>
      </c>
      <c r="F1519" t="s">
        <v>46</v>
      </c>
      <c r="G1519">
        <v>32.520000000000003</v>
      </c>
      <c r="H1519">
        <v>96</v>
      </c>
      <c r="I1519" t="s">
        <v>23</v>
      </c>
      <c r="J1519" t="s">
        <v>37</v>
      </c>
      <c r="K1519" t="s">
        <v>348</v>
      </c>
      <c r="L1519">
        <v>244</v>
      </c>
      <c r="M1519" t="str">
        <f t="shared" si="46"/>
        <v>Medium</v>
      </c>
      <c r="N1519" t="str">
        <f t="shared" si="47"/>
        <v>Excellent</v>
      </c>
    </row>
    <row r="1520" spans="1:14">
      <c r="A1520" t="s">
        <v>48</v>
      </c>
      <c r="B1520">
        <v>2025</v>
      </c>
      <c r="C1520" t="s">
        <v>3446</v>
      </c>
      <c r="D1520" t="s">
        <v>33</v>
      </c>
      <c r="E1520" t="s">
        <v>3447</v>
      </c>
      <c r="F1520" t="s">
        <v>35</v>
      </c>
      <c r="G1520">
        <v>18.54</v>
      </c>
      <c r="H1520">
        <v>91</v>
      </c>
      <c r="I1520" t="s">
        <v>61</v>
      </c>
      <c r="J1520" t="s">
        <v>24</v>
      </c>
      <c r="K1520" t="s">
        <v>25</v>
      </c>
      <c r="L1520">
        <v>15</v>
      </c>
      <c r="M1520" t="str">
        <f t="shared" si="46"/>
        <v>Medium</v>
      </c>
      <c r="N1520" t="str">
        <f t="shared" si="47"/>
        <v>Excellent</v>
      </c>
    </row>
    <row r="1521" spans="1:14">
      <c r="A1521" t="s">
        <v>12</v>
      </c>
      <c r="B1521">
        <v>2009</v>
      </c>
      <c r="C1521" t="s">
        <v>3448</v>
      </c>
      <c r="D1521" t="s">
        <v>14</v>
      </c>
      <c r="E1521" t="s">
        <v>3449</v>
      </c>
      <c r="F1521" t="s">
        <v>46</v>
      </c>
      <c r="G1521">
        <v>41.7</v>
      </c>
      <c r="H1521">
        <v>59</v>
      </c>
      <c r="I1521" t="s">
        <v>36</v>
      </c>
      <c r="J1521" t="s">
        <v>24</v>
      </c>
      <c r="K1521" t="s">
        <v>292</v>
      </c>
      <c r="L1521">
        <v>17</v>
      </c>
      <c r="M1521" t="str">
        <f t="shared" si="46"/>
        <v>High</v>
      </c>
      <c r="N1521" t="str">
        <f t="shared" si="47"/>
        <v>Average</v>
      </c>
    </row>
    <row r="1522" spans="1:14">
      <c r="A1522" t="s">
        <v>47</v>
      </c>
      <c r="B1522">
        <v>2003</v>
      </c>
      <c r="C1522" t="s">
        <v>3450</v>
      </c>
      <c r="D1522" t="s">
        <v>14</v>
      </c>
      <c r="E1522" t="s">
        <v>3451</v>
      </c>
      <c r="F1522" t="s">
        <v>16</v>
      </c>
      <c r="G1522">
        <v>39.26</v>
      </c>
      <c r="H1522">
        <v>92</v>
      </c>
      <c r="I1522" t="s">
        <v>17</v>
      </c>
      <c r="J1522" t="s">
        <v>37</v>
      </c>
      <c r="K1522" t="s">
        <v>48</v>
      </c>
      <c r="L1522">
        <v>16</v>
      </c>
      <c r="M1522" t="str">
        <f t="shared" si="46"/>
        <v>High</v>
      </c>
      <c r="N1522" t="str">
        <f t="shared" si="47"/>
        <v>Excellent</v>
      </c>
    </row>
    <row r="1523" spans="1:14">
      <c r="A1523" t="s">
        <v>39</v>
      </c>
      <c r="B1523">
        <v>2013</v>
      </c>
      <c r="C1523" t="s">
        <v>3452</v>
      </c>
      <c r="D1523" t="s">
        <v>14</v>
      </c>
      <c r="E1523" t="s">
        <v>3453</v>
      </c>
      <c r="F1523" t="s">
        <v>16</v>
      </c>
      <c r="G1523">
        <v>38.44</v>
      </c>
      <c r="H1523">
        <v>91</v>
      </c>
      <c r="I1523" t="s">
        <v>17</v>
      </c>
      <c r="J1523" t="s">
        <v>37</v>
      </c>
      <c r="K1523" t="s">
        <v>348</v>
      </c>
      <c r="L1523">
        <v>9</v>
      </c>
      <c r="M1523" t="str">
        <f t="shared" si="46"/>
        <v>High</v>
      </c>
      <c r="N1523" t="str">
        <f t="shared" si="47"/>
        <v>Excellent</v>
      </c>
    </row>
    <row r="1524" spans="1:14">
      <c r="A1524" t="s">
        <v>12</v>
      </c>
      <c r="B1524">
        <v>2009</v>
      </c>
      <c r="C1524" t="s">
        <v>3454</v>
      </c>
      <c r="D1524" t="s">
        <v>33</v>
      </c>
      <c r="E1524" t="s">
        <v>3455</v>
      </c>
      <c r="F1524" t="s">
        <v>35</v>
      </c>
      <c r="G1524">
        <v>13.33</v>
      </c>
      <c r="H1524">
        <v>83</v>
      </c>
      <c r="I1524" t="s">
        <v>23</v>
      </c>
      <c r="J1524" t="s">
        <v>37</v>
      </c>
      <c r="K1524" t="s">
        <v>47</v>
      </c>
      <c r="L1524">
        <v>10</v>
      </c>
      <c r="M1524" t="str">
        <f t="shared" si="46"/>
        <v>Low</v>
      </c>
      <c r="N1524" t="str">
        <f t="shared" si="47"/>
        <v>Good</v>
      </c>
    </row>
    <row r="1525" spans="1:14">
      <c r="A1525" t="s">
        <v>26</v>
      </c>
      <c r="B1525">
        <v>2007</v>
      </c>
      <c r="C1525" t="s">
        <v>3456</v>
      </c>
      <c r="D1525" t="s">
        <v>14</v>
      </c>
      <c r="E1525" t="s">
        <v>3457</v>
      </c>
      <c r="F1525" t="s">
        <v>16</v>
      </c>
      <c r="G1525">
        <v>24.38</v>
      </c>
      <c r="H1525">
        <v>83</v>
      </c>
      <c r="I1525" t="s">
        <v>36</v>
      </c>
      <c r="J1525" t="s">
        <v>37</v>
      </c>
      <c r="K1525" t="s">
        <v>151</v>
      </c>
      <c r="L1525">
        <v>59</v>
      </c>
      <c r="M1525" t="str">
        <f t="shared" si="46"/>
        <v>Medium</v>
      </c>
      <c r="N1525" t="str">
        <f t="shared" si="47"/>
        <v>Good</v>
      </c>
    </row>
    <row r="1526" spans="1:14">
      <c r="A1526" t="s">
        <v>47</v>
      </c>
      <c r="B1526">
        <v>2022</v>
      </c>
      <c r="C1526" t="s">
        <v>3458</v>
      </c>
      <c r="D1526" t="s">
        <v>14</v>
      </c>
      <c r="E1526" t="s">
        <v>3459</v>
      </c>
      <c r="F1526" t="s">
        <v>57</v>
      </c>
      <c r="G1526">
        <v>36.15</v>
      </c>
      <c r="H1526">
        <v>82</v>
      </c>
      <c r="I1526" t="s">
        <v>17</v>
      </c>
      <c r="J1526" t="s">
        <v>18</v>
      </c>
      <c r="K1526" t="s">
        <v>705</v>
      </c>
      <c r="L1526">
        <v>243</v>
      </c>
      <c r="M1526" t="str">
        <f t="shared" si="46"/>
        <v>High</v>
      </c>
      <c r="N1526" t="str">
        <f t="shared" si="47"/>
        <v>Good</v>
      </c>
    </row>
    <row r="1527" spans="1:14">
      <c r="A1527" t="s">
        <v>39</v>
      </c>
      <c r="B1527">
        <v>2006</v>
      </c>
      <c r="C1527" t="s">
        <v>3460</v>
      </c>
      <c r="D1527" t="s">
        <v>33</v>
      </c>
      <c r="E1527" t="s">
        <v>3461</v>
      </c>
      <c r="F1527" t="s">
        <v>16</v>
      </c>
      <c r="G1527">
        <v>29.11</v>
      </c>
      <c r="H1527">
        <v>66</v>
      </c>
      <c r="I1527" t="s">
        <v>29</v>
      </c>
      <c r="J1527" t="s">
        <v>37</v>
      </c>
      <c r="K1527" t="s">
        <v>151</v>
      </c>
      <c r="L1527">
        <v>122</v>
      </c>
      <c r="M1527" t="str">
        <f t="shared" si="46"/>
        <v>Medium</v>
      </c>
      <c r="N1527" t="str">
        <f t="shared" si="47"/>
        <v>Average</v>
      </c>
    </row>
    <row r="1528" spans="1:14">
      <c r="A1528" t="s">
        <v>68</v>
      </c>
      <c r="B1528">
        <v>2022</v>
      </c>
      <c r="C1528" t="s">
        <v>3462</v>
      </c>
      <c r="D1528" t="s">
        <v>14</v>
      </c>
      <c r="E1528" t="s">
        <v>3463</v>
      </c>
      <c r="F1528" t="s">
        <v>46</v>
      </c>
      <c r="G1528">
        <v>23.93</v>
      </c>
      <c r="H1528">
        <v>89</v>
      </c>
      <c r="I1528" t="s">
        <v>36</v>
      </c>
      <c r="J1528" t="s">
        <v>37</v>
      </c>
      <c r="K1528" t="s">
        <v>68</v>
      </c>
      <c r="L1528">
        <v>303</v>
      </c>
      <c r="M1528" t="str">
        <f t="shared" si="46"/>
        <v>Medium</v>
      </c>
      <c r="N1528" t="str">
        <f t="shared" si="47"/>
        <v>Good</v>
      </c>
    </row>
    <row r="1529" spans="1:14">
      <c r="A1529" t="s">
        <v>26</v>
      </c>
      <c r="B1529">
        <v>2015</v>
      </c>
      <c r="C1529" t="s">
        <v>3464</v>
      </c>
      <c r="D1529" t="s">
        <v>14</v>
      </c>
      <c r="E1529" t="s">
        <v>3465</v>
      </c>
      <c r="F1529" t="s">
        <v>57</v>
      </c>
      <c r="G1529">
        <v>33.1</v>
      </c>
      <c r="H1529">
        <v>57</v>
      </c>
      <c r="I1529" t="s">
        <v>17</v>
      </c>
      <c r="J1529" t="s">
        <v>18</v>
      </c>
      <c r="K1529" t="s">
        <v>39</v>
      </c>
      <c r="L1529">
        <v>233</v>
      </c>
      <c r="M1529" t="str">
        <f t="shared" si="46"/>
        <v>Medium</v>
      </c>
      <c r="N1529" t="str">
        <f t="shared" si="47"/>
        <v>Average</v>
      </c>
    </row>
    <row r="1530" spans="1:14">
      <c r="A1530" t="s">
        <v>12</v>
      </c>
      <c r="B1530">
        <v>2004</v>
      </c>
      <c r="C1530" t="s">
        <v>3466</v>
      </c>
      <c r="D1530" t="s">
        <v>33</v>
      </c>
      <c r="E1530" t="s">
        <v>3467</v>
      </c>
      <c r="F1530" t="s">
        <v>42</v>
      </c>
      <c r="G1530">
        <v>21.44</v>
      </c>
      <c r="H1530">
        <v>78</v>
      </c>
      <c r="I1530" t="s">
        <v>17</v>
      </c>
      <c r="J1530" t="s">
        <v>24</v>
      </c>
      <c r="K1530" t="s">
        <v>3468</v>
      </c>
      <c r="L1530">
        <v>249</v>
      </c>
      <c r="M1530" t="str">
        <f t="shared" si="46"/>
        <v>Medium</v>
      </c>
      <c r="N1530" t="str">
        <f t="shared" si="47"/>
        <v>Good</v>
      </c>
    </row>
    <row r="1531" spans="1:14">
      <c r="A1531" t="s">
        <v>31</v>
      </c>
      <c r="B1531">
        <v>2003</v>
      </c>
      <c r="C1531" t="s">
        <v>3469</v>
      </c>
      <c r="D1531" t="s">
        <v>33</v>
      </c>
      <c r="E1531" t="s">
        <v>3470</v>
      </c>
      <c r="F1531" t="s">
        <v>57</v>
      </c>
      <c r="G1531">
        <v>9.76</v>
      </c>
      <c r="H1531">
        <v>68</v>
      </c>
      <c r="I1531" t="s">
        <v>23</v>
      </c>
      <c r="J1531" t="s">
        <v>37</v>
      </c>
      <c r="K1531" t="s">
        <v>232</v>
      </c>
      <c r="L1531">
        <v>38</v>
      </c>
      <c r="M1531" t="str">
        <f t="shared" si="46"/>
        <v>Low</v>
      </c>
      <c r="N1531" t="str">
        <f t="shared" si="47"/>
        <v>Average</v>
      </c>
    </row>
    <row r="1532" spans="1:14">
      <c r="A1532" t="s">
        <v>38</v>
      </c>
      <c r="B1532">
        <v>2019</v>
      </c>
      <c r="C1532" t="s">
        <v>3471</v>
      </c>
      <c r="D1532" t="s">
        <v>33</v>
      </c>
      <c r="E1532" t="s">
        <v>3472</v>
      </c>
      <c r="F1532" t="s">
        <v>16</v>
      </c>
      <c r="G1532">
        <v>16.760000000000002</v>
      </c>
      <c r="H1532">
        <v>89</v>
      </c>
      <c r="I1532" t="s">
        <v>29</v>
      </c>
      <c r="J1532" t="s">
        <v>37</v>
      </c>
      <c r="K1532" t="s">
        <v>3473</v>
      </c>
      <c r="L1532">
        <v>25</v>
      </c>
      <c r="M1532" t="str">
        <f t="shared" si="46"/>
        <v>Medium</v>
      </c>
      <c r="N1532" t="str">
        <f t="shared" si="47"/>
        <v>Good</v>
      </c>
    </row>
    <row r="1533" spans="1:14">
      <c r="A1533" t="s">
        <v>47</v>
      </c>
      <c r="B1533">
        <v>2015</v>
      </c>
      <c r="C1533" t="s">
        <v>3474</v>
      </c>
      <c r="D1533" t="s">
        <v>33</v>
      </c>
      <c r="E1533" t="s">
        <v>3475</v>
      </c>
      <c r="F1533" t="s">
        <v>57</v>
      </c>
      <c r="G1533">
        <v>12.69</v>
      </c>
      <c r="H1533">
        <v>53</v>
      </c>
      <c r="I1533" t="s">
        <v>23</v>
      </c>
      <c r="J1533" t="s">
        <v>18</v>
      </c>
      <c r="K1533" t="s">
        <v>580</v>
      </c>
      <c r="L1533">
        <v>288</v>
      </c>
      <c r="M1533" t="str">
        <f t="shared" si="46"/>
        <v>Low</v>
      </c>
      <c r="N1533" t="str">
        <f t="shared" si="47"/>
        <v>Average</v>
      </c>
    </row>
    <row r="1534" spans="1:14">
      <c r="A1534" t="s">
        <v>48</v>
      </c>
      <c r="B1534">
        <v>2021</v>
      </c>
      <c r="C1534" t="s">
        <v>3476</v>
      </c>
      <c r="D1534" t="s">
        <v>14</v>
      </c>
      <c r="E1534" t="s">
        <v>3477</v>
      </c>
      <c r="F1534" t="s">
        <v>46</v>
      </c>
      <c r="G1534">
        <v>23.98</v>
      </c>
      <c r="H1534">
        <v>60</v>
      </c>
      <c r="I1534" t="s">
        <v>61</v>
      </c>
      <c r="J1534" t="s">
        <v>24</v>
      </c>
      <c r="K1534" t="s">
        <v>2517</v>
      </c>
      <c r="L1534">
        <v>266</v>
      </c>
      <c r="M1534" t="str">
        <f t="shared" si="46"/>
        <v>Medium</v>
      </c>
      <c r="N1534" t="str">
        <f t="shared" si="47"/>
        <v>Average</v>
      </c>
    </row>
    <row r="1535" spans="1:14">
      <c r="A1535" t="s">
        <v>47</v>
      </c>
      <c r="B1535">
        <v>2012</v>
      </c>
      <c r="C1535" t="s">
        <v>3478</v>
      </c>
      <c r="D1535" t="s">
        <v>33</v>
      </c>
      <c r="E1535" t="s">
        <v>3479</v>
      </c>
      <c r="F1535" t="s">
        <v>42</v>
      </c>
      <c r="G1535">
        <v>35.659999999999997</v>
      </c>
      <c r="H1535">
        <v>70</v>
      </c>
      <c r="I1535" t="s">
        <v>36</v>
      </c>
      <c r="J1535" t="s">
        <v>37</v>
      </c>
      <c r="K1535" t="s">
        <v>47</v>
      </c>
      <c r="L1535">
        <v>17</v>
      </c>
      <c r="M1535" t="str">
        <f t="shared" si="46"/>
        <v>High</v>
      </c>
      <c r="N1535" t="str">
        <f t="shared" si="47"/>
        <v>Average</v>
      </c>
    </row>
    <row r="1536" spans="1:14">
      <c r="A1536" t="s">
        <v>26</v>
      </c>
      <c r="B1536">
        <v>2006</v>
      </c>
      <c r="C1536" t="s">
        <v>3480</v>
      </c>
      <c r="D1536" t="s">
        <v>33</v>
      </c>
      <c r="E1536" t="s">
        <v>3481</v>
      </c>
      <c r="F1536" t="s">
        <v>57</v>
      </c>
      <c r="G1536">
        <v>46.74</v>
      </c>
      <c r="H1536">
        <v>77</v>
      </c>
      <c r="I1536" t="s">
        <v>17</v>
      </c>
      <c r="J1536" t="s">
        <v>18</v>
      </c>
      <c r="K1536" t="s">
        <v>1597</v>
      </c>
      <c r="L1536">
        <v>311</v>
      </c>
      <c r="M1536" t="str">
        <f t="shared" si="46"/>
        <v>High</v>
      </c>
      <c r="N1536" t="str">
        <f t="shared" si="47"/>
        <v>Good</v>
      </c>
    </row>
    <row r="1537" spans="1:14">
      <c r="A1537" t="s">
        <v>39</v>
      </c>
      <c r="B1537">
        <v>2011</v>
      </c>
      <c r="C1537" t="s">
        <v>3482</v>
      </c>
      <c r="D1537" t="s">
        <v>14</v>
      </c>
      <c r="E1537" t="s">
        <v>3483</v>
      </c>
      <c r="F1537" t="s">
        <v>16</v>
      </c>
      <c r="G1537">
        <v>32.700000000000003</v>
      </c>
      <c r="H1537">
        <v>92</v>
      </c>
      <c r="I1537" t="s">
        <v>17</v>
      </c>
      <c r="J1537" t="s">
        <v>18</v>
      </c>
      <c r="K1537" t="s">
        <v>592</v>
      </c>
      <c r="L1537">
        <v>270</v>
      </c>
      <c r="M1537" t="str">
        <f t="shared" si="46"/>
        <v>Medium</v>
      </c>
      <c r="N1537" t="str">
        <f t="shared" si="47"/>
        <v>Excellent</v>
      </c>
    </row>
    <row r="1538" spans="1:14">
      <c r="A1538" t="s">
        <v>20</v>
      </c>
      <c r="B1538">
        <v>2020</v>
      </c>
      <c r="C1538" t="s">
        <v>3484</v>
      </c>
      <c r="D1538" t="s">
        <v>33</v>
      </c>
      <c r="E1538" t="s">
        <v>3485</v>
      </c>
      <c r="F1538" t="s">
        <v>35</v>
      </c>
      <c r="G1538">
        <v>14.99</v>
      </c>
      <c r="H1538">
        <v>55</v>
      </c>
      <c r="I1538" t="s">
        <v>36</v>
      </c>
      <c r="J1538" t="s">
        <v>24</v>
      </c>
      <c r="K1538" t="s">
        <v>47</v>
      </c>
      <c r="L1538">
        <v>55</v>
      </c>
      <c r="M1538" t="str">
        <f t="shared" si="46"/>
        <v>Low</v>
      </c>
      <c r="N1538" t="str">
        <f t="shared" si="47"/>
        <v>Average</v>
      </c>
    </row>
    <row r="1539" spans="1:14">
      <c r="A1539" t="s">
        <v>26</v>
      </c>
      <c r="B1539">
        <v>2025</v>
      </c>
      <c r="C1539" t="s">
        <v>3486</v>
      </c>
      <c r="D1539" t="s">
        <v>14</v>
      </c>
      <c r="E1539" t="s">
        <v>3487</v>
      </c>
      <c r="F1539" t="s">
        <v>46</v>
      </c>
      <c r="G1539">
        <v>36.86</v>
      </c>
      <c r="H1539">
        <v>87</v>
      </c>
      <c r="I1539" t="s">
        <v>23</v>
      </c>
      <c r="J1539" t="s">
        <v>37</v>
      </c>
      <c r="K1539" t="s">
        <v>1520</v>
      </c>
      <c r="L1539">
        <v>19</v>
      </c>
      <c r="M1539" t="str">
        <f t="shared" ref="M1539:M1602" si="48">IF(G1539&lt;15,"Low",IF(G1539&lt;35,"Medium","High"))</f>
        <v>High</v>
      </c>
      <c r="N1539" t="str">
        <f t="shared" ref="N1539:N1602" si="49">IF(H1539&gt;=90,"Excellent",IF(H1539&gt;=75,"Good","Average"))</f>
        <v>Good</v>
      </c>
    </row>
    <row r="1540" spans="1:14">
      <c r="A1540" t="s">
        <v>31</v>
      </c>
      <c r="B1540">
        <v>2005</v>
      </c>
      <c r="C1540" t="s">
        <v>3488</v>
      </c>
      <c r="D1540" t="s">
        <v>33</v>
      </c>
      <c r="E1540" t="s">
        <v>3489</v>
      </c>
      <c r="F1540" t="s">
        <v>16</v>
      </c>
      <c r="G1540">
        <v>48.28</v>
      </c>
      <c r="H1540">
        <v>60</v>
      </c>
      <c r="I1540" t="s">
        <v>36</v>
      </c>
      <c r="J1540" t="s">
        <v>37</v>
      </c>
      <c r="K1540" t="s">
        <v>317</v>
      </c>
      <c r="L1540">
        <v>163</v>
      </c>
      <c r="M1540" t="str">
        <f t="shared" si="48"/>
        <v>High</v>
      </c>
      <c r="N1540" t="str">
        <f t="shared" si="49"/>
        <v>Average</v>
      </c>
    </row>
    <row r="1541" spans="1:14">
      <c r="A1541" t="s">
        <v>65</v>
      </c>
      <c r="B1541">
        <v>2009</v>
      </c>
      <c r="C1541" t="s">
        <v>3490</v>
      </c>
      <c r="D1541" t="s">
        <v>33</v>
      </c>
      <c r="E1541" t="s">
        <v>3491</v>
      </c>
      <c r="F1541" t="s">
        <v>42</v>
      </c>
      <c r="G1541">
        <v>46.85</v>
      </c>
      <c r="H1541">
        <v>75</v>
      </c>
      <c r="I1541" t="s">
        <v>29</v>
      </c>
      <c r="J1541" t="s">
        <v>24</v>
      </c>
      <c r="K1541" t="s">
        <v>48</v>
      </c>
      <c r="L1541">
        <v>26</v>
      </c>
      <c r="M1541" t="str">
        <f t="shared" si="48"/>
        <v>High</v>
      </c>
      <c r="N1541" t="str">
        <f t="shared" si="49"/>
        <v>Good</v>
      </c>
    </row>
    <row r="1542" spans="1:14">
      <c r="A1542" t="s">
        <v>47</v>
      </c>
      <c r="B1542">
        <v>2012</v>
      </c>
      <c r="C1542" t="s">
        <v>3492</v>
      </c>
      <c r="D1542" t="s">
        <v>14</v>
      </c>
      <c r="E1542" t="s">
        <v>3493</v>
      </c>
      <c r="F1542" t="s">
        <v>35</v>
      </c>
      <c r="G1542">
        <v>5.54</v>
      </c>
      <c r="H1542">
        <v>51</v>
      </c>
      <c r="I1542" t="s">
        <v>29</v>
      </c>
      <c r="J1542" t="s">
        <v>18</v>
      </c>
      <c r="K1542" t="s">
        <v>240</v>
      </c>
      <c r="L1542">
        <v>30</v>
      </c>
      <c r="M1542" t="str">
        <f t="shared" si="48"/>
        <v>Low</v>
      </c>
      <c r="N1542" t="str">
        <f t="shared" si="49"/>
        <v>Average</v>
      </c>
    </row>
    <row r="1543" spans="1:14">
      <c r="A1543" t="s">
        <v>26</v>
      </c>
      <c r="B1543">
        <v>2010</v>
      </c>
      <c r="C1543" t="s">
        <v>3494</v>
      </c>
      <c r="D1543" t="s">
        <v>33</v>
      </c>
      <c r="E1543" t="s">
        <v>3495</v>
      </c>
      <c r="F1543" t="s">
        <v>35</v>
      </c>
      <c r="G1543">
        <v>17.41</v>
      </c>
      <c r="H1543">
        <v>81</v>
      </c>
      <c r="I1543" t="s">
        <v>61</v>
      </c>
      <c r="J1543" t="s">
        <v>18</v>
      </c>
      <c r="K1543" t="s">
        <v>31</v>
      </c>
      <c r="L1543">
        <v>134</v>
      </c>
      <c r="M1543" t="str">
        <f t="shared" si="48"/>
        <v>Medium</v>
      </c>
      <c r="N1543" t="str">
        <f t="shared" si="49"/>
        <v>Good</v>
      </c>
    </row>
    <row r="1544" spans="1:14">
      <c r="A1544" t="s">
        <v>38</v>
      </c>
      <c r="B1544">
        <v>2021</v>
      </c>
      <c r="C1544" t="s">
        <v>3496</v>
      </c>
      <c r="D1544" t="s">
        <v>33</v>
      </c>
      <c r="E1544" t="s">
        <v>3168</v>
      </c>
      <c r="F1544" t="s">
        <v>42</v>
      </c>
      <c r="G1544">
        <v>49.3</v>
      </c>
      <c r="H1544">
        <v>77</v>
      </c>
      <c r="I1544" t="s">
        <v>29</v>
      </c>
      <c r="J1544" t="s">
        <v>37</v>
      </c>
      <c r="K1544" t="s">
        <v>20</v>
      </c>
      <c r="L1544">
        <v>75</v>
      </c>
      <c r="M1544" t="str">
        <f t="shared" si="48"/>
        <v>High</v>
      </c>
      <c r="N1544" t="str">
        <f t="shared" si="49"/>
        <v>Good</v>
      </c>
    </row>
    <row r="1545" spans="1:14">
      <c r="A1545" t="s">
        <v>65</v>
      </c>
      <c r="B1545">
        <v>2003</v>
      </c>
      <c r="C1545" t="s">
        <v>3497</v>
      </c>
      <c r="D1545" t="s">
        <v>33</v>
      </c>
      <c r="E1545" t="s">
        <v>3498</v>
      </c>
      <c r="F1545" t="s">
        <v>46</v>
      </c>
      <c r="G1545">
        <v>6.77</v>
      </c>
      <c r="H1545">
        <v>86</v>
      </c>
      <c r="I1545" t="s">
        <v>36</v>
      </c>
      <c r="J1545" t="s">
        <v>24</v>
      </c>
      <c r="K1545" t="s">
        <v>457</v>
      </c>
      <c r="L1545">
        <v>35</v>
      </c>
      <c r="M1545" t="str">
        <f t="shared" si="48"/>
        <v>Low</v>
      </c>
      <c r="N1545" t="str">
        <f t="shared" si="49"/>
        <v>Good</v>
      </c>
    </row>
    <row r="1546" spans="1:14">
      <c r="A1546" t="s">
        <v>12</v>
      </c>
      <c r="B1546">
        <v>2012</v>
      </c>
      <c r="C1546" t="s">
        <v>3499</v>
      </c>
      <c r="D1546" t="s">
        <v>14</v>
      </c>
      <c r="E1546" t="s">
        <v>3500</v>
      </c>
      <c r="F1546" t="s">
        <v>35</v>
      </c>
      <c r="G1546">
        <v>23.53</v>
      </c>
      <c r="H1546">
        <v>55</v>
      </c>
      <c r="I1546" t="s">
        <v>36</v>
      </c>
      <c r="J1546" t="s">
        <v>18</v>
      </c>
      <c r="K1546" t="s">
        <v>1131</v>
      </c>
      <c r="L1546">
        <v>280</v>
      </c>
      <c r="M1546" t="str">
        <f t="shared" si="48"/>
        <v>Medium</v>
      </c>
      <c r="N1546" t="str">
        <f t="shared" si="49"/>
        <v>Average</v>
      </c>
    </row>
    <row r="1547" spans="1:14">
      <c r="A1547" t="s">
        <v>26</v>
      </c>
      <c r="B1547">
        <v>2017</v>
      </c>
      <c r="C1547" t="s">
        <v>3501</v>
      </c>
      <c r="D1547" t="s">
        <v>33</v>
      </c>
      <c r="E1547" t="s">
        <v>2944</v>
      </c>
      <c r="F1547" t="s">
        <v>46</v>
      </c>
      <c r="G1547">
        <v>20.13</v>
      </c>
      <c r="H1547">
        <v>71</v>
      </c>
      <c r="I1547" t="s">
        <v>36</v>
      </c>
      <c r="J1547" t="s">
        <v>24</v>
      </c>
      <c r="K1547" t="s">
        <v>1126</v>
      </c>
      <c r="L1547">
        <v>93</v>
      </c>
      <c r="M1547" t="str">
        <f t="shared" si="48"/>
        <v>Medium</v>
      </c>
      <c r="N1547" t="str">
        <f t="shared" si="49"/>
        <v>Average</v>
      </c>
    </row>
    <row r="1548" spans="1:14">
      <c r="A1548" t="s">
        <v>12</v>
      </c>
      <c r="B1548">
        <v>2011</v>
      </c>
      <c r="C1548" t="s">
        <v>3502</v>
      </c>
      <c r="D1548" t="s">
        <v>14</v>
      </c>
      <c r="E1548" t="s">
        <v>3503</v>
      </c>
      <c r="F1548" t="s">
        <v>35</v>
      </c>
      <c r="G1548">
        <v>39.56</v>
      </c>
      <c r="H1548">
        <v>84</v>
      </c>
      <c r="I1548" t="s">
        <v>23</v>
      </c>
      <c r="J1548" t="s">
        <v>37</v>
      </c>
      <c r="K1548" t="s">
        <v>3504</v>
      </c>
      <c r="L1548">
        <v>297</v>
      </c>
      <c r="M1548" t="str">
        <f t="shared" si="48"/>
        <v>High</v>
      </c>
      <c r="N1548" t="str">
        <f t="shared" si="49"/>
        <v>Good</v>
      </c>
    </row>
    <row r="1549" spans="1:14">
      <c r="A1549" t="s">
        <v>65</v>
      </c>
      <c r="B1549">
        <v>2001</v>
      </c>
      <c r="C1549" t="s">
        <v>3505</v>
      </c>
      <c r="D1549" t="s">
        <v>33</v>
      </c>
      <c r="E1549" t="s">
        <v>3506</v>
      </c>
      <c r="F1549" t="s">
        <v>16</v>
      </c>
      <c r="G1549">
        <v>36.21</v>
      </c>
      <c r="H1549">
        <v>77</v>
      </c>
      <c r="I1549" t="s">
        <v>36</v>
      </c>
      <c r="J1549" t="s">
        <v>37</v>
      </c>
      <c r="K1549" t="s">
        <v>311</v>
      </c>
      <c r="L1549">
        <v>332</v>
      </c>
      <c r="M1549" t="str">
        <f t="shared" si="48"/>
        <v>High</v>
      </c>
      <c r="N1549" t="str">
        <f t="shared" si="49"/>
        <v>Good</v>
      </c>
    </row>
    <row r="1550" spans="1:14">
      <c r="A1550" t="s">
        <v>68</v>
      </c>
      <c r="B1550">
        <v>2003</v>
      </c>
      <c r="C1550" t="s">
        <v>3507</v>
      </c>
      <c r="D1550" t="s">
        <v>14</v>
      </c>
      <c r="E1550" t="s">
        <v>3508</v>
      </c>
      <c r="F1550" t="s">
        <v>46</v>
      </c>
      <c r="G1550">
        <v>26.76</v>
      </c>
      <c r="H1550">
        <v>97</v>
      </c>
      <c r="I1550" t="s">
        <v>29</v>
      </c>
      <c r="J1550" t="s">
        <v>18</v>
      </c>
      <c r="K1550" t="s">
        <v>47</v>
      </c>
      <c r="L1550">
        <v>283</v>
      </c>
      <c r="M1550" t="str">
        <f t="shared" si="48"/>
        <v>Medium</v>
      </c>
      <c r="N1550" t="str">
        <f t="shared" si="49"/>
        <v>Excellent</v>
      </c>
    </row>
    <row r="1551" spans="1:14">
      <c r="A1551" t="s">
        <v>26</v>
      </c>
      <c r="B1551">
        <v>2014</v>
      </c>
      <c r="C1551" t="s">
        <v>3509</v>
      </c>
      <c r="D1551" t="s">
        <v>33</v>
      </c>
      <c r="E1551" t="s">
        <v>3510</v>
      </c>
      <c r="F1551" t="s">
        <v>35</v>
      </c>
      <c r="G1551">
        <v>5.64</v>
      </c>
      <c r="H1551">
        <v>91</v>
      </c>
      <c r="I1551" t="s">
        <v>61</v>
      </c>
      <c r="J1551" t="s">
        <v>24</v>
      </c>
      <c r="K1551" t="s">
        <v>2414</v>
      </c>
      <c r="L1551">
        <v>3</v>
      </c>
      <c r="M1551" t="str">
        <f t="shared" si="48"/>
        <v>Low</v>
      </c>
      <c r="N1551" t="str">
        <f t="shared" si="49"/>
        <v>Excellent</v>
      </c>
    </row>
    <row r="1552" spans="1:14">
      <c r="A1552" t="s">
        <v>31</v>
      </c>
      <c r="B1552">
        <v>2000</v>
      </c>
      <c r="C1552" t="s">
        <v>3511</v>
      </c>
      <c r="D1552" t="s">
        <v>33</v>
      </c>
      <c r="E1552" t="s">
        <v>3512</v>
      </c>
      <c r="F1552" t="s">
        <v>35</v>
      </c>
      <c r="G1552">
        <v>23.93</v>
      </c>
      <c r="H1552">
        <v>67</v>
      </c>
      <c r="I1552" t="s">
        <v>23</v>
      </c>
      <c r="J1552" t="s">
        <v>37</v>
      </c>
      <c r="K1552" t="s">
        <v>48</v>
      </c>
      <c r="L1552">
        <v>281</v>
      </c>
      <c r="M1552" t="str">
        <f t="shared" si="48"/>
        <v>Medium</v>
      </c>
      <c r="N1552" t="str">
        <f t="shared" si="49"/>
        <v>Average</v>
      </c>
    </row>
    <row r="1553" spans="1:14">
      <c r="A1553" t="s">
        <v>68</v>
      </c>
      <c r="B1553">
        <v>2015</v>
      </c>
      <c r="C1553" t="s">
        <v>3513</v>
      </c>
      <c r="D1553" t="s">
        <v>33</v>
      </c>
      <c r="E1553" t="s">
        <v>3514</v>
      </c>
      <c r="F1553" t="s">
        <v>35</v>
      </c>
      <c r="G1553">
        <v>17.059999999999999</v>
      </c>
      <c r="H1553">
        <v>84</v>
      </c>
      <c r="I1553" t="s">
        <v>17</v>
      </c>
      <c r="J1553" t="s">
        <v>18</v>
      </c>
      <c r="K1553" t="s">
        <v>20</v>
      </c>
      <c r="L1553">
        <v>61</v>
      </c>
      <c r="M1553" t="str">
        <f t="shared" si="48"/>
        <v>Medium</v>
      </c>
      <c r="N1553" t="str">
        <f t="shared" si="49"/>
        <v>Good</v>
      </c>
    </row>
    <row r="1554" spans="1:14">
      <c r="A1554" t="s">
        <v>68</v>
      </c>
      <c r="B1554">
        <v>2011</v>
      </c>
      <c r="C1554" t="s">
        <v>3515</v>
      </c>
      <c r="D1554" t="s">
        <v>14</v>
      </c>
      <c r="E1554" t="s">
        <v>3516</v>
      </c>
      <c r="F1554" t="s">
        <v>35</v>
      </c>
      <c r="G1554">
        <v>14.11</v>
      </c>
      <c r="H1554">
        <v>55</v>
      </c>
      <c r="I1554" t="s">
        <v>23</v>
      </c>
      <c r="J1554" t="s">
        <v>24</v>
      </c>
      <c r="K1554" t="s">
        <v>831</v>
      </c>
      <c r="L1554">
        <v>308</v>
      </c>
      <c r="M1554" t="str">
        <f t="shared" si="48"/>
        <v>Low</v>
      </c>
      <c r="N1554" t="str">
        <f t="shared" si="49"/>
        <v>Average</v>
      </c>
    </row>
    <row r="1555" spans="1:14">
      <c r="A1555" t="s">
        <v>38</v>
      </c>
      <c r="B1555">
        <v>2012</v>
      </c>
      <c r="C1555" t="s">
        <v>3517</v>
      </c>
      <c r="D1555" t="s">
        <v>33</v>
      </c>
      <c r="E1555" t="s">
        <v>3518</v>
      </c>
      <c r="F1555" t="s">
        <v>16</v>
      </c>
      <c r="G1555">
        <v>43.3</v>
      </c>
      <c r="H1555">
        <v>80</v>
      </c>
      <c r="I1555" t="s">
        <v>23</v>
      </c>
      <c r="J1555" t="s">
        <v>24</v>
      </c>
      <c r="K1555" t="s">
        <v>3394</v>
      </c>
      <c r="L1555">
        <v>286</v>
      </c>
      <c r="M1555" t="str">
        <f t="shared" si="48"/>
        <v>High</v>
      </c>
      <c r="N1555" t="str">
        <f t="shared" si="49"/>
        <v>Good</v>
      </c>
    </row>
    <row r="1556" spans="1:14">
      <c r="A1556" t="s">
        <v>39</v>
      </c>
      <c r="B1556">
        <v>2015</v>
      </c>
      <c r="C1556" t="s">
        <v>3519</v>
      </c>
      <c r="D1556" t="s">
        <v>14</v>
      </c>
      <c r="E1556" t="s">
        <v>3520</v>
      </c>
      <c r="F1556" t="s">
        <v>35</v>
      </c>
      <c r="G1556">
        <v>22.52</v>
      </c>
      <c r="H1556">
        <v>93</v>
      </c>
      <c r="I1556" t="s">
        <v>61</v>
      </c>
      <c r="J1556" t="s">
        <v>37</v>
      </c>
      <c r="K1556" t="s">
        <v>12</v>
      </c>
      <c r="L1556">
        <v>256</v>
      </c>
      <c r="M1556" t="str">
        <f t="shared" si="48"/>
        <v>Medium</v>
      </c>
      <c r="N1556" t="str">
        <f t="shared" si="49"/>
        <v>Excellent</v>
      </c>
    </row>
    <row r="1557" spans="1:14">
      <c r="A1557" t="s">
        <v>65</v>
      </c>
      <c r="B1557">
        <v>2007</v>
      </c>
      <c r="C1557" t="s">
        <v>3521</v>
      </c>
      <c r="D1557" t="s">
        <v>14</v>
      </c>
      <c r="E1557" t="s">
        <v>3522</v>
      </c>
      <c r="F1557" t="s">
        <v>42</v>
      </c>
      <c r="G1557">
        <v>19.73</v>
      </c>
      <c r="H1557">
        <v>62</v>
      </c>
      <c r="I1557" t="s">
        <v>36</v>
      </c>
      <c r="J1557" t="s">
        <v>37</v>
      </c>
      <c r="K1557" t="s">
        <v>314</v>
      </c>
      <c r="L1557">
        <v>137</v>
      </c>
      <c r="M1557" t="str">
        <f t="shared" si="48"/>
        <v>Medium</v>
      </c>
      <c r="N1557" t="str">
        <f t="shared" si="49"/>
        <v>Average</v>
      </c>
    </row>
    <row r="1558" spans="1:14">
      <c r="A1558" t="s">
        <v>47</v>
      </c>
      <c r="B1558">
        <v>2019</v>
      </c>
      <c r="C1558" t="s">
        <v>3523</v>
      </c>
      <c r="D1558" t="s">
        <v>33</v>
      </c>
      <c r="E1558" t="s">
        <v>3524</v>
      </c>
      <c r="F1558" t="s">
        <v>46</v>
      </c>
      <c r="G1558">
        <v>7.14</v>
      </c>
      <c r="H1558">
        <v>100</v>
      </c>
      <c r="I1558" t="s">
        <v>17</v>
      </c>
      <c r="J1558" t="s">
        <v>24</v>
      </c>
      <c r="K1558" t="s">
        <v>3525</v>
      </c>
      <c r="L1558">
        <v>293</v>
      </c>
      <c r="M1558" t="str">
        <f t="shared" si="48"/>
        <v>Low</v>
      </c>
      <c r="N1558" t="str">
        <f t="shared" si="49"/>
        <v>Excellent</v>
      </c>
    </row>
    <row r="1559" spans="1:14">
      <c r="A1559" t="s">
        <v>20</v>
      </c>
      <c r="B1559">
        <v>2012</v>
      </c>
      <c r="C1559" t="s">
        <v>3526</v>
      </c>
      <c r="D1559" t="s">
        <v>14</v>
      </c>
      <c r="E1559" t="s">
        <v>1066</v>
      </c>
      <c r="F1559" t="s">
        <v>35</v>
      </c>
      <c r="G1559">
        <v>21.84</v>
      </c>
      <c r="H1559">
        <v>69</v>
      </c>
      <c r="I1559" t="s">
        <v>61</v>
      </c>
      <c r="J1559" t="s">
        <v>18</v>
      </c>
      <c r="K1559" t="s">
        <v>537</v>
      </c>
      <c r="L1559">
        <v>2</v>
      </c>
      <c r="M1559" t="str">
        <f t="shared" si="48"/>
        <v>Medium</v>
      </c>
      <c r="N1559" t="str">
        <f t="shared" si="49"/>
        <v>Average</v>
      </c>
    </row>
    <row r="1560" spans="1:14">
      <c r="A1560" t="s">
        <v>12</v>
      </c>
      <c r="B1560">
        <v>2024</v>
      </c>
      <c r="C1560" t="s">
        <v>3527</v>
      </c>
      <c r="D1560" t="s">
        <v>33</v>
      </c>
      <c r="E1560" t="s">
        <v>3528</v>
      </c>
      <c r="F1560" t="s">
        <v>16</v>
      </c>
      <c r="G1560">
        <v>15.67</v>
      </c>
      <c r="H1560">
        <v>66</v>
      </c>
      <c r="I1560" t="s">
        <v>36</v>
      </c>
      <c r="J1560" t="s">
        <v>18</v>
      </c>
      <c r="K1560" t="s">
        <v>3529</v>
      </c>
      <c r="L1560">
        <v>18</v>
      </c>
      <c r="M1560" t="str">
        <f t="shared" si="48"/>
        <v>Medium</v>
      </c>
      <c r="N1560" t="str">
        <f t="shared" si="49"/>
        <v>Average</v>
      </c>
    </row>
    <row r="1561" spans="1:14">
      <c r="A1561" t="s">
        <v>38</v>
      </c>
      <c r="B1561">
        <v>2022</v>
      </c>
      <c r="C1561" t="s">
        <v>3530</v>
      </c>
      <c r="D1561" t="s">
        <v>33</v>
      </c>
      <c r="E1561" t="s">
        <v>2944</v>
      </c>
      <c r="F1561" t="s">
        <v>16</v>
      </c>
      <c r="G1561">
        <v>8.84</v>
      </c>
      <c r="H1561">
        <v>62</v>
      </c>
      <c r="I1561" t="s">
        <v>23</v>
      </c>
      <c r="J1561" t="s">
        <v>24</v>
      </c>
      <c r="K1561" t="s">
        <v>48</v>
      </c>
      <c r="L1561">
        <v>256</v>
      </c>
      <c r="M1561" t="str">
        <f t="shared" si="48"/>
        <v>Low</v>
      </c>
      <c r="N1561" t="str">
        <f t="shared" si="49"/>
        <v>Average</v>
      </c>
    </row>
    <row r="1562" spans="1:14">
      <c r="A1562" t="s">
        <v>31</v>
      </c>
      <c r="B1562">
        <v>2011</v>
      </c>
      <c r="C1562" t="s">
        <v>3531</v>
      </c>
      <c r="D1562" t="s">
        <v>14</v>
      </c>
      <c r="E1562" t="s">
        <v>3532</v>
      </c>
      <c r="F1562" t="s">
        <v>57</v>
      </c>
      <c r="G1562">
        <v>45.61</v>
      </c>
      <c r="H1562">
        <v>63</v>
      </c>
      <c r="I1562" t="s">
        <v>61</v>
      </c>
      <c r="J1562" t="s">
        <v>18</v>
      </c>
      <c r="K1562" t="s">
        <v>201</v>
      </c>
      <c r="L1562">
        <v>83</v>
      </c>
      <c r="M1562" t="str">
        <f t="shared" si="48"/>
        <v>High</v>
      </c>
      <c r="N1562" t="str">
        <f t="shared" si="49"/>
        <v>Average</v>
      </c>
    </row>
    <row r="1563" spans="1:14">
      <c r="A1563" t="s">
        <v>12</v>
      </c>
      <c r="B1563">
        <v>2011</v>
      </c>
      <c r="C1563" t="s">
        <v>3533</v>
      </c>
      <c r="D1563" t="s">
        <v>33</v>
      </c>
      <c r="E1563" t="s">
        <v>3534</v>
      </c>
      <c r="F1563" t="s">
        <v>42</v>
      </c>
      <c r="G1563">
        <v>24.11</v>
      </c>
      <c r="H1563">
        <v>80</v>
      </c>
      <c r="I1563" t="s">
        <v>36</v>
      </c>
      <c r="J1563" t="s">
        <v>37</v>
      </c>
      <c r="K1563" t="s">
        <v>1604</v>
      </c>
      <c r="L1563">
        <v>155</v>
      </c>
      <c r="M1563" t="str">
        <f t="shared" si="48"/>
        <v>Medium</v>
      </c>
      <c r="N1563" t="str">
        <f t="shared" si="49"/>
        <v>Good</v>
      </c>
    </row>
    <row r="1564" spans="1:14">
      <c r="A1564" t="s">
        <v>26</v>
      </c>
      <c r="B1564">
        <v>2024</v>
      </c>
      <c r="C1564" t="s">
        <v>3535</v>
      </c>
      <c r="D1564" t="s">
        <v>33</v>
      </c>
      <c r="E1564" t="s">
        <v>3178</v>
      </c>
      <c r="F1564" t="s">
        <v>57</v>
      </c>
      <c r="G1564">
        <v>23.45</v>
      </c>
      <c r="H1564">
        <v>68</v>
      </c>
      <c r="I1564" t="s">
        <v>61</v>
      </c>
      <c r="J1564" t="s">
        <v>18</v>
      </c>
      <c r="K1564" t="s">
        <v>31</v>
      </c>
      <c r="L1564">
        <v>197</v>
      </c>
      <c r="M1564" t="str">
        <f t="shared" si="48"/>
        <v>Medium</v>
      </c>
      <c r="N1564" t="str">
        <f t="shared" si="49"/>
        <v>Average</v>
      </c>
    </row>
    <row r="1565" spans="1:14">
      <c r="A1565" t="s">
        <v>26</v>
      </c>
      <c r="B1565">
        <v>2011</v>
      </c>
      <c r="C1565" t="s">
        <v>3536</v>
      </c>
      <c r="D1565" t="s">
        <v>33</v>
      </c>
      <c r="E1565" t="s">
        <v>3537</v>
      </c>
      <c r="F1565" t="s">
        <v>35</v>
      </c>
      <c r="G1565">
        <v>29.57</v>
      </c>
      <c r="H1565">
        <v>100</v>
      </c>
      <c r="I1565" t="s">
        <v>17</v>
      </c>
      <c r="J1565" t="s">
        <v>37</v>
      </c>
      <c r="K1565" t="s">
        <v>3538</v>
      </c>
      <c r="L1565">
        <v>218</v>
      </c>
      <c r="M1565" t="str">
        <f t="shared" si="48"/>
        <v>Medium</v>
      </c>
      <c r="N1565" t="str">
        <f t="shared" si="49"/>
        <v>Excellent</v>
      </c>
    </row>
    <row r="1566" spans="1:14">
      <c r="A1566" t="s">
        <v>39</v>
      </c>
      <c r="B1566">
        <v>2012</v>
      </c>
      <c r="C1566" t="s">
        <v>3539</v>
      </c>
      <c r="D1566" t="s">
        <v>14</v>
      </c>
      <c r="E1566" t="s">
        <v>3540</v>
      </c>
      <c r="F1566" t="s">
        <v>42</v>
      </c>
      <c r="G1566">
        <v>33.72</v>
      </c>
      <c r="H1566">
        <v>100</v>
      </c>
      <c r="I1566" t="s">
        <v>36</v>
      </c>
      <c r="J1566" t="s">
        <v>24</v>
      </c>
      <c r="K1566" t="s">
        <v>39</v>
      </c>
      <c r="L1566">
        <v>64</v>
      </c>
      <c r="M1566" t="str">
        <f t="shared" si="48"/>
        <v>Medium</v>
      </c>
      <c r="N1566" t="str">
        <f t="shared" si="49"/>
        <v>Excellent</v>
      </c>
    </row>
    <row r="1567" spans="1:14">
      <c r="A1567" t="s">
        <v>38</v>
      </c>
      <c r="B1567">
        <v>2003</v>
      </c>
      <c r="C1567" t="s">
        <v>3541</v>
      </c>
      <c r="D1567" t="s">
        <v>33</v>
      </c>
      <c r="E1567" t="s">
        <v>3542</v>
      </c>
      <c r="F1567" t="s">
        <v>57</v>
      </c>
      <c r="G1567">
        <v>43.63</v>
      </c>
      <c r="H1567">
        <v>72</v>
      </c>
      <c r="I1567" t="s">
        <v>17</v>
      </c>
      <c r="J1567" t="s">
        <v>24</v>
      </c>
      <c r="K1567" t="s">
        <v>580</v>
      </c>
      <c r="L1567">
        <v>64</v>
      </c>
      <c r="M1567" t="str">
        <f t="shared" si="48"/>
        <v>High</v>
      </c>
      <c r="N1567" t="str">
        <f t="shared" si="49"/>
        <v>Average</v>
      </c>
    </row>
    <row r="1568" spans="1:14">
      <c r="A1568" t="s">
        <v>12</v>
      </c>
      <c r="B1568">
        <v>2017</v>
      </c>
      <c r="C1568" t="s">
        <v>3543</v>
      </c>
      <c r="D1568" t="s">
        <v>14</v>
      </c>
      <c r="E1568" t="s">
        <v>3544</v>
      </c>
      <c r="F1568" t="s">
        <v>57</v>
      </c>
      <c r="G1568">
        <v>43.99</v>
      </c>
      <c r="H1568">
        <v>90</v>
      </c>
      <c r="I1568" t="s">
        <v>23</v>
      </c>
      <c r="J1568" t="s">
        <v>37</v>
      </c>
      <c r="K1568" t="s">
        <v>151</v>
      </c>
      <c r="L1568">
        <v>284</v>
      </c>
      <c r="M1568" t="str">
        <f t="shared" si="48"/>
        <v>High</v>
      </c>
      <c r="N1568" t="str">
        <f t="shared" si="49"/>
        <v>Excellent</v>
      </c>
    </row>
    <row r="1569" spans="1:14">
      <c r="A1569" t="s">
        <v>26</v>
      </c>
      <c r="B1569">
        <v>2023</v>
      </c>
      <c r="C1569" t="s">
        <v>3545</v>
      </c>
      <c r="D1569" t="s">
        <v>14</v>
      </c>
      <c r="E1569" t="s">
        <v>3546</v>
      </c>
      <c r="F1569" t="s">
        <v>46</v>
      </c>
      <c r="G1569">
        <v>29.59</v>
      </c>
      <c r="H1569">
        <v>89</v>
      </c>
      <c r="I1569" t="s">
        <v>23</v>
      </c>
      <c r="J1569" t="s">
        <v>37</v>
      </c>
      <c r="K1569" t="s">
        <v>65</v>
      </c>
      <c r="L1569">
        <v>357</v>
      </c>
      <c r="M1569" t="str">
        <f t="shared" si="48"/>
        <v>Medium</v>
      </c>
      <c r="N1569" t="str">
        <f t="shared" si="49"/>
        <v>Good</v>
      </c>
    </row>
    <row r="1570" spans="1:14">
      <c r="A1570" t="s">
        <v>12</v>
      </c>
      <c r="B1570">
        <v>2009</v>
      </c>
      <c r="C1570" t="s">
        <v>3547</v>
      </c>
      <c r="D1570" t="s">
        <v>33</v>
      </c>
      <c r="E1570" t="s">
        <v>3548</v>
      </c>
      <c r="F1570" t="s">
        <v>16</v>
      </c>
      <c r="G1570">
        <v>30.44</v>
      </c>
      <c r="H1570">
        <v>81</v>
      </c>
      <c r="I1570" t="s">
        <v>29</v>
      </c>
      <c r="J1570" t="s">
        <v>24</v>
      </c>
      <c r="K1570" t="s">
        <v>1826</v>
      </c>
      <c r="L1570">
        <v>349</v>
      </c>
      <c r="M1570" t="str">
        <f t="shared" si="48"/>
        <v>Medium</v>
      </c>
      <c r="N1570" t="str">
        <f t="shared" si="49"/>
        <v>Good</v>
      </c>
    </row>
    <row r="1571" spans="1:14">
      <c r="A1571" t="s">
        <v>31</v>
      </c>
      <c r="B1571">
        <v>2013</v>
      </c>
      <c r="C1571" t="s">
        <v>3549</v>
      </c>
      <c r="D1571" t="s">
        <v>33</v>
      </c>
      <c r="E1571" t="s">
        <v>3550</v>
      </c>
      <c r="F1571" t="s">
        <v>57</v>
      </c>
      <c r="G1571">
        <v>2.96</v>
      </c>
      <c r="H1571">
        <v>52</v>
      </c>
      <c r="I1571" t="s">
        <v>61</v>
      </c>
      <c r="J1571" t="s">
        <v>18</v>
      </c>
      <c r="K1571" t="s">
        <v>323</v>
      </c>
      <c r="L1571">
        <v>210</v>
      </c>
      <c r="M1571" t="str">
        <f t="shared" si="48"/>
        <v>Low</v>
      </c>
      <c r="N1571" t="str">
        <f t="shared" si="49"/>
        <v>Average</v>
      </c>
    </row>
    <row r="1572" spans="1:14">
      <c r="A1572" t="s">
        <v>26</v>
      </c>
      <c r="B1572">
        <v>2009</v>
      </c>
      <c r="C1572" t="s">
        <v>3551</v>
      </c>
      <c r="D1572" t="s">
        <v>14</v>
      </c>
      <c r="E1572" t="s">
        <v>3552</v>
      </c>
      <c r="F1572" t="s">
        <v>35</v>
      </c>
      <c r="G1572">
        <v>30.17</v>
      </c>
      <c r="H1572">
        <v>84</v>
      </c>
      <c r="I1572" t="s">
        <v>36</v>
      </c>
      <c r="J1572" t="s">
        <v>18</v>
      </c>
      <c r="K1572" t="s">
        <v>667</v>
      </c>
      <c r="L1572">
        <v>332</v>
      </c>
      <c r="M1572" t="str">
        <f t="shared" si="48"/>
        <v>Medium</v>
      </c>
      <c r="N1572" t="str">
        <f t="shared" si="49"/>
        <v>Good</v>
      </c>
    </row>
    <row r="1573" spans="1:14">
      <c r="A1573" t="s">
        <v>26</v>
      </c>
      <c r="B1573">
        <v>2024</v>
      </c>
      <c r="C1573" t="s">
        <v>3553</v>
      </c>
      <c r="D1573" t="s">
        <v>14</v>
      </c>
      <c r="E1573" t="s">
        <v>3554</v>
      </c>
      <c r="F1573" t="s">
        <v>57</v>
      </c>
      <c r="G1573">
        <v>22.17</v>
      </c>
      <c r="H1573">
        <v>63</v>
      </c>
      <c r="I1573" t="s">
        <v>36</v>
      </c>
      <c r="J1573" t="s">
        <v>18</v>
      </c>
      <c r="K1573" t="s">
        <v>1323</v>
      </c>
      <c r="L1573">
        <v>280</v>
      </c>
      <c r="M1573" t="str">
        <f t="shared" si="48"/>
        <v>Medium</v>
      </c>
      <c r="N1573" t="str">
        <f t="shared" si="49"/>
        <v>Average</v>
      </c>
    </row>
    <row r="1574" spans="1:14">
      <c r="A1574" t="s">
        <v>39</v>
      </c>
      <c r="B1574">
        <v>2011</v>
      </c>
      <c r="C1574" t="s">
        <v>3555</v>
      </c>
      <c r="D1574" t="s">
        <v>14</v>
      </c>
      <c r="E1574" t="s">
        <v>3556</v>
      </c>
      <c r="F1574" t="s">
        <v>35</v>
      </c>
      <c r="G1574">
        <v>15.58</v>
      </c>
      <c r="H1574">
        <v>98</v>
      </c>
      <c r="I1574" t="s">
        <v>36</v>
      </c>
      <c r="J1574" t="s">
        <v>24</v>
      </c>
      <c r="K1574" t="s">
        <v>48</v>
      </c>
      <c r="L1574">
        <v>128</v>
      </c>
      <c r="M1574" t="str">
        <f t="shared" si="48"/>
        <v>Medium</v>
      </c>
      <c r="N1574" t="str">
        <f t="shared" si="49"/>
        <v>Excellent</v>
      </c>
    </row>
    <row r="1575" spans="1:14">
      <c r="A1575" t="s">
        <v>20</v>
      </c>
      <c r="B1575">
        <v>2006</v>
      </c>
      <c r="C1575" t="s">
        <v>3557</v>
      </c>
      <c r="D1575" t="s">
        <v>33</v>
      </c>
      <c r="E1575" t="s">
        <v>3558</v>
      </c>
      <c r="F1575" t="s">
        <v>46</v>
      </c>
      <c r="G1575">
        <v>21.05</v>
      </c>
      <c r="H1575">
        <v>57</v>
      </c>
      <c r="I1575" t="s">
        <v>36</v>
      </c>
      <c r="J1575" t="s">
        <v>37</v>
      </c>
      <c r="K1575" t="s">
        <v>58</v>
      </c>
      <c r="L1575">
        <v>19</v>
      </c>
      <c r="M1575" t="str">
        <f t="shared" si="48"/>
        <v>Medium</v>
      </c>
      <c r="N1575" t="str">
        <f t="shared" si="49"/>
        <v>Average</v>
      </c>
    </row>
    <row r="1576" spans="1:14">
      <c r="A1576" t="s">
        <v>38</v>
      </c>
      <c r="B1576">
        <v>2024</v>
      </c>
      <c r="C1576" t="s">
        <v>3559</v>
      </c>
      <c r="D1576" t="s">
        <v>14</v>
      </c>
      <c r="E1576" t="s">
        <v>3560</v>
      </c>
      <c r="F1576" t="s">
        <v>16</v>
      </c>
      <c r="G1576">
        <v>15.45</v>
      </c>
      <c r="H1576">
        <v>56</v>
      </c>
      <c r="I1576" t="s">
        <v>23</v>
      </c>
      <c r="J1576" t="s">
        <v>24</v>
      </c>
      <c r="K1576" t="s">
        <v>47</v>
      </c>
      <c r="L1576">
        <v>27</v>
      </c>
      <c r="M1576" t="str">
        <f t="shared" si="48"/>
        <v>Medium</v>
      </c>
      <c r="N1576" t="str">
        <f t="shared" si="49"/>
        <v>Average</v>
      </c>
    </row>
    <row r="1577" spans="1:14">
      <c r="A1577" t="s">
        <v>68</v>
      </c>
      <c r="B1577">
        <v>2022</v>
      </c>
      <c r="C1577" t="s">
        <v>3561</v>
      </c>
      <c r="D1577" t="s">
        <v>33</v>
      </c>
      <c r="E1577" t="s">
        <v>3562</v>
      </c>
      <c r="F1577" t="s">
        <v>46</v>
      </c>
      <c r="G1577">
        <v>34.39</v>
      </c>
      <c r="H1577">
        <v>56</v>
      </c>
      <c r="I1577" t="s">
        <v>17</v>
      </c>
      <c r="J1577" t="s">
        <v>37</v>
      </c>
      <c r="K1577" t="s">
        <v>38</v>
      </c>
      <c r="L1577">
        <v>241</v>
      </c>
      <c r="M1577" t="str">
        <f t="shared" si="48"/>
        <v>Medium</v>
      </c>
      <c r="N1577" t="str">
        <f t="shared" si="49"/>
        <v>Average</v>
      </c>
    </row>
    <row r="1578" spans="1:14">
      <c r="A1578" t="s">
        <v>26</v>
      </c>
      <c r="B1578">
        <v>2009</v>
      </c>
      <c r="C1578" t="s">
        <v>3563</v>
      </c>
      <c r="D1578" t="s">
        <v>33</v>
      </c>
      <c r="E1578" t="s">
        <v>3564</v>
      </c>
      <c r="F1578" t="s">
        <v>46</v>
      </c>
      <c r="G1578">
        <v>12.73</v>
      </c>
      <c r="H1578">
        <v>61</v>
      </c>
      <c r="I1578" t="s">
        <v>17</v>
      </c>
      <c r="J1578" t="s">
        <v>37</v>
      </c>
      <c r="K1578" t="s">
        <v>81</v>
      </c>
      <c r="L1578">
        <v>208</v>
      </c>
      <c r="M1578" t="str">
        <f t="shared" si="48"/>
        <v>Low</v>
      </c>
      <c r="N1578" t="str">
        <f t="shared" si="49"/>
        <v>Average</v>
      </c>
    </row>
    <row r="1579" spans="1:14">
      <c r="A1579" t="s">
        <v>38</v>
      </c>
      <c r="B1579">
        <v>2022</v>
      </c>
      <c r="C1579" t="s">
        <v>3565</v>
      </c>
      <c r="D1579" t="s">
        <v>14</v>
      </c>
      <c r="E1579" t="s">
        <v>3566</v>
      </c>
      <c r="F1579" t="s">
        <v>42</v>
      </c>
      <c r="G1579">
        <v>48.21</v>
      </c>
      <c r="H1579">
        <v>62</v>
      </c>
      <c r="I1579" t="s">
        <v>61</v>
      </c>
      <c r="J1579" t="s">
        <v>18</v>
      </c>
      <c r="K1579" t="s">
        <v>656</v>
      </c>
      <c r="L1579">
        <v>308</v>
      </c>
      <c r="M1579" t="str">
        <f t="shared" si="48"/>
        <v>High</v>
      </c>
      <c r="N1579" t="str">
        <f t="shared" si="49"/>
        <v>Average</v>
      </c>
    </row>
    <row r="1580" spans="1:14">
      <c r="A1580" t="s">
        <v>48</v>
      </c>
      <c r="B1580">
        <v>2003</v>
      </c>
      <c r="C1580" t="s">
        <v>3567</v>
      </c>
      <c r="D1580" t="s">
        <v>14</v>
      </c>
      <c r="E1580" t="s">
        <v>3568</v>
      </c>
      <c r="F1580" t="s">
        <v>46</v>
      </c>
      <c r="G1580">
        <v>33.369999999999997</v>
      </c>
      <c r="H1580">
        <v>90</v>
      </c>
      <c r="I1580" t="s">
        <v>17</v>
      </c>
      <c r="J1580" t="s">
        <v>18</v>
      </c>
      <c r="K1580" t="s">
        <v>2712</v>
      </c>
      <c r="L1580">
        <v>82</v>
      </c>
      <c r="M1580" t="str">
        <f t="shared" si="48"/>
        <v>Medium</v>
      </c>
      <c r="N1580" t="str">
        <f t="shared" si="49"/>
        <v>Excellent</v>
      </c>
    </row>
    <row r="1581" spans="1:14">
      <c r="A1581" t="s">
        <v>12</v>
      </c>
      <c r="B1581">
        <v>2012</v>
      </c>
      <c r="C1581" t="s">
        <v>3569</v>
      </c>
      <c r="D1581" t="s">
        <v>33</v>
      </c>
      <c r="E1581" t="s">
        <v>1973</v>
      </c>
      <c r="F1581" t="s">
        <v>46</v>
      </c>
      <c r="G1581">
        <v>11.86</v>
      </c>
      <c r="H1581">
        <v>80</v>
      </c>
      <c r="I1581" t="s">
        <v>29</v>
      </c>
      <c r="J1581" t="s">
        <v>37</v>
      </c>
      <c r="K1581" t="s">
        <v>12</v>
      </c>
      <c r="L1581">
        <v>282</v>
      </c>
      <c r="M1581" t="str">
        <f t="shared" si="48"/>
        <v>Low</v>
      </c>
      <c r="N1581" t="str">
        <f t="shared" si="49"/>
        <v>Good</v>
      </c>
    </row>
    <row r="1582" spans="1:14">
      <c r="A1582" t="s">
        <v>68</v>
      </c>
      <c r="B1582">
        <v>2009</v>
      </c>
      <c r="C1582" t="s">
        <v>3570</v>
      </c>
      <c r="D1582" t="s">
        <v>14</v>
      </c>
      <c r="E1582" t="s">
        <v>3571</v>
      </c>
      <c r="F1582" t="s">
        <v>35</v>
      </c>
      <c r="G1582">
        <v>17.71</v>
      </c>
      <c r="H1582">
        <v>75</v>
      </c>
      <c r="I1582" t="s">
        <v>36</v>
      </c>
      <c r="J1582" t="s">
        <v>37</v>
      </c>
      <c r="K1582" t="s">
        <v>320</v>
      </c>
      <c r="L1582">
        <v>46</v>
      </c>
      <c r="M1582" t="str">
        <f t="shared" si="48"/>
        <v>Medium</v>
      </c>
      <c r="N1582" t="str">
        <f t="shared" si="49"/>
        <v>Good</v>
      </c>
    </row>
    <row r="1583" spans="1:14">
      <c r="A1583" t="s">
        <v>20</v>
      </c>
      <c r="B1583">
        <v>2024</v>
      </c>
      <c r="C1583" t="s">
        <v>3572</v>
      </c>
      <c r="D1583" t="s">
        <v>33</v>
      </c>
      <c r="E1583" t="s">
        <v>3573</v>
      </c>
      <c r="F1583" t="s">
        <v>42</v>
      </c>
      <c r="G1583">
        <v>42.56</v>
      </c>
      <c r="H1583">
        <v>88</v>
      </c>
      <c r="I1583" t="s">
        <v>36</v>
      </c>
      <c r="J1583" t="s">
        <v>18</v>
      </c>
      <c r="K1583" t="s">
        <v>12</v>
      </c>
      <c r="L1583">
        <v>239</v>
      </c>
      <c r="M1583" t="str">
        <f t="shared" si="48"/>
        <v>High</v>
      </c>
      <c r="N1583" t="str">
        <f t="shared" si="49"/>
        <v>Good</v>
      </c>
    </row>
    <row r="1584" spans="1:14">
      <c r="A1584" t="s">
        <v>20</v>
      </c>
      <c r="B1584">
        <v>2000</v>
      </c>
      <c r="C1584" t="s">
        <v>3574</v>
      </c>
      <c r="D1584" t="s">
        <v>33</v>
      </c>
      <c r="E1584" t="s">
        <v>3575</v>
      </c>
      <c r="F1584" t="s">
        <v>46</v>
      </c>
      <c r="G1584">
        <v>5.3</v>
      </c>
      <c r="H1584">
        <v>75</v>
      </c>
      <c r="I1584" t="s">
        <v>29</v>
      </c>
      <c r="J1584" t="s">
        <v>18</v>
      </c>
      <c r="K1584" t="s">
        <v>120</v>
      </c>
      <c r="L1584">
        <v>339</v>
      </c>
      <c r="M1584" t="str">
        <f t="shared" si="48"/>
        <v>Low</v>
      </c>
      <c r="N1584" t="str">
        <f t="shared" si="49"/>
        <v>Good</v>
      </c>
    </row>
    <row r="1585" spans="1:14">
      <c r="A1585" t="s">
        <v>26</v>
      </c>
      <c r="B1585">
        <v>2013</v>
      </c>
      <c r="C1585" t="s">
        <v>3576</v>
      </c>
      <c r="D1585" t="s">
        <v>14</v>
      </c>
      <c r="E1585" t="s">
        <v>3577</v>
      </c>
      <c r="F1585" t="s">
        <v>16</v>
      </c>
      <c r="G1585">
        <v>33.06</v>
      </c>
      <c r="H1585">
        <v>93</v>
      </c>
      <c r="I1585" t="s">
        <v>36</v>
      </c>
      <c r="J1585" t="s">
        <v>24</v>
      </c>
      <c r="K1585" t="s">
        <v>38</v>
      </c>
      <c r="L1585">
        <v>180</v>
      </c>
      <c r="M1585" t="str">
        <f t="shared" si="48"/>
        <v>Medium</v>
      </c>
      <c r="N1585" t="str">
        <f t="shared" si="49"/>
        <v>Excellent</v>
      </c>
    </row>
    <row r="1586" spans="1:14">
      <c r="A1586" t="s">
        <v>20</v>
      </c>
      <c r="B1586">
        <v>2004</v>
      </c>
      <c r="C1586" t="s">
        <v>3578</v>
      </c>
      <c r="D1586" t="s">
        <v>33</v>
      </c>
      <c r="E1586" t="s">
        <v>3579</v>
      </c>
      <c r="F1586" t="s">
        <v>16</v>
      </c>
      <c r="G1586">
        <v>42.11</v>
      </c>
      <c r="H1586">
        <v>79</v>
      </c>
      <c r="I1586" t="s">
        <v>61</v>
      </c>
      <c r="J1586" t="s">
        <v>18</v>
      </c>
      <c r="K1586" t="s">
        <v>1769</v>
      </c>
      <c r="L1586">
        <v>363</v>
      </c>
      <c r="M1586" t="str">
        <f t="shared" si="48"/>
        <v>High</v>
      </c>
      <c r="N1586" t="str">
        <f t="shared" si="49"/>
        <v>Good</v>
      </c>
    </row>
    <row r="1587" spans="1:14">
      <c r="A1587" t="s">
        <v>68</v>
      </c>
      <c r="B1587">
        <v>2005</v>
      </c>
      <c r="C1587" t="s">
        <v>3580</v>
      </c>
      <c r="D1587" t="s">
        <v>14</v>
      </c>
      <c r="E1587" t="s">
        <v>3581</v>
      </c>
      <c r="F1587" t="s">
        <v>35</v>
      </c>
      <c r="G1587">
        <v>38.06</v>
      </c>
      <c r="H1587">
        <v>70</v>
      </c>
      <c r="I1587" t="s">
        <v>29</v>
      </c>
      <c r="J1587" t="s">
        <v>37</v>
      </c>
      <c r="K1587" t="s">
        <v>3538</v>
      </c>
      <c r="L1587">
        <v>324</v>
      </c>
      <c r="M1587" t="str">
        <f t="shared" si="48"/>
        <v>High</v>
      </c>
      <c r="N1587" t="str">
        <f t="shared" si="49"/>
        <v>Average</v>
      </c>
    </row>
    <row r="1588" spans="1:14">
      <c r="A1588" t="s">
        <v>12</v>
      </c>
      <c r="B1588">
        <v>2001</v>
      </c>
      <c r="C1588" t="s">
        <v>3582</v>
      </c>
      <c r="D1588" t="s">
        <v>14</v>
      </c>
      <c r="E1588" t="s">
        <v>3583</v>
      </c>
      <c r="F1588" t="s">
        <v>57</v>
      </c>
      <c r="G1588">
        <v>44.39</v>
      </c>
      <c r="H1588">
        <v>72</v>
      </c>
      <c r="I1588" t="s">
        <v>29</v>
      </c>
      <c r="J1588" t="s">
        <v>18</v>
      </c>
      <c r="K1588" t="s">
        <v>1944</v>
      </c>
      <c r="L1588">
        <v>42</v>
      </c>
      <c r="M1588" t="str">
        <f t="shared" si="48"/>
        <v>High</v>
      </c>
      <c r="N1588" t="str">
        <f t="shared" si="49"/>
        <v>Average</v>
      </c>
    </row>
    <row r="1589" spans="1:14">
      <c r="A1589" t="s">
        <v>31</v>
      </c>
      <c r="B1589">
        <v>2003</v>
      </c>
      <c r="C1589" t="s">
        <v>3584</v>
      </c>
      <c r="D1589" t="s">
        <v>14</v>
      </c>
      <c r="E1589" t="s">
        <v>3585</v>
      </c>
      <c r="F1589" t="s">
        <v>16</v>
      </c>
      <c r="G1589">
        <v>17.920000000000002</v>
      </c>
      <c r="H1589">
        <v>57</v>
      </c>
      <c r="I1589" t="s">
        <v>36</v>
      </c>
      <c r="J1589" t="s">
        <v>24</v>
      </c>
      <c r="K1589" t="s">
        <v>2361</v>
      </c>
      <c r="L1589">
        <v>273</v>
      </c>
      <c r="M1589" t="str">
        <f t="shared" si="48"/>
        <v>Medium</v>
      </c>
      <c r="N1589" t="str">
        <f t="shared" si="49"/>
        <v>Average</v>
      </c>
    </row>
    <row r="1590" spans="1:14">
      <c r="A1590" t="s">
        <v>26</v>
      </c>
      <c r="B1590">
        <v>2011</v>
      </c>
      <c r="C1590" t="s">
        <v>3586</v>
      </c>
      <c r="D1590" t="s">
        <v>14</v>
      </c>
      <c r="E1590" t="s">
        <v>3587</v>
      </c>
      <c r="F1590" t="s">
        <v>42</v>
      </c>
      <c r="G1590">
        <v>34.43</v>
      </c>
      <c r="H1590">
        <v>96</v>
      </c>
      <c r="I1590" t="s">
        <v>23</v>
      </c>
      <c r="J1590" t="s">
        <v>37</v>
      </c>
      <c r="K1590" t="s">
        <v>209</v>
      </c>
      <c r="L1590">
        <v>107</v>
      </c>
      <c r="M1590" t="str">
        <f t="shared" si="48"/>
        <v>Medium</v>
      </c>
      <c r="N1590" t="str">
        <f t="shared" si="49"/>
        <v>Excellent</v>
      </c>
    </row>
    <row r="1591" spans="1:14">
      <c r="A1591" t="s">
        <v>47</v>
      </c>
      <c r="B1591">
        <v>2017</v>
      </c>
      <c r="C1591" t="s">
        <v>3588</v>
      </c>
      <c r="D1591" t="s">
        <v>14</v>
      </c>
      <c r="E1591" t="s">
        <v>3589</v>
      </c>
      <c r="F1591" t="s">
        <v>46</v>
      </c>
      <c r="G1591">
        <v>7.6</v>
      </c>
      <c r="H1591">
        <v>77</v>
      </c>
      <c r="I1591" t="s">
        <v>61</v>
      </c>
      <c r="J1591" t="s">
        <v>24</v>
      </c>
      <c r="K1591" t="s">
        <v>772</v>
      </c>
      <c r="L1591">
        <v>114</v>
      </c>
      <c r="M1591" t="str">
        <f t="shared" si="48"/>
        <v>Low</v>
      </c>
      <c r="N1591" t="str">
        <f t="shared" si="49"/>
        <v>Good</v>
      </c>
    </row>
    <row r="1592" spans="1:14">
      <c r="A1592" t="s">
        <v>38</v>
      </c>
      <c r="B1592">
        <v>2024</v>
      </c>
      <c r="C1592" t="s">
        <v>3590</v>
      </c>
      <c r="D1592" t="s">
        <v>33</v>
      </c>
      <c r="E1592" t="s">
        <v>3591</v>
      </c>
      <c r="F1592" t="s">
        <v>42</v>
      </c>
      <c r="G1592">
        <v>26.21</v>
      </c>
      <c r="H1592">
        <v>83</v>
      </c>
      <c r="I1592" t="s">
        <v>17</v>
      </c>
      <c r="J1592" t="s">
        <v>24</v>
      </c>
      <c r="K1592" t="s">
        <v>1172</v>
      </c>
      <c r="L1592">
        <v>100</v>
      </c>
      <c r="M1592" t="str">
        <f t="shared" si="48"/>
        <v>Medium</v>
      </c>
      <c r="N1592" t="str">
        <f t="shared" si="49"/>
        <v>Good</v>
      </c>
    </row>
    <row r="1593" spans="1:14">
      <c r="A1593" t="s">
        <v>65</v>
      </c>
      <c r="B1593">
        <v>2025</v>
      </c>
      <c r="C1593" t="s">
        <v>3592</v>
      </c>
      <c r="D1593" t="s">
        <v>14</v>
      </c>
      <c r="E1593" t="s">
        <v>3593</v>
      </c>
      <c r="F1593" t="s">
        <v>57</v>
      </c>
      <c r="G1593">
        <v>47.31</v>
      </c>
      <c r="H1593">
        <v>96</v>
      </c>
      <c r="I1593" t="s">
        <v>29</v>
      </c>
      <c r="J1593" t="s">
        <v>24</v>
      </c>
      <c r="K1593" t="s">
        <v>26</v>
      </c>
      <c r="L1593">
        <v>94</v>
      </c>
      <c r="M1593" t="str">
        <f t="shared" si="48"/>
        <v>High</v>
      </c>
      <c r="N1593" t="str">
        <f t="shared" si="49"/>
        <v>Excellent</v>
      </c>
    </row>
    <row r="1594" spans="1:14">
      <c r="A1594" t="s">
        <v>68</v>
      </c>
      <c r="B1594">
        <v>2003</v>
      </c>
      <c r="C1594" t="s">
        <v>3594</v>
      </c>
      <c r="D1594" t="s">
        <v>14</v>
      </c>
      <c r="E1594" t="s">
        <v>3595</v>
      </c>
      <c r="F1594" t="s">
        <v>16</v>
      </c>
      <c r="G1594">
        <v>26.69</v>
      </c>
      <c r="H1594">
        <v>94</v>
      </c>
      <c r="I1594" t="s">
        <v>29</v>
      </c>
      <c r="J1594" t="s">
        <v>18</v>
      </c>
      <c r="K1594" t="s">
        <v>356</v>
      </c>
      <c r="L1594">
        <v>169</v>
      </c>
      <c r="M1594" t="str">
        <f t="shared" si="48"/>
        <v>Medium</v>
      </c>
      <c r="N1594" t="str">
        <f t="shared" si="49"/>
        <v>Excellent</v>
      </c>
    </row>
    <row r="1595" spans="1:14">
      <c r="A1595" t="s">
        <v>48</v>
      </c>
      <c r="B1595">
        <v>2022</v>
      </c>
      <c r="C1595" t="s">
        <v>3596</v>
      </c>
      <c r="D1595" t="s">
        <v>14</v>
      </c>
      <c r="E1595" t="s">
        <v>3597</v>
      </c>
      <c r="F1595" t="s">
        <v>57</v>
      </c>
      <c r="G1595">
        <v>20.239999999999998</v>
      </c>
      <c r="H1595">
        <v>70</v>
      </c>
      <c r="I1595" t="s">
        <v>61</v>
      </c>
      <c r="J1595" t="s">
        <v>24</v>
      </c>
      <c r="K1595" t="s">
        <v>2985</v>
      </c>
      <c r="L1595">
        <v>359</v>
      </c>
      <c r="M1595" t="str">
        <f t="shared" si="48"/>
        <v>Medium</v>
      </c>
      <c r="N1595" t="str">
        <f t="shared" si="49"/>
        <v>Average</v>
      </c>
    </row>
    <row r="1596" spans="1:14">
      <c r="A1596" t="s">
        <v>47</v>
      </c>
      <c r="B1596">
        <v>2009</v>
      </c>
      <c r="C1596" t="s">
        <v>3598</v>
      </c>
      <c r="D1596" t="s">
        <v>33</v>
      </c>
      <c r="E1596" t="s">
        <v>3599</v>
      </c>
      <c r="F1596" t="s">
        <v>35</v>
      </c>
      <c r="G1596">
        <v>38.24</v>
      </c>
      <c r="H1596">
        <v>81</v>
      </c>
      <c r="I1596" t="s">
        <v>61</v>
      </c>
      <c r="J1596" t="s">
        <v>18</v>
      </c>
      <c r="K1596" t="s">
        <v>232</v>
      </c>
      <c r="L1596">
        <v>237</v>
      </c>
      <c r="M1596" t="str">
        <f t="shared" si="48"/>
        <v>High</v>
      </c>
      <c r="N1596" t="str">
        <f t="shared" si="49"/>
        <v>Good</v>
      </c>
    </row>
    <row r="1597" spans="1:14">
      <c r="A1597" t="s">
        <v>65</v>
      </c>
      <c r="B1597">
        <v>2012</v>
      </c>
      <c r="C1597" t="s">
        <v>3600</v>
      </c>
      <c r="D1597" t="s">
        <v>14</v>
      </c>
      <c r="E1597" t="s">
        <v>3601</v>
      </c>
      <c r="F1597" t="s">
        <v>42</v>
      </c>
      <c r="G1597">
        <v>28.6</v>
      </c>
      <c r="H1597">
        <v>71</v>
      </c>
      <c r="I1597" t="s">
        <v>36</v>
      </c>
      <c r="J1597" t="s">
        <v>37</v>
      </c>
      <c r="K1597" t="s">
        <v>690</v>
      </c>
      <c r="L1597">
        <v>303</v>
      </c>
      <c r="M1597" t="str">
        <f t="shared" si="48"/>
        <v>Medium</v>
      </c>
      <c r="N1597" t="str">
        <f t="shared" si="49"/>
        <v>Average</v>
      </c>
    </row>
    <row r="1598" spans="1:14">
      <c r="A1598" t="s">
        <v>47</v>
      </c>
      <c r="B1598">
        <v>2012</v>
      </c>
      <c r="C1598" t="s">
        <v>3602</v>
      </c>
      <c r="D1598" t="s">
        <v>14</v>
      </c>
      <c r="E1598" t="s">
        <v>3603</v>
      </c>
      <c r="F1598" t="s">
        <v>42</v>
      </c>
      <c r="G1598">
        <v>7.46</v>
      </c>
      <c r="H1598">
        <v>72</v>
      </c>
      <c r="I1598" t="s">
        <v>17</v>
      </c>
      <c r="J1598" t="s">
        <v>24</v>
      </c>
      <c r="K1598" t="s">
        <v>1172</v>
      </c>
      <c r="L1598">
        <v>264</v>
      </c>
      <c r="M1598" t="str">
        <f t="shared" si="48"/>
        <v>Low</v>
      </c>
      <c r="N1598" t="str">
        <f t="shared" si="49"/>
        <v>Average</v>
      </c>
    </row>
    <row r="1599" spans="1:14">
      <c r="A1599" t="s">
        <v>38</v>
      </c>
      <c r="B1599">
        <v>2009</v>
      </c>
      <c r="C1599" t="s">
        <v>3604</v>
      </c>
      <c r="D1599" t="s">
        <v>33</v>
      </c>
      <c r="E1599" t="s">
        <v>3605</v>
      </c>
      <c r="F1599" t="s">
        <v>46</v>
      </c>
      <c r="G1599">
        <v>33.08</v>
      </c>
      <c r="H1599">
        <v>78</v>
      </c>
      <c r="I1599" t="s">
        <v>61</v>
      </c>
      <c r="J1599" t="s">
        <v>24</v>
      </c>
      <c r="K1599" t="s">
        <v>39</v>
      </c>
      <c r="L1599">
        <v>107</v>
      </c>
      <c r="M1599" t="str">
        <f t="shared" si="48"/>
        <v>Medium</v>
      </c>
      <c r="N1599" t="str">
        <f t="shared" si="49"/>
        <v>Good</v>
      </c>
    </row>
    <row r="1600" spans="1:14">
      <c r="A1600" t="s">
        <v>20</v>
      </c>
      <c r="B1600">
        <v>2020</v>
      </c>
      <c r="C1600" t="s">
        <v>3606</v>
      </c>
      <c r="D1600" t="s">
        <v>14</v>
      </c>
      <c r="E1600" t="s">
        <v>3607</v>
      </c>
      <c r="F1600" t="s">
        <v>46</v>
      </c>
      <c r="G1600">
        <v>26.06</v>
      </c>
      <c r="H1600">
        <v>62</v>
      </c>
      <c r="I1600" t="s">
        <v>17</v>
      </c>
      <c r="J1600" t="s">
        <v>37</v>
      </c>
      <c r="K1600" t="s">
        <v>157</v>
      </c>
      <c r="L1600">
        <v>108</v>
      </c>
      <c r="M1600" t="str">
        <f t="shared" si="48"/>
        <v>Medium</v>
      </c>
      <c r="N1600" t="str">
        <f t="shared" si="49"/>
        <v>Average</v>
      </c>
    </row>
    <row r="1601" spans="1:14">
      <c r="A1601" t="s">
        <v>39</v>
      </c>
      <c r="B1601">
        <v>2020</v>
      </c>
      <c r="C1601" t="s">
        <v>3608</v>
      </c>
      <c r="D1601" t="s">
        <v>14</v>
      </c>
      <c r="E1601" t="s">
        <v>3609</v>
      </c>
      <c r="F1601" t="s">
        <v>42</v>
      </c>
      <c r="G1601">
        <v>27.77</v>
      </c>
      <c r="H1601">
        <v>71</v>
      </c>
      <c r="I1601" t="s">
        <v>61</v>
      </c>
      <c r="J1601" t="s">
        <v>24</v>
      </c>
      <c r="K1601" t="s">
        <v>39</v>
      </c>
      <c r="L1601">
        <v>140</v>
      </c>
      <c r="M1601" t="str">
        <f t="shared" si="48"/>
        <v>Medium</v>
      </c>
      <c r="N1601" t="str">
        <f t="shared" si="49"/>
        <v>Average</v>
      </c>
    </row>
    <row r="1602" spans="1:14">
      <c r="A1602" t="s">
        <v>12</v>
      </c>
      <c r="B1602">
        <v>2002</v>
      </c>
      <c r="C1602" t="s">
        <v>3610</v>
      </c>
      <c r="D1602" t="s">
        <v>14</v>
      </c>
      <c r="E1602" t="s">
        <v>3611</v>
      </c>
      <c r="F1602" t="s">
        <v>57</v>
      </c>
      <c r="G1602">
        <v>25.52</v>
      </c>
      <c r="H1602">
        <v>79</v>
      </c>
      <c r="I1602" t="s">
        <v>17</v>
      </c>
      <c r="J1602" t="s">
        <v>37</v>
      </c>
      <c r="K1602" t="s">
        <v>48</v>
      </c>
      <c r="L1602">
        <v>267</v>
      </c>
      <c r="M1602" t="str">
        <f t="shared" si="48"/>
        <v>Medium</v>
      </c>
      <c r="N1602" t="str">
        <f t="shared" si="49"/>
        <v>Good</v>
      </c>
    </row>
    <row r="1603" spans="1:14">
      <c r="A1603" t="s">
        <v>31</v>
      </c>
      <c r="B1603">
        <v>2023</v>
      </c>
      <c r="C1603" t="s">
        <v>3612</v>
      </c>
      <c r="D1603" t="s">
        <v>14</v>
      </c>
      <c r="E1603" t="s">
        <v>3613</v>
      </c>
      <c r="F1603" t="s">
        <v>16</v>
      </c>
      <c r="G1603">
        <v>23.65</v>
      </c>
      <c r="H1603">
        <v>59</v>
      </c>
      <c r="I1603" t="s">
        <v>36</v>
      </c>
      <c r="J1603" t="s">
        <v>37</v>
      </c>
      <c r="K1603" t="s">
        <v>548</v>
      </c>
      <c r="L1603">
        <v>344</v>
      </c>
      <c r="M1603" t="str">
        <f t="shared" ref="M1603:M1666" si="50">IF(G1603&lt;15,"Low",IF(G1603&lt;35,"Medium","High"))</f>
        <v>Medium</v>
      </c>
      <c r="N1603" t="str">
        <f t="shared" ref="N1603:N1666" si="51">IF(H1603&gt;=90,"Excellent",IF(H1603&gt;=75,"Good","Average"))</f>
        <v>Average</v>
      </c>
    </row>
    <row r="1604" spans="1:14">
      <c r="A1604" t="s">
        <v>39</v>
      </c>
      <c r="B1604">
        <v>2010</v>
      </c>
      <c r="C1604" t="s">
        <v>3614</v>
      </c>
      <c r="D1604" t="s">
        <v>14</v>
      </c>
      <c r="E1604" t="s">
        <v>3615</v>
      </c>
      <c r="F1604" t="s">
        <v>35</v>
      </c>
      <c r="G1604">
        <v>38.21</v>
      </c>
      <c r="H1604">
        <v>96</v>
      </c>
      <c r="I1604" t="s">
        <v>61</v>
      </c>
      <c r="J1604" t="s">
        <v>24</v>
      </c>
      <c r="K1604" t="s">
        <v>232</v>
      </c>
      <c r="L1604">
        <v>222</v>
      </c>
      <c r="M1604" t="str">
        <f t="shared" si="50"/>
        <v>High</v>
      </c>
      <c r="N1604" t="str">
        <f t="shared" si="51"/>
        <v>Excellent</v>
      </c>
    </row>
    <row r="1605" spans="1:14">
      <c r="A1605" t="s">
        <v>26</v>
      </c>
      <c r="B1605">
        <v>2011</v>
      </c>
      <c r="C1605" t="s">
        <v>3616</v>
      </c>
      <c r="D1605" t="s">
        <v>33</v>
      </c>
      <c r="E1605" t="s">
        <v>3617</v>
      </c>
      <c r="F1605" t="s">
        <v>46</v>
      </c>
      <c r="G1605">
        <v>35.44</v>
      </c>
      <c r="H1605">
        <v>63</v>
      </c>
      <c r="I1605" t="s">
        <v>17</v>
      </c>
      <c r="J1605" t="s">
        <v>37</v>
      </c>
      <c r="K1605" t="s">
        <v>739</v>
      </c>
      <c r="L1605">
        <v>174</v>
      </c>
      <c r="M1605" t="str">
        <f t="shared" si="50"/>
        <v>High</v>
      </c>
      <c r="N1605" t="str">
        <f t="shared" si="51"/>
        <v>Average</v>
      </c>
    </row>
    <row r="1606" spans="1:14">
      <c r="A1606" t="s">
        <v>65</v>
      </c>
      <c r="B1606">
        <v>2002</v>
      </c>
      <c r="C1606" t="s">
        <v>3618</v>
      </c>
      <c r="D1606" t="s">
        <v>33</v>
      </c>
      <c r="E1606" t="s">
        <v>3619</v>
      </c>
      <c r="F1606" t="s">
        <v>46</v>
      </c>
      <c r="G1606">
        <v>16.670000000000002</v>
      </c>
      <c r="H1606">
        <v>60</v>
      </c>
      <c r="I1606" t="s">
        <v>36</v>
      </c>
      <c r="J1606" t="s">
        <v>24</v>
      </c>
      <c r="K1606" t="s">
        <v>2685</v>
      </c>
      <c r="L1606">
        <v>305</v>
      </c>
      <c r="M1606" t="str">
        <f t="shared" si="50"/>
        <v>Medium</v>
      </c>
      <c r="N1606" t="str">
        <f t="shared" si="51"/>
        <v>Average</v>
      </c>
    </row>
    <row r="1607" spans="1:14">
      <c r="A1607" t="s">
        <v>47</v>
      </c>
      <c r="B1607">
        <v>2001</v>
      </c>
      <c r="C1607" t="s">
        <v>3620</v>
      </c>
      <c r="D1607" t="s">
        <v>14</v>
      </c>
      <c r="E1607" t="s">
        <v>3621</v>
      </c>
      <c r="F1607" t="s">
        <v>57</v>
      </c>
      <c r="G1607">
        <v>38.67</v>
      </c>
      <c r="H1607">
        <v>97</v>
      </c>
      <c r="I1607" t="s">
        <v>36</v>
      </c>
      <c r="J1607" t="s">
        <v>18</v>
      </c>
      <c r="K1607" t="s">
        <v>292</v>
      </c>
      <c r="L1607">
        <v>215</v>
      </c>
      <c r="M1607" t="str">
        <f t="shared" si="50"/>
        <v>High</v>
      </c>
      <c r="N1607" t="str">
        <f t="shared" si="51"/>
        <v>Excellent</v>
      </c>
    </row>
    <row r="1608" spans="1:14">
      <c r="A1608" t="s">
        <v>39</v>
      </c>
      <c r="B1608">
        <v>2008</v>
      </c>
      <c r="C1608" t="s">
        <v>3622</v>
      </c>
      <c r="D1608" t="s">
        <v>14</v>
      </c>
      <c r="E1608" t="s">
        <v>3623</v>
      </c>
      <c r="F1608" t="s">
        <v>57</v>
      </c>
      <c r="G1608">
        <v>15.32</v>
      </c>
      <c r="H1608">
        <v>82</v>
      </c>
      <c r="I1608" t="s">
        <v>36</v>
      </c>
      <c r="J1608" t="s">
        <v>37</v>
      </c>
      <c r="K1608" t="s">
        <v>97</v>
      </c>
      <c r="L1608">
        <v>66</v>
      </c>
      <c r="M1608" t="str">
        <f t="shared" si="50"/>
        <v>Medium</v>
      </c>
      <c r="N1608" t="str">
        <f t="shared" si="51"/>
        <v>Good</v>
      </c>
    </row>
    <row r="1609" spans="1:14">
      <c r="A1609" t="s">
        <v>38</v>
      </c>
      <c r="B1609">
        <v>2018</v>
      </c>
      <c r="C1609" t="s">
        <v>3624</v>
      </c>
      <c r="D1609" t="s">
        <v>14</v>
      </c>
      <c r="E1609" t="s">
        <v>3625</v>
      </c>
      <c r="F1609" t="s">
        <v>46</v>
      </c>
      <c r="G1609">
        <v>18.61</v>
      </c>
      <c r="H1609">
        <v>82</v>
      </c>
      <c r="I1609" t="s">
        <v>17</v>
      </c>
      <c r="J1609" t="s">
        <v>24</v>
      </c>
      <c r="K1609" t="s">
        <v>64</v>
      </c>
      <c r="L1609">
        <v>218</v>
      </c>
      <c r="M1609" t="str">
        <f t="shared" si="50"/>
        <v>Medium</v>
      </c>
      <c r="N1609" t="str">
        <f t="shared" si="51"/>
        <v>Good</v>
      </c>
    </row>
    <row r="1610" spans="1:14">
      <c r="A1610" t="s">
        <v>65</v>
      </c>
      <c r="B1610">
        <v>2004</v>
      </c>
      <c r="C1610" t="s">
        <v>3626</v>
      </c>
      <c r="D1610" t="s">
        <v>14</v>
      </c>
      <c r="E1610" t="s">
        <v>3627</v>
      </c>
      <c r="F1610" t="s">
        <v>42</v>
      </c>
      <c r="G1610">
        <v>18.28</v>
      </c>
      <c r="H1610">
        <v>87</v>
      </c>
      <c r="I1610" t="s">
        <v>36</v>
      </c>
      <c r="J1610" t="s">
        <v>18</v>
      </c>
      <c r="K1610" t="s">
        <v>68</v>
      </c>
      <c r="L1610">
        <v>168</v>
      </c>
      <c r="M1610" t="str">
        <f t="shared" si="50"/>
        <v>Medium</v>
      </c>
      <c r="N1610" t="str">
        <f t="shared" si="51"/>
        <v>Good</v>
      </c>
    </row>
    <row r="1611" spans="1:14">
      <c r="A1611" t="s">
        <v>31</v>
      </c>
      <c r="B1611">
        <v>2010</v>
      </c>
      <c r="C1611" t="s">
        <v>3628</v>
      </c>
      <c r="D1611" t="s">
        <v>14</v>
      </c>
      <c r="E1611" t="s">
        <v>3629</v>
      </c>
      <c r="F1611" t="s">
        <v>16</v>
      </c>
      <c r="G1611">
        <v>18.84</v>
      </c>
      <c r="H1611">
        <v>64</v>
      </c>
      <c r="I1611" t="s">
        <v>61</v>
      </c>
      <c r="J1611" t="s">
        <v>37</v>
      </c>
      <c r="K1611" t="s">
        <v>39</v>
      </c>
      <c r="L1611">
        <v>196</v>
      </c>
      <c r="M1611" t="str">
        <f t="shared" si="50"/>
        <v>Medium</v>
      </c>
      <c r="N1611" t="str">
        <f t="shared" si="51"/>
        <v>Average</v>
      </c>
    </row>
    <row r="1612" spans="1:14">
      <c r="A1612" t="s">
        <v>39</v>
      </c>
      <c r="B1612">
        <v>2016</v>
      </c>
      <c r="C1612" t="s">
        <v>3630</v>
      </c>
      <c r="D1612" t="s">
        <v>33</v>
      </c>
      <c r="E1612" t="s">
        <v>3631</v>
      </c>
      <c r="F1612" t="s">
        <v>16</v>
      </c>
      <c r="G1612">
        <v>26.3</v>
      </c>
      <c r="H1612">
        <v>56</v>
      </c>
      <c r="I1612" t="s">
        <v>17</v>
      </c>
      <c r="J1612" t="s">
        <v>24</v>
      </c>
      <c r="K1612" t="s">
        <v>229</v>
      </c>
      <c r="L1612">
        <v>301</v>
      </c>
      <c r="M1612" t="str">
        <f t="shared" si="50"/>
        <v>Medium</v>
      </c>
      <c r="N1612" t="str">
        <f t="shared" si="51"/>
        <v>Average</v>
      </c>
    </row>
    <row r="1613" spans="1:14">
      <c r="A1613" t="s">
        <v>20</v>
      </c>
      <c r="B1613">
        <v>2010</v>
      </c>
      <c r="C1613" t="s">
        <v>3632</v>
      </c>
      <c r="D1613" t="s">
        <v>14</v>
      </c>
      <c r="E1613" t="s">
        <v>3633</v>
      </c>
      <c r="F1613" t="s">
        <v>16</v>
      </c>
      <c r="G1613">
        <v>13.3</v>
      </c>
      <c r="H1613">
        <v>75</v>
      </c>
      <c r="I1613" t="s">
        <v>17</v>
      </c>
      <c r="J1613" t="s">
        <v>37</v>
      </c>
      <c r="K1613" t="s">
        <v>31</v>
      </c>
      <c r="L1613">
        <v>346</v>
      </c>
      <c r="M1613" t="str">
        <f t="shared" si="50"/>
        <v>Low</v>
      </c>
      <c r="N1613" t="str">
        <f t="shared" si="51"/>
        <v>Good</v>
      </c>
    </row>
    <row r="1614" spans="1:14">
      <c r="A1614" t="s">
        <v>39</v>
      </c>
      <c r="B1614">
        <v>2012</v>
      </c>
      <c r="C1614" t="s">
        <v>3634</v>
      </c>
      <c r="D1614" t="s">
        <v>33</v>
      </c>
      <c r="E1614" t="s">
        <v>3635</v>
      </c>
      <c r="F1614" t="s">
        <v>16</v>
      </c>
      <c r="G1614">
        <v>48.23</v>
      </c>
      <c r="H1614">
        <v>95</v>
      </c>
      <c r="I1614" t="s">
        <v>36</v>
      </c>
      <c r="J1614" t="s">
        <v>18</v>
      </c>
      <c r="K1614" t="s">
        <v>217</v>
      </c>
      <c r="L1614">
        <v>300</v>
      </c>
      <c r="M1614" t="str">
        <f t="shared" si="50"/>
        <v>High</v>
      </c>
      <c r="N1614" t="str">
        <f t="shared" si="51"/>
        <v>Excellent</v>
      </c>
    </row>
    <row r="1615" spans="1:14">
      <c r="A1615" t="s">
        <v>12</v>
      </c>
      <c r="B1615">
        <v>2016</v>
      </c>
      <c r="C1615" t="s">
        <v>3636</v>
      </c>
      <c r="D1615" t="s">
        <v>14</v>
      </c>
      <c r="E1615" t="s">
        <v>3637</v>
      </c>
      <c r="F1615" t="s">
        <v>16</v>
      </c>
      <c r="G1615">
        <v>27.98</v>
      </c>
      <c r="H1615">
        <v>78</v>
      </c>
      <c r="I1615" t="s">
        <v>17</v>
      </c>
      <c r="J1615" t="s">
        <v>24</v>
      </c>
      <c r="K1615" t="s">
        <v>2653</v>
      </c>
      <c r="L1615">
        <v>359</v>
      </c>
      <c r="M1615" t="str">
        <f t="shared" si="50"/>
        <v>Medium</v>
      </c>
      <c r="N1615" t="str">
        <f t="shared" si="51"/>
        <v>Good</v>
      </c>
    </row>
    <row r="1616" spans="1:14">
      <c r="A1616" t="s">
        <v>68</v>
      </c>
      <c r="B1616">
        <v>2011</v>
      </c>
      <c r="C1616" t="s">
        <v>3638</v>
      </c>
      <c r="D1616" t="s">
        <v>33</v>
      </c>
      <c r="E1616" t="s">
        <v>3639</v>
      </c>
      <c r="F1616" t="s">
        <v>42</v>
      </c>
      <c r="G1616">
        <v>21.16</v>
      </c>
      <c r="H1616">
        <v>78</v>
      </c>
      <c r="I1616" t="s">
        <v>61</v>
      </c>
      <c r="J1616" t="s">
        <v>18</v>
      </c>
      <c r="K1616" t="s">
        <v>3640</v>
      </c>
      <c r="L1616">
        <v>170</v>
      </c>
      <c r="M1616" t="str">
        <f t="shared" si="50"/>
        <v>Medium</v>
      </c>
      <c r="N1616" t="str">
        <f t="shared" si="51"/>
        <v>Good</v>
      </c>
    </row>
    <row r="1617" spans="1:14">
      <c r="A1617" t="s">
        <v>26</v>
      </c>
      <c r="B1617">
        <v>2018</v>
      </c>
      <c r="C1617" t="s">
        <v>3641</v>
      </c>
      <c r="D1617" t="s">
        <v>14</v>
      </c>
      <c r="E1617" t="s">
        <v>3642</v>
      </c>
      <c r="F1617" t="s">
        <v>35</v>
      </c>
      <c r="G1617">
        <v>8.9499999999999993</v>
      </c>
      <c r="H1617">
        <v>56</v>
      </c>
      <c r="I1617" t="s">
        <v>23</v>
      </c>
      <c r="J1617" t="s">
        <v>24</v>
      </c>
      <c r="K1617" t="s">
        <v>39</v>
      </c>
      <c r="L1617">
        <v>89</v>
      </c>
      <c r="M1617" t="str">
        <f t="shared" si="50"/>
        <v>Low</v>
      </c>
      <c r="N1617" t="str">
        <f t="shared" si="51"/>
        <v>Average</v>
      </c>
    </row>
    <row r="1618" spans="1:14">
      <c r="A1618" t="s">
        <v>68</v>
      </c>
      <c r="B1618">
        <v>2002</v>
      </c>
      <c r="C1618" t="s">
        <v>3643</v>
      </c>
      <c r="D1618" t="s">
        <v>33</v>
      </c>
      <c r="E1618" t="s">
        <v>3644</v>
      </c>
      <c r="F1618" t="s">
        <v>16</v>
      </c>
      <c r="G1618">
        <v>26.05</v>
      </c>
      <c r="H1618">
        <v>79</v>
      </c>
      <c r="I1618" t="s">
        <v>61</v>
      </c>
      <c r="J1618" t="s">
        <v>18</v>
      </c>
      <c r="K1618" t="s">
        <v>31</v>
      </c>
      <c r="L1618">
        <v>193</v>
      </c>
      <c r="M1618" t="str">
        <f t="shared" si="50"/>
        <v>Medium</v>
      </c>
      <c r="N1618" t="str">
        <f t="shared" si="51"/>
        <v>Good</v>
      </c>
    </row>
    <row r="1619" spans="1:14">
      <c r="A1619" t="s">
        <v>12</v>
      </c>
      <c r="B1619">
        <v>2014</v>
      </c>
      <c r="C1619" t="s">
        <v>3645</v>
      </c>
      <c r="D1619" t="s">
        <v>33</v>
      </c>
      <c r="E1619" t="s">
        <v>3646</v>
      </c>
      <c r="F1619" t="s">
        <v>35</v>
      </c>
      <c r="G1619">
        <v>27.71</v>
      </c>
      <c r="H1619">
        <v>64</v>
      </c>
      <c r="I1619" t="s">
        <v>29</v>
      </c>
      <c r="J1619" t="s">
        <v>18</v>
      </c>
      <c r="K1619" t="s">
        <v>3647</v>
      </c>
      <c r="L1619">
        <v>230</v>
      </c>
      <c r="M1619" t="str">
        <f t="shared" si="50"/>
        <v>Medium</v>
      </c>
      <c r="N1619" t="str">
        <f t="shared" si="51"/>
        <v>Average</v>
      </c>
    </row>
    <row r="1620" spans="1:14">
      <c r="A1620" t="s">
        <v>39</v>
      </c>
      <c r="B1620">
        <v>2003</v>
      </c>
      <c r="C1620" t="s">
        <v>3648</v>
      </c>
      <c r="D1620" t="s">
        <v>14</v>
      </c>
      <c r="E1620" t="s">
        <v>3649</v>
      </c>
      <c r="F1620" t="s">
        <v>42</v>
      </c>
      <c r="G1620">
        <v>49.91</v>
      </c>
      <c r="H1620">
        <v>100</v>
      </c>
      <c r="I1620" t="s">
        <v>29</v>
      </c>
      <c r="J1620" t="s">
        <v>37</v>
      </c>
      <c r="K1620" t="s">
        <v>3650</v>
      </c>
      <c r="L1620">
        <v>105</v>
      </c>
      <c r="M1620" t="str">
        <f t="shared" si="50"/>
        <v>High</v>
      </c>
      <c r="N1620" t="str">
        <f t="shared" si="51"/>
        <v>Excellent</v>
      </c>
    </row>
    <row r="1621" spans="1:14">
      <c r="A1621" t="s">
        <v>39</v>
      </c>
      <c r="B1621">
        <v>2006</v>
      </c>
      <c r="C1621" t="s">
        <v>3651</v>
      </c>
      <c r="D1621" t="s">
        <v>14</v>
      </c>
      <c r="E1621" t="s">
        <v>3652</v>
      </c>
      <c r="F1621" t="s">
        <v>42</v>
      </c>
      <c r="G1621">
        <v>6.59</v>
      </c>
      <c r="H1621">
        <v>99</v>
      </c>
      <c r="I1621" t="s">
        <v>61</v>
      </c>
      <c r="J1621" t="s">
        <v>18</v>
      </c>
      <c r="K1621" t="s">
        <v>417</v>
      </c>
      <c r="L1621">
        <v>97</v>
      </c>
      <c r="M1621" t="str">
        <f t="shared" si="50"/>
        <v>Low</v>
      </c>
      <c r="N1621" t="str">
        <f t="shared" si="51"/>
        <v>Excellent</v>
      </c>
    </row>
    <row r="1622" spans="1:14">
      <c r="A1622" t="s">
        <v>31</v>
      </c>
      <c r="B1622">
        <v>2006</v>
      </c>
      <c r="C1622" t="s">
        <v>3653</v>
      </c>
      <c r="D1622" t="s">
        <v>33</v>
      </c>
      <c r="E1622" t="s">
        <v>3654</v>
      </c>
      <c r="F1622" t="s">
        <v>16</v>
      </c>
      <c r="G1622">
        <v>35.590000000000003</v>
      </c>
      <c r="H1622">
        <v>96</v>
      </c>
      <c r="I1622" t="s">
        <v>29</v>
      </c>
      <c r="J1622" t="s">
        <v>18</v>
      </c>
      <c r="K1622" t="s">
        <v>2243</v>
      </c>
      <c r="L1622">
        <v>198</v>
      </c>
      <c r="M1622" t="str">
        <f t="shared" si="50"/>
        <v>High</v>
      </c>
      <c r="N1622" t="str">
        <f t="shared" si="51"/>
        <v>Excellent</v>
      </c>
    </row>
    <row r="1623" spans="1:14">
      <c r="A1623" t="s">
        <v>12</v>
      </c>
      <c r="B1623">
        <v>2024</v>
      </c>
      <c r="C1623" t="s">
        <v>3655</v>
      </c>
      <c r="D1623" t="s">
        <v>33</v>
      </c>
      <c r="E1623" t="s">
        <v>3656</v>
      </c>
      <c r="F1623" t="s">
        <v>42</v>
      </c>
      <c r="G1623">
        <v>44.57</v>
      </c>
      <c r="H1623">
        <v>67</v>
      </c>
      <c r="I1623" t="s">
        <v>17</v>
      </c>
      <c r="J1623" t="s">
        <v>24</v>
      </c>
      <c r="K1623" t="s">
        <v>1172</v>
      </c>
      <c r="L1623">
        <v>137</v>
      </c>
      <c r="M1623" t="str">
        <f t="shared" si="50"/>
        <v>High</v>
      </c>
      <c r="N1623" t="str">
        <f t="shared" si="51"/>
        <v>Average</v>
      </c>
    </row>
    <row r="1624" spans="1:14">
      <c r="A1624" t="s">
        <v>68</v>
      </c>
      <c r="B1624">
        <v>2001</v>
      </c>
      <c r="C1624" t="s">
        <v>3657</v>
      </c>
      <c r="D1624" t="s">
        <v>14</v>
      </c>
      <c r="E1624" t="s">
        <v>3658</v>
      </c>
      <c r="F1624" t="s">
        <v>35</v>
      </c>
      <c r="G1624">
        <v>31.53</v>
      </c>
      <c r="H1624">
        <v>52</v>
      </c>
      <c r="I1624" t="s">
        <v>36</v>
      </c>
      <c r="J1624" t="s">
        <v>24</v>
      </c>
      <c r="K1624" t="s">
        <v>31</v>
      </c>
      <c r="L1624">
        <v>142</v>
      </c>
      <c r="M1624" t="str">
        <f t="shared" si="50"/>
        <v>Medium</v>
      </c>
      <c r="N1624" t="str">
        <f t="shared" si="51"/>
        <v>Average</v>
      </c>
    </row>
    <row r="1625" spans="1:14">
      <c r="A1625" t="s">
        <v>31</v>
      </c>
      <c r="B1625">
        <v>2018</v>
      </c>
      <c r="C1625" t="s">
        <v>3659</v>
      </c>
      <c r="D1625" t="s">
        <v>33</v>
      </c>
      <c r="E1625" t="s">
        <v>3660</v>
      </c>
      <c r="F1625" t="s">
        <v>46</v>
      </c>
      <c r="G1625">
        <v>45.4</v>
      </c>
      <c r="H1625">
        <v>53</v>
      </c>
      <c r="I1625" t="s">
        <v>29</v>
      </c>
      <c r="J1625" t="s">
        <v>24</v>
      </c>
      <c r="K1625" t="s">
        <v>1743</v>
      </c>
      <c r="L1625">
        <v>165</v>
      </c>
      <c r="M1625" t="str">
        <f t="shared" si="50"/>
        <v>High</v>
      </c>
      <c r="N1625" t="str">
        <f t="shared" si="51"/>
        <v>Average</v>
      </c>
    </row>
    <row r="1626" spans="1:14">
      <c r="A1626" t="s">
        <v>39</v>
      </c>
      <c r="B1626">
        <v>2018</v>
      </c>
      <c r="C1626" t="s">
        <v>3661</v>
      </c>
      <c r="D1626" t="s">
        <v>33</v>
      </c>
      <c r="E1626" t="s">
        <v>3662</v>
      </c>
      <c r="F1626" t="s">
        <v>46</v>
      </c>
      <c r="G1626">
        <v>24.29</v>
      </c>
      <c r="H1626">
        <v>64</v>
      </c>
      <c r="I1626" t="s">
        <v>61</v>
      </c>
      <c r="J1626" t="s">
        <v>18</v>
      </c>
      <c r="K1626" t="s">
        <v>3663</v>
      </c>
      <c r="L1626">
        <v>280</v>
      </c>
      <c r="M1626" t="str">
        <f t="shared" si="50"/>
        <v>Medium</v>
      </c>
      <c r="N1626" t="str">
        <f t="shared" si="51"/>
        <v>Average</v>
      </c>
    </row>
    <row r="1627" spans="1:14">
      <c r="A1627" t="s">
        <v>38</v>
      </c>
      <c r="B1627">
        <v>2005</v>
      </c>
      <c r="C1627" t="s">
        <v>3664</v>
      </c>
      <c r="D1627" t="s">
        <v>14</v>
      </c>
      <c r="E1627" t="s">
        <v>3665</v>
      </c>
      <c r="F1627" t="s">
        <v>42</v>
      </c>
      <c r="G1627">
        <v>28.21</v>
      </c>
      <c r="H1627">
        <v>63</v>
      </c>
      <c r="I1627" t="s">
        <v>36</v>
      </c>
      <c r="J1627" t="s">
        <v>37</v>
      </c>
      <c r="K1627" t="s">
        <v>65</v>
      </c>
      <c r="L1627">
        <v>313</v>
      </c>
      <c r="M1627" t="str">
        <f t="shared" si="50"/>
        <v>Medium</v>
      </c>
      <c r="N1627" t="str">
        <f t="shared" si="51"/>
        <v>Average</v>
      </c>
    </row>
    <row r="1628" spans="1:14">
      <c r="A1628" t="s">
        <v>20</v>
      </c>
      <c r="B1628">
        <v>2011</v>
      </c>
      <c r="C1628" t="s">
        <v>3666</v>
      </c>
      <c r="D1628" t="s">
        <v>33</v>
      </c>
      <c r="E1628" t="s">
        <v>3667</v>
      </c>
      <c r="F1628" t="s">
        <v>16</v>
      </c>
      <c r="G1628">
        <v>32.72</v>
      </c>
      <c r="H1628">
        <v>74</v>
      </c>
      <c r="I1628" t="s">
        <v>17</v>
      </c>
      <c r="J1628" t="s">
        <v>37</v>
      </c>
      <c r="K1628" t="s">
        <v>508</v>
      </c>
      <c r="L1628">
        <v>45</v>
      </c>
      <c r="M1628" t="str">
        <f t="shared" si="50"/>
        <v>Medium</v>
      </c>
      <c r="N1628" t="str">
        <f t="shared" si="51"/>
        <v>Average</v>
      </c>
    </row>
    <row r="1629" spans="1:14">
      <c r="A1629" t="s">
        <v>65</v>
      </c>
      <c r="B1629">
        <v>2002</v>
      </c>
      <c r="C1629" t="s">
        <v>3668</v>
      </c>
      <c r="D1629" t="s">
        <v>14</v>
      </c>
      <c r="E1629" t="s">
        <v>3669</v>
      </c>
      <c r="F1629" t="s">
        <v>16</v>
      </c>
      <c r="G1629">
        <v>41.26</v>
      </c>
      <c r="H1629">
        <v>57</v>
      </c>
      <c r="I1629" t="s">
        <v>36</v>
      </c>
      <c r="J1629" t="s">
        <v>18</v>
      </c>
      <c r="K1629" t="s">
        <v>3670</v>
      </c>
      <c r="L1629">
        <v>127</v>
      </c>
      <c r="M1629" t="str">
        <f t="shared" si="50"/>
        <v>High</v>
      </c>
      <c r="N1629" t="str">
        <f t="shared" si="51"/>
        <v>Average</v>
      </c>
    </row>
    <row r="1630" spans="1:14">
      <c r="A1630" t="s">
        <v>31</v>
      </c>
      <c r="B1630">
        <v>2023</v>
      </c>
      <c r="C1630" t="s">
        <v>3671</v>
      </c>
      <c r="D1630" t="s">
        <v>14</v>
      </c>
      <c r="E1630" t="s">
        <v>3672</v>
      </c>
      <c r="F1630" t="s">
        <v>46</v>
      </c>
      <c r="G1630">
        <v>1.91</v>
      </c>
      <c r="H1630">
        <v>56</v>
      </c>
      <c r="I1630" t="s">
        <v>17</v>
      </c>
      <c r="J1630" t="s">
        <v>18</v>
      </c>
      <c r="K1630" t="s">
        <v>39</v>
      </c>
      <c r="L1630">
        <v>306</v>
      </c>
      <c r="M1630" t="str">
        <f t="shared" si="50"/>
        <v>Low</v>
      </c>
      <c r="N1630" t="str">
        <f t="shared" si="51"/>
        <v>Average</v>
      </c>
    </row>
    <row r="1631" spans="1:14">
      <c r="A1631" t="s">
        <v>12</v>
      </c>
      <c r="B1631">
        <v>2012</v>
      </c>
      <c r="C1631" t="s">
        <v>3673</v>
      </c>
      <c r="D1631" t="s">
        <v>14</v>
      </c>
      <c r="E1631" t="s">
        <v>3674</v>
      </c>
      <c r="F1631" t="s">
        <v>16</v>
      </c>
      <c r="G1631">
        <v>11.05</v>
      </c>
      <c r="H1631">
        <v>65</v>
      </c>
      <c r="I1631" t="s">
        <v>29</v>
      </c>
      <c r="J1631" t="s">
        <v>18</v>
      </c>
      <c r="K1631" t="s">
        <v>173</v>
      </c>
      <c r="L1631">
        <v>339</v>
      </c>
      <c r="M1631" t="str">
        <f t="shared" si="50"/>
        <v>Low</v>
      </c>
      <c r="N1631" t="str">
        <f t="shared" si="51"/>
        <v>Average</v>
      </c>
    </row>
    <row r="1632" spans="1:14">
      <c r="A1632" t="s">
        <v>38</v>
      </c>
      <c r="B1632">
        <v>2017</v>
      </c>
      <c r="C1632" t="s">
        <v>3675</v>
      </c>
      <c r="D1632" t="s">
        <v>33</v>
      </c>
      <c r="E1632" t="s">
        <v>1649</v>
      </c>
      <c r="F1632" t="s">
        <v>16</v>
      </c>
      <c r="G1632">
        <v>49.92</v>
      </c>
      <c r="H1632">
        <v>67</v>
      </c>
      <c r="I1632" t="s">
        <v>23</v>
      </c>
      <c r="J1632" t="s">
        <v>24</v>
      </c>
      <c r="K1632" t="s">
        <v>574</v>
      </c>
      <c r="L1632">
        <v>223</v>
      </c>
      <c r="M1632" t="str">
        <f t="shared" si="50"/>
        <v>High</v>
      </c>
      <c r="N1632" t="str">
        <f t="shared" si="51"/>
        <v>Average</v>
      </c>
    </row>
    <row r="1633" spans="1:14">
      <c r="A1633" t="s">
        <v>65</v>
      </c>
      <c r="B1633">
        <v>2011</v>
      </c>
      <c r="C1633" t="s">
        <v>3676</v>
      </c>
      <c r="D1633" t="s">
        <v>14</v>
      </c>
      <c r="E1633" t="s">
        <v>3677</v>
      </c>
      <c r="F1633" t="s">
        <v>35</v>
      </c>
      <c r="G1633">
        <v>45.7</v>
      </c>
      <c r="H1633">
        <v>56</v>
      </c>
      <c r="I1633" t="s">
        <v>36</v>
      </c>
      <c r="J1633" t="s">
        <v>24</v>
      </c>
      <c r="K1633" t="s">
        <v>335</v>
      </c>
      <c r="L1633">
        <v>195</v>
      </c>
      <c r="M1633" t="str">
        <f t="shared" si="50"/>
        <v>High</v>
      </c>
      <c r="N1633" t="str">
        <f t="shared" si="51"/>
        <v>Average</v>
      </c>
    </row>
    <row r="1634" spans="1:14">
      <c r="A1634" t="s">
        <v>38</v>
      </c>
      <c r="B1634">
        <v>2009</v>
      </c>
      <c r="C1634" t="s">
        <v>3678</v>
      </c>
      <c r="D1634" t="s">
        <v>14</v>
      </c>
      <c r="E1634" t="s">
        <v>3679</v>
      </c>
      <c r="F1634" t="s">
        <v>16</v>
      </c>
      <c r="G1634">
        <v>28.36</v>
      </c>
      <c r="H1634">
        <v>92</v>
      </c>
      <c r="I1634" t="s">
        <v>36</v>
      </c>
      <c r="J1634" t="s">
        <v>18</v>
      </c>
      <c r="K1634" t="s">
        <v>2020</v>
      </c>
      <c r="L1634">
        <v>48</v>
      </c>
      <c r="M1634" t="str">
        <f t="shared" si="50"/>
        <v>Medium</v>
      </c>
      <c r="N1634" t="str">
        <f t="shared" si="51"/>
        <v>Excellent</v>
      </c>
    </row>
    <row r="1635" spans="1:14">
      <c r="A1635" t="s">
        <v>48</v>
      </c>
      <c r="B1635">
        <v>2000</v>
      </c>
      <c r="C1635" t="s">
        <v>3680</v>
      </c>
      <c r="D1635" t="s">
        <v>33</v>
      </c>
      <c r="E1635" t="s">
        <v>3681</v>
      </c>
      <c r="F1635" t="s">
        <v>16</v>
      </c>
      <c r="G1635">
        <v>40.799999999999997</v>
      </c>
      <c r="H1635">
        <v>53</v>
      </c>
      <c r="I1635" t="s">
        <v>61</v>
      </c>
      <c r="J1635" t="s">
        <v>18</v>
      </c>
      <c r="K1635" t="s">
        <v>311</v>
      </c>
      <c r="L1635">
        <v>271</v>
      </c>
      <c r="M1635" t="str">
        <f t="shared" si="50"/>
        <v>High</v>
      </c>
      <c r="N1635" t="str">
        <f t="shared" si="51"/>
        <v>Average</v>
      </c>
    </row>
    <row r="1636" spans="1:14">
      <c r="A1636" t="s">
        <v>48</v>
      </c>
      <c r="B1636">
        <v>2022</v>
      </c>
      <c r="C1636" t="s">
        <v>3682</v>
      </c>
      <c r="D1636" t="s">
        <v>33</v>
      </c>
      <c r="E1636" t="s">
        <v>3683</v>
      </c>
      <c r="F1636" t="s">
        <v>46</v>
      </c>
      <c r="G1636">
        <v>9.0399999999999991</v>
      </c>
      <c r="H1636">
        <v>66</v>
      </c>
      <c r="I1636" t="s">
        <v>36</v>
      </c>
      <c r="J1636" t="s">
        <v>37</v>
      </c>
      <c r="K1636" t="s">
        <v>1159</v>
      </c>
      <c r="L1636">
        <v>146</v>
      </c>
      <c r="M1636" t="str">
        <f t="shared" si="50"/>
        <v>Low</v>
      </c>
      <c r="N1636" t="str">
        <f t="shared" si="51"/>
        <v>Average</v>
      </c>
    </row>
    <row r="1637" spans="1:14">
      <c r="A1637" t="s">
        <v>39</v>
      </c>
      <c r="B1637">
        <v>2008</v>
      </c>
      <c r="C1637" t="s">
        <v>3684</v>
      </c>
      <c r="D1637" t="s">
        <v>33</v>
      </c>
      <c r="E1637" t="s">
        <v>3685</v>
      </c>
      <c r="F1637" t="s">
        <v>35</v>
      </c>
      <c r="G1637">
        <v>26.47</v>
      </c>
      <c r="H1637">
        <v>92</v>
      </c>
      <c r="I1637" t="s">
        <v>61</v>
      </c>
      <c r="J1637" t="s">
        <v>24</v>
      </c>
      <c r="K1637" t="s">
        <v>3058</v>
      </c>
      <c r="L1637">
        <v>193</v>
      </c>
      <c r="M1637" t="str">
        <f t="shared" si="50"/>
        <v>Medium</v>
      </c>
      <c r="N1637" t="str">
        <f t="shared" si="51"/>
        <v>Excellent</v>
      </c>
    </row>
    <row r="1638" spans="1:14">
      <c r="A1638" t="s">
        <v>31</v>
      </c>
      <c r="B1638">
        <v>2025</v>
      </c>
      <c r="C1638" t="s">
        <v>3686</v>
      </c>
      <c r="D1638" t="s">
        <v>14</v>
      </c>
      <c r="E1638" t="s">
        <v>3687</v>
      </c>
      <c r="F1638" t="s">
        <v>46</v>
      </c>
      <c r="G1638">
        <v>38.56</v>
      </c>
      <c r="H1638">
        <v>51</v>
      </c>
      <c r="I1638" t="s">
        <v>29</v>
      </c>
      <c r="J1638" t="s">
        <v>24</v>
      </c>
      <c r="K1638" t="s">
        <v>68</v>
      </c>
      <c r="L1638">
        <v>357</v>
      </c>
      <c r="M1638" t="str">
        <f t="shared" si="50"/>
        <v>High</v>
      </c>
      <c r="N1638" t="str">
        <f t="shared" si="51"/>
        <v>Average</v>
      </c>
    </row>
    <row r="1639" spans="1:14">
      <c r="A1639" t="s">
        <v>68</v>
      </c>
      <c r="B1639">
        <v>2023</v>
      </c>
      <c r="C1639" t="s">
        <v>3688</v>
      </c>
      <c r="D1639" t="s">
        <v>33</v>
      </c>
      <c r="E1639" t="s">
        <v>3689</v>
      </c>
      <c r="F1639" t="s">
        <v>16</v>
      </c>
      <c r="G1639">
        <v>20.13</v>
      </c>
      <c r="H1639">
        <v>54</v>
      </c>
      <c r="I1639" t="s">
        <v>29</v>
      </c>
      <c r="J1639" t="s">
        <v>37</v>
      </c>
      <c r="K1639" t="s">
        <v>3690</v>
      </c>
      <c r="L1639">
        <v>41</v>
      </c>
      <c r="M1639" t="str">
        <f t="shared" si="50"/>
        <v>Medium</v>
      </c>
      <c r="N1639" t="str">
        <f t="shared" si="51"/>
        <v>Average</v>
      </c>
    </row>
    <row r="1640" spans="1:14">
      <c r="A1640" t="s">
        <v>47</v>
      </c>
      <c r="B1640">
        <v>2001</v>
      </c>
      <c r="C1640" t="s">
        <v>3691</v>
      </c>
      <c r="D1640" t="s">
        <v>14</v>
      </c>
      <c r="E1640" t="s">
        <v>3692</v>
      </c>
      <c r="F1640" t="s">
        <v>57</v>
      </c>
      <c r="G1640">
        <v>19.190000000000001</v>
      </c>
      <c r="H1640">
        <v>55</v>
      </c>
      <c r="I1640" t="s">
        <v>17</v>
      </c>
      <c r="J1640" t="s">
        <v>37</v>
      </c>
      <c r="K1640" t="s">
        <v>3693</v>
      </c>
      <c r="L1640">
        <v>314</v>
      </c>
      <c r="M1640" t="str">
        <f t="shared" si="50"/>
        <v>Medium</v>
      </c>
      <c r="N1640" t="str">
        <f t="shared" si="51"/>
        <v>Average</v>
      </c>
    </row>
    <row r="1641" spans="1:14">
      <c r="A1641" t="s">
        <v>26</v>
      </c>
      <c r="B1641">
        <v>2002</v>
      </c>
      <c r="C1641" t="s">
        <v>3694</v>
      </c>
      <c r="D1641" t="s">
        <v>33</v>
      </c>
      <c r="E1641" t="s">
        <v>3695</v>
      </c>
      <c r="F1641" t="s">
        <v>57</v>
      </c>
      <c r="G1641">
        <v>24.05</v>
      </c>
      <c r="H1641">
        <v>94</v>
      </c>
      <c r="I1641" t="s">
        <v>17</v>
      </c>
      <c r="J1641" t="s">
        <v>37</v>
      </c>
      <c r="K1641" t="s">
        <v>3696</v>
      </c>
      <c r="L1641">
        <v>136</v>
      </c>
      <c r="M1641" t="str">
        <f t="shared" si="50"/>
        <v>Medium</v>
      </c>
      <c r="N1641" t="str">
        <f t="shared" si="51"/>
        <v>Excellent</v>
      </c>
    </row>
    <row r="1642" spans="1:14">
      <c r="A1642" t="s">
        <v>12</v>
      </c>
      <c r="B1642">
        <v>2001</v>
      </c>
      <c r="C1642" t="s">
        <v>3697</v>
      </c>
      <c r="D1642" t="s">
        <v>14</v>
      </c>
      <c r="E1642" t="s">
        <v>3698</v>
      </c>
      <c r="F1642" t="s">
        <v>46</v>
      </c>
      <c r="G1642">
        <v>46.47</v>
      </c>
      <c r="H1642">
        <v>76</v>
      </c>
      <c r="I1642" t="s">
        <v>36</v>
      </c>
      <c r="J1642" t="s">
        <v>24</v>
      </c>
      <c r="K1642" t="s">
        <v>508</v>
      </c>
      <c r="L1642">
        <v>344</v>
      </c>
      <c r="M1642" t="str">
        <f t="shared" si="50"/>
        <v>High</v>
      </c>
      <c r="N1642" t="str">
        <f t="shared" si="51"/>
        <v>Good</v>
      </c>
    </row>
    <row r="1643" spans="1:14">
      <c r="A1643" t="s">
        <v>20</v>
      </c>
      <c r="B1643">
        <v>2020</v>
      </c>
      <c r="C1643" t="s">
        <v>3699</v>
      </c>
      <c r="D1643" t="s">
        <v>33</v>
      </c>
      <c r="E1643" t="s">
        <v>3700</v>
      </c>
      <c r="F1643" t="s">
        <v>57</v>
      </c>
      <c r="G1643">
        <v>40.21</v>
      </c>
      <c r="H1643">
        <v>50</v>
      </c>
      <c r="I1643" t="s">
        <v>29</v>
      </c>
      <c r="J1643" t="s">
        <v>24</v>
      </c>
      <c r="K1643" t="s">
        <v>912</v>
      </c>
      <c r="L1643">
        <v>116</v>
      </c>
      <c r="M1643" t="str">
        <f t="shared" si="50"/>
        <v>High</v>
      </c>
      <c r="N1643" t="str">
        <f t="shared" si="51"/>
        <v>Average</v>
      </c>
    </row>
    <row r="1644" spans="1:14">
      <c r="A1644" t="s">
        <v>68</v>
      </c>
      <c r="B1644">
        <v>2000</v>
      </c>
      <c r="C1644" t="s">
        <v>3701</v>
      </c>
      <c r="D1644" t="s">
        <v>33</v>
      </c>
      <c r="E1644" t="s">
        <v>3702</v>
      </c>
      <c r="F1644" t="s">
        <v>57</v>
      </c>
      <c r="G1644">
        <v>31.2</v>
      </c>
      <c r="H1644">
        <v>80</v>
      </c>
      <c r="I1644" t="s">
        <v>17</v>
      </c>
      <c r="J1644" t="s">
        <v>18</v>
      </c>
      <c r="K1644" t="s">
        <v>2020</v>
      </c>
      <c r="L1644">
        <v>133</v>
      </c>
      <c r="M1644" t="str">
        <f t="shared" si="50"/>
        <v>Medium</v>
      </c>
      <c r="N1644" t="str">
        <f t="shared" si="51"/>
        <v>Good</v>
      </c>
    </row>
    <row r="1645" spans="1:14">
      <c r="A1645" t="s">
        <v>12</v>
      </c>
      <c r="B1645">
        <v>2023</v>
      </c>
      <c r="C1645" t="s">
        <v>3703</v>
      </c>
      <c r="D1645" t="s">
        <v>14</v>
      </c>
      <c r="E1645" t="s">
        <v>3704</v>
      </c>
      <c r="F1645" t="s">
        <v>16</v>
      </c>
      <c r="G1645">
        <v>16.52</v>
      </c>
      <c r="H1645">
        <v>61</v>
      </c>
      <c r="I1645" t="s">
        <v>23</v>
      </c>
      <c r="J1645" t="s">
        <v>18</v>
      </c>
      <c r="K1645" t="s">
        <v>1976</v>
      </c>
      <c r="L1645">
        <v>303</v>
      </c>
      <c r="M1645" t="str">
        <f t="shared" si="50"/>
        <v>Medium</v>
      </c>
      <c r="N1645" t="str">
        <f t="shared" si="51"/>
        <v>Average</v>
      </c>
    </row>
    <row r="1646" spans="1:14">
      <c r="A1646" t="s">
        <v>65</v>
      </c>
      <c r="B1646">
        <v>2002</v>
      </c>
      <c r="C1646" t="s">
        <v>3705</v>
      </c>
      <c r="D1646" t="s">
        <v>14</v>
      </c>
      <c r="E1646" t="s">
        <v>3706</v>
      </c>
      <c r="F1646" t="s">
        <v>35</v>
      </c>
      <c r="G1646">
        <v>12.88</v>
      </c>
      <c r="H1646">
        <v>99</v>
      </c>
      <c r="I1646" t="s">
        <v>23</v>
      </c>
      <c r="J1646" t="s">
        <v>37</v>
      </c>
      <c r="K1646" t="s">
        <v>48</v>
      </c>
      <c r="L1646">
        <v>9</v>
      </c>
      <c r="M1646" t="str">
        <f t="shared" si="50"/>
        <v>Low</v>
      </c>
      <c r="N1646" t="str">
        <f t="shared" si="51"/>
        <v>Excellent</v>
      </c>
    </row>
    <row r="1647" spans="1:14">
      <c r="A1647" t="s">
        <v>20</v>
      </c>
      <c r="B1647">
        <v>2023</v>
      </c>
      <c r="C1647" t="s">
        <v>3707</v>
      </c>
      <c r="D1647" t="s">
        <v>14</v>
      </c>
      <c r="E1647" t="s">
        <v>3708</v>
      </c>
      <c r="F1647" t="s">
        <v>35</v>
      </c>
      <c r="G1647">
        <v>22.08</v>
      </c>
      <c r="H1647">
        <v>60</v>
      </c>
      <c r="I1647" t="s">
        <v>36</v>
      </c>
      <c r="J1647" t="s">
        <v>37</v>
      </c>
      <c r="K1647" t="s">
        <v>2066</v>
      </c>
      <c r="L1647">
        <v>60</v>
      </c>
      <c r="M1647" t="str">
        <f t="shared" si="50"/>
        <v>Medium</v>
      </c>
      <c r="N1647" t="str">
        <f t="shared" si="51"/>
        <v>Average</v>
      </c>
    </row>
    <row r="1648" spans="1:14">
      <c r="A1648" t="s">
        <v>31</v>
      </c>
      <c r="B1648">
        <v>2011</v>
      </c>
      <c r="C1648" t="s">
        <v>3709</v>
      </c>
      <c r="D1648" t="s">
        <v>14</v>
      </c>
      <c r="E1648" t="s">
        <v>3710</v>
      </c>
      <c r="F1648" t="s">
        <v>16</v>
      </c>
      <c r="G1648">
        <v>41.48</v>
      </c>
      <c r="H1648">
        <v>51</v>
      </c>
      <c r="I1648" t="s">
        <v>36</v>
      </c>
      <c r="J1648" t="s">
        <v>18</v>
      </c>
      <c r="K1648" t="s">
        <v>3711</v>
      </c>
      <c r="L1648">
        <v>48</v>
      </c>
      <c r="M1648" t="str">
        <f t="shared" si="50"/>
        <v>High</v>
      </c>
      <c r="N1648" t="str">
        <f t="shared" si="51"/>
        <v>Average</v>
      </c>
    </row>
    <row r="1649" spans="1:14">
      <c r="A1649" t="s">
        <v>12</v>
      </c>
      <c r="B1649">
        <v>2020</v>
      </c>
      <c r="C1649" t="s">
        <v>3712</v>
      </c>
      <c r="D1649" t="s">
        <v>14</v>
      </c>
      <c r="E1649" t="s">
        <v>3713</v>
      </c>
      <c r="F1649" t="s">
        <v>35</v>
      </c>
      <c r="G1649">
        <v>28.4</v>
      </c>
      <c r="H1649">
        <v>60</v>
      </c>
      <c r="I1649" t="s">
        <v>61</v>
      </c>
      <c r="J1649" t="s">
        <v>18</v>
      </c>
      <c r="K1649" t="s">
        <v>1189</v>
      </c>
      <c r="L1649">
        <v>259</v>
      </c>
      <c r="M1649" t="str">
        <f t="shared" si="50"/>
        <v>Medium</v>
      </c>
      <c r="N1649" t="str">
        <f t="shared" si="51"/>
        <v>Average</v>
      </c>
    </row>
    <row r="1650" spans="1:14">
      <c r="A1650" t="s">
        <v>68</v>
      </c>
      <c r="B1650">
        <v>2001</v>
      </c>
      <c r="C1650" t="s">
        <v>3714</v>
      </c>
      <c r="D1650" t="s">
        <v>14</v>
      </c>
      <c r="E1650" t="s">
        <v>3715</v>
      </c>
      <c r="F1650" t="s">
        <v>42</v>
      </c>
      <c r="G1650">
        <v>21.27</v>
      </c>
      <c r="H1650">
        <v>89</v>
      </c>
      <c r="I1650" t="s">
        <v>36</v>
      </c>
      <c r="J1650" t="s">
        <v>37</v>
      </c>
      <c r="K1650" t="s">
        <v>580</v>
      </c>
      <c r="L1650">
        <v>345</v>
      </c>
      <c r="M1650" t="str">
        <f t="shared" si="50"/>
        <v>Medium</v>
      </c>
      <c r="N1650" t="str">
        <f t="shared" si="51"/>
        <v>Good</v>
      </c>
    </row>
    <row r="1651" spans="1:14">
      <c r="A1651" t="s">
        <v>47</v>
      </c>
      <c r="B1651">
        <v>2016</v>
      </c>
      <c r="C1651" t="s">
        <v>3716</v>
      </c>
      <c r="D1651" t="s">
        <v>33</v>
      </c>
      <c r="E1651" t="s">
        <v>3717</v>
      </c>
      <c r="F1651" t="s">
        <v>35</v>
      </c>
      <c r="G1651">
        <v>3.48</v>
      </c>
      <c r="H1651">
        <v>77</v>
      </c>
      <c r="I1651" t="s">
        <v>17</v>
      </c>
      <c r="J1651" t="s">
        <v>24</v>
      </c>
      <c r="K1651" t="s">
        <v>3718</v>
      </c>
      <c r="L1651">
        <v>221</v>
      </c>
      <c r="M1651" t="str">
        <f t="shared" si="50"/>
        <v>Low</v>
      </c>
      <c r="N1651" t="str">
        <f t="shared" si="51"/>
        <v>Good</v>
      </c>
    </row>
    <row r="1652" spans="1:14">
      <c r="A1652" t="s">
        <v>26</v>
      </c>
      <c r="B1652">
        <v>2021</v>
      </c>
      <c r="C1652" t="s">
        <v>3719</v>
      </c>
      <c r="D1652" t="s">
        <v>33</v>
      </c>
      <c r="E1652" t="s">
        <v>3720</v>
      </c>
      <c r="F1652" t="s">
        <v>16</v>
      </c>
      <c r="G1652">
        <v>19.84</v>
      </c>
      <c r="H1652">
        <v>51</v>
      </c>
      <c r="I1652" t="s">
        <v>61</v>
      </c>
      <c r="J1652" t="s">
        <v>37</v>
      </c>
      <c r="K1652" t="s">
        <v>964</v>
      </c>
      <c r="L1652">
        <v>220</v>
      </c>
      <c r="M1652" t="str">
        <f t="shared" si="50"/>
        <v>Medium</v>
      </c>
      <c r="N1652" t="str">
        <f t="shared" si="51"/>
        <v>Average</v>
      </c>
    </row>
    <row r="1653" spans="1:14">
      <c r="A1653" t="s">
        <v>12</v>
      </c>
      <c r="B1653">
        <v>2018</v>
      </c>
      <c r="C1653" t="s">
        <v>3721</v>
      </c>
      <c r="D1653" t="s">
        <v>33</v>
      </c>
      <c r="E1653" t="s">
        <v>3722</v>
      </c>
      <c r="F1653" t="s">
        <v>16</v>
      </c>
      <c r="G1653">
        <v>6.27</v>
      </c>
      <c r="H1653">
        <v>89</v>
      </c>
      <c r="I1653" t="s">
        <v>61</v>
      </c>
      <c r="J1653" t="s">
        <v>18</v>
      </c>
      <c r="K1653" t="s">
        <v>289</v>
      </c>
      <c r="L1653">
        <v>135</v>
      </c>
      <c r="M1653" t="str">
        <f t="shared" si="50"/>
        <v>Low</v>
      </c>
      <c r="N1653" t="str">
        <f t="shared" si="51"/>
        <v>Good</v>
      </c>
    </row>
    <row r="1654" spans="1:14">
      <c r="A1654" t="s">
        <v>47</v>
      </c>
      <c r="B1654">
        <v>2020</v>
      </c>
      <c r="C1654" t="s">
        <v>3723</v>
      </c>
      <c r="D1654" t="s">
        <v>14</v>
      </c>
      <c r="E1654" t="s">
        <v>3724</v>
      </c>
      <c r="F1654" t="s">
        <v>57</v>
      </c>
      <c r="G1654">
        <v>12.57</v>
      </c>
      <c r="H1654">
        <v>91</v>
      </c>
      <c r="I1654" t="s">
        <v>17</v>
      </c>
      <c r="J1654" t="s">
        <v>37</v>
      </c>
      <c r="K1654" t="s">
        <v>279</v>
      </c>
      <c r="L1654">
        <v>311</v>
      </c>
      <c r="M1654" t="str">
        <f t="shared" si="50"/>
        <v>Low</v>
      </c>
      <c r="N1654" t="str">
        <f t="shared" si="51"/>
        <v>Excellent</v>
      </c>
    </row>
    <row r="1655" spans="1:14">
      <c r="A1655" t="s">
        <v>48</v>
      </c>
      <c r="B1655">
        <v>2008</v>
      </c>
      <c r="C1655" t="s">
        <v>3725</v>
      </c>
      <c r="D1655" t="s">
        <v>33</v>
      </c>
      <c r="E1655" t="s">
        <v>3726</v>
      </c>
      <c r="F1655" t="s">
        <v>42</v>
      </c>
      <c r="G1655">
        <v>12.68</v>
      </c>
      <c r="H1655">
        <v>95</v>
      </c>
      <c r="I1655" t="s">
        <v>29</v>
      </c>
      <c r="J1655" t="s">
        <v>18</v>
      </c>
      <c r="K1655" t="s">
        <v>12</v>
      </c>
      <c r="L1655">
        <v>217</v>
      </c>
      <c r="M1655" t="str">
        <f t="shared" si="50"/>
        <v>Low</v>
      </c>
      <c r="N1655" t="str">
        <f t="shared" si="51"/>
        <v>Excellent</v>
      </c>
    </row>
    <row r="1656" spans="1:14">
      <c r="A1656" t="s">
        <v>48</v>
      </c>
      <c r="B1656">
        <v>2002</v>
      </c>
      <c r="C1656" t="s">
        <v>3727</v>
      </c>
      <c r="D1656" t="s">
        <v>33</v>
      </c>
      <c r="E1656" t="s">
        <v>3728</v>
      </c>
      <c r="F1656" t="s">
        <v>35</v>
      </c>
      <c r="G1656">
        <v>28.05</v>
      </c>
      <c r="H1656">
        <v>84</v>
      </c>
      <c r="I1656" t="s">
        <v>23</v>
      </c>
      <c r="J1656" t="s">
        <v>37</v>
      </c>
      <c r="K1656" t="s">
        <v>2110</v>
      </c>
      <c r="L1656">
        <v>206</v>
      </c>
      <c r="M1656" t="str">
        <f t="shared" si="50"/>
        <v>Medium</v>
      </c>
      <c r="N1656" t="str">
        <f t="shared" si="51"/>
        <v>Good</v>
      </c>
    </row>
    <row r="1657" spans="1:14">
      <c r="A1657" t="s">
        <v>31</v>
      </c>
      <c r="B1657">
        <v>2013</v>
      </c>
      <c r="C1657" t="s">
        <v>3729</v>
      </c>
      <c r="D1657" t="s">
        <v>33</v>
      </c>
      <c r="E1657" t="s">
        <v>3730</v>
      </c>
      <c r="F1657" t="s">
        <v>57</v>
      </c>
      <c r="G1657">
        <v>32.72</v>
      </c>
      <c r="H1657">
        <v>52</v>
      </c>
      <c r="I1657" t="s">
        <v>23</v>
      </c>
      <c r="J1657" t="s">
        <v>37</v>
      </c>
      <c r="K1657" t="s">
        <v>94</v>
      </c>
      <c r="L1657">
        <v>320</v>
      </c>
      <c r="M1657" t="str">
        <f t="shared" si="50"/>
        <v>Medium</v>
      </c>
      <c r="N1657" t="str">
        <f t="shared" si="51"/>
        <v>Average</v>
      </c>
    </row>
    <row r="1658" spans="1:14">
      <c r="A1658" t="s">
        <v>26</v>
      </c>
      <c r="B1658">
        <v>2013</v>
      </c>
      <c r="C1658" t="s">
        <v>3731</v>
      </c>
      <c r="D1658" t="s">
        <v>14</v>
      </c>
      <c r="E1658" t="s">
        <v>3732</v>
      </c>
      <c r="F1658" t="s">
        <v>16</v>
      </c>
      <c r="G1658">
        <v>31.67</v>
      </c>
      <c r="H1658">
        <v>76</v>
      </c>
      <c r="I1658" t="s">
        <v>23</v>
      </c>
      <c r="J1658" t="s">
        <v>18</v>
      </c>
      <c r="K1658" t="s">
        <v>3733</v>
      </c>
      <c r="L1658">
        <v>217</v>
      </c>
      <c r="M1658" t="str">
        <f t="shared" si="50"/>
        <v>Medium</v>
      </c>
      <c r="N1658" t="str">
        <f t="shared" si="51"/>
        <v>Good</v>
      </c>
    </row>
    <row r="1659" spans="1:14">
      <c r="A1659" t="s">
        <v>65</v>
      </c>
      <c r="B1659">
        <v>2006</v>
      </c>
      <c r="C1659" t="s">
        <v>3734</v>
      </c>
      <c r="D1659" t="s">
        <v>33</v>
      </c>
      <c r="E1659" t="s">
        <v>3735</v>
      </c>
      <c r="F1659" t="s">
        <v>42</v>
      </c>
      <c r="G1659">
        <v>21.14</v>
      </c>
      <c r="H1659">
        <v>100</v>
      </c>
      <c r="I1659" t="s">
        <v>29</v>
      </c>
      <c r="J1659" t="s">
        <v>37</v>
      </c>
      <c r="K1659" t="s">
        <v>151</v>
      </c>
      <c r="L1659">
        <v>223</v>
      </c>
      <c r="M1659" t="str">
        <f t="shared" si="50"/>
        <v>Medium</v>
      </c>
      <c r="N1659" t="str">
        <f t="shared" si="51"/>
        <v>Excellent</v>
      </c>
    </row>
    <row r="1660" spans="1:14">
      <c r="A1660" t="s">
        <v>26</v>
      </c>
      <c r="B1660">
        <v>2011</v>
      </c>
      <c r="C1660" t="s">
        <v>3736</v>
      </c>
      <c r="D1660" t="s">
        <v>33</v>
      </c>
      <c r="E1660" t="s">
        <v>3737</v>
      </c>
      <c r="F1660" t="s">
        <v>46</v>
      </c>
      <c r="G1660">
        <v>34.83</v>
      </c>
      <c r="H1660">
        <v>67</v>
      </c>
      <c r="I1660" t="s">
        <v>17</v>
      </c>
      <c r="J1660" t="s">
        <v>37</v>
      </c>
      <c r="K1660" t="s">
        <v>279</v>
      </c>
      <c r="L1660">
        <v>172</v>
      </c>
      <c r="M1660" t="str">
        <f t="shared" si="50"/>
        <v>Medium</v>
      </c>
      <c r="N1660" t="str">
        <f t="shared" si="51"/>
        <v>Average</v>
      </c>
    </row>
    <row r="1661" spans="1:14">
      <c r="A1661" t="s">
        <v>47</v>
      </c>
      <c r="B1661">
        <v>2003</v>
      </c>
      <c r="C1661" t="s">
        <v>3738</v>
      </c>
      <c r="D1661" t="s">
        <v>33</v>
      </c>
      <c r="E1661" t="s">
        <v>3739</v>
      </c>
      <c r="F1661" t="s">
        <v>35</v>
      </c>
      <c r="G1661">
        <v>10.8</v>
      </c>
      <c r="H1661">
        <v>55</v>
      </c>
      <c r="I1661" t="s">
        <v>36</v>
      </c>
      <c r="J1661" t="s">
        <v>24</v>
      </c>
      <c r="K1661" t="s">
        <v>2235</v>
      </c>
      <c r="L1661">
        <v>290</v>
      </c>
      <c r="M1661" t="str">
        <f t="shared" si="50"/>
        <v>Low</v>
      </c>
      <c r="N1661" t="str">
        <f t="shared" si="51"/>
        <v>Average</v>
      </c>
    </row>
    <row r="1662" spans="1:14">
      <c r="A1662" t="s">
        <v>47</v>
      </c>
      <c r="B1662">
        <v>2002</v>
      </c>
      <c r="C1662" t="s">
        <v>3740</v>
      </c>
      <c r="D1662" t="s">
        <v>33</v>
      </c>
      <c r="E1662" t="s">
        <v>3741</v>
      </c>
      <c r="F1662" t="s">
        <v>46</v>
      </c>
      <c r="G1662">
        <v>20.92</v>
      </c>
      <c r="H1662">
        <v>78</v>
      </c>
      <c r="I1662" t="s">
        <v>36</v>
      </c>
      <c r="J1662" t="s">
        <v>18</v>
      </c>
      <c r="K1662" t="s">
        <v>68</v>
      </c>
      <c r="L1662">
        <v>96</v>
      </c>
      <c r="M1662" t="str">
        <f t="shared" si="50"/>
        <v>Medium</v>
      </c>
      <c r="N1662" t="str">
        <f t="shared" si="51"/>
        <v>Good</v>
      </c>
    </row>
    <row r="1663" spans="1:14">
      <c r="A1663" t="s">
        <v>48</v>
      </c>
      <c r="B1663">
        <v>2014</v>
      </c>
      <c r="C1663" t="s">
        <v>3742</v>
      </c>
      <c r="D1663" t="s">
        <v>14</v>
      </c>
      <c r="E1663" t="s">
        <v>3743</v>
      </c>
      <c r="F1663" t="s">
        <v>16</v>
      </c>
      <c r="G1663">
        <v>29.54</v>
      </c>
      <c r="H1663">
        <v>96</v>
      </c>
      <c r="I1663" t="s">
        <v>61</v>
      </c>
      <c r="J1663" t="s">
        <v>37</v>
      </c>
      <c r="K1663" t="s">
        <v>286</v>
      </c>
      <c r="L1663">
        <v>152</v>
      </c>
      <c r="M1663" t="str">
        <f t="shared" si="50"/>
        <v>Medium</v>
      </c>
      <c r="N1663" t="str">
        <f t="shared" si="51"/>
        <v>Excellent</v>
      </c>
    </row>
    <row r="1664" spans="1:14">
      <c r="A1664" t="s">
        <v>38</v>
      </c>
      <c r="B1664">
        <v>2009</v>
      </c>
      <c r="C1664" t="s">
        <v>3744</v>
      </c>
      <c r="D1664" t="s">
        <v>33</v>
      </c>
      <c r="E1664" t="s">
        <v>3745</v>
      </c>
      <c r="F1664" t="s">
        <v>16</v>
      </c>
      <c r="G1664">
        <v>28.17</v>
      </c>
      <c r="H1664">
        <v>53</v>
      </c>
      <c r="I1664" t="s">
        <v>61</v>
      </c>
      <c r="J1664" t="s">
        <v>24</v>
      </c>
      <c r="K1664" t="s">
        <v>3746</v>
      </c>
      <c r="L1664">
        <v>162</v>
      </c>
      <c r="M1664" t="str">
        <f t="shared" si="50"/>
        <v>Medium</v>
      </c>
      <c r="N1664" t="str">
        <f t="shared" si="51"/>
        <v>Average</v>
      </c>
    </row>
    <row r="1665" spans="1:14">
      <c r="A1665" t="s">
        <v>26</v>
      </c>
      <c r="B1665">
        <v>2014</v>
      </c>
      <c r="C1665" t="s">
        <v>3747</v>
      </c>
      <c r="D1665" t="s">
        <v>33</v>
      </c>
      <c r="E1665" t="s">
        <v>2662</v>
      </c>
      <c r="F1665" t="s">
        <v>35</v>
      </c>
      <c r="G1665">
        <v>14.47</v>
      </c>
      <c r="H1665">
        <v>54</v>
      </c>
      <c r="I1665" t="s">
        <v>17</v>
      </c>
      <c r="J1665" t="s">
        <v>24</v>
      </c>
      <c r="K1665" t="s">
        <v>20</v>
      </c>
      <c r="L1665">
        <v>120</v>
      </c>
      <c r="M1665" t="str">
        <f t="shared" si="50"/>
        <v>Low</v>
      </c>
      <c r="N1665" t="str">
        <f t="shared" si="51"/>
        <v>Average</v>
      </c>
    </row>
    <row r="1666" spans="1:14">
      <c r="A1666" t="s">
        <v>26</v>
      </c>
      <c r="B1666">
        <v>2017</v>
      </c>
      <c r="C1666" t="s">
        <v>3748</v>
      </c>
      <c r="D1666" t="s">
        <v>33</v>
      </c>
      <c r="E1666" t="s">
        <v>3749</v>
      </c>
      <c r="F1666" t="s">
        <v>42</v>
      </c>
      <c r="G1666">
        <v>21.19</v>
      </c>
      <c r="H1666">
        <v>61</v>
      </c>
      <c r="I1666" t="s">
        <v>29</v>
      </c>
      <c r="J1666" t="s">
        <v>24</v>
      </c>
      <c r="K1666" t="s">
        <v>1873</v>
      </c>
      <c r="L1666">
        <v>41</v>
      </c>
      <c r="M1666" t="str">
        <f t="shared" si="50"/>
        <v>Medium</v>
      </c>
      <c r="N1666" t="str">
        <f t="shared" si="51"/>
        <v>Average</v>
      </c>
    </row>
    <row r="1667" spans="1:14">
      <c r="A1667" t="s">
        <v>31</v>
      </c>
      <c r="B1667">
        <v>2002</v>
      </c>
      <c r="C1667" t="s">
        <v>3750</v>
      </c>
      <c r="D1667" t="s">
        <v>14</v>
      </c>
      <c r="E1667" t="s">
        <v>3751</v>
      </c>
      <c r="F1667" t="s">
        <v>42</v>
      </c>
      <c r="G1667">
        <v>29.23</v>
      </c>
      <c r="H1667">
        <v>99</v>
      </c>
      <c r="I1667" t="s">
        <v>23</v>
      </c>
      <c r="J1667" t="s">
        <v>18</v>
      </c>
      <c r="K1667" t="s">
        <v>742</v>
      </c>
      <c r="L1667">
        <v>149</v>
      </c>
      <c r="M1667" t="str">
        <f t="shared" ref="M1667:M1730" si="52">IF(G1667&lt;15,"Low",IF(G1667&lt;35,"Medium","High"))</f>
        <v>Medium</v>
      </c>
      <c r="N1667" t="str">
        <f t="shared" ref="N1667:N1730" si="53">IF(H1667&gt;=90,"Excellent",IF(H1667&gt;=75,"Good","Average"))</f>
        <v>Excellent</v>
      </c>
    </row>
    <row r="1668" spans="1:14">
      <c r="A1668" t="s">
        <v>65</v>
      </c>
      <c r="B1668">
        <v>2005</v>
      </c>
      <c r="C1668" t="s">
        <v>3752</v>
      </c>
      <c r="D1668" t="s">
        <v>33</v>
      </c>
      <c r="E1668" t="s">
        <v>3753</v>
      </c>
      <c r="F1668" t="s">
        <v>42</v>
      </c>
      <c r="G1668">
        <v>25.32</v>
      </c>
      <c r="H1668">
        <v>58</v>
      </c>
      <c r="I1668" t="s">
        <v>17</v>
      </c>
      <c r="J1668" t="s">
        <v>37</v>
      </c>
      <c r="K1668" t="s">
        <v>772</v>
      </c>
      <c r="L1668">
        <v>189</v>
      </c>
      <c r="M1668" t="str">
        <f t="shared" si="52"/>
        <v>Medium</v>
      </c>
      <c r="N1668" t="str">
        <f t="shared" si="53"/>
        <v>Average</v>
      </c>
    </row>
    <row r="1669" spans="1:14">
      <c r="A1669" t="s">
        <v>39</v>
      </c>
      <c r="B1669">
        <v>2020</v>
      </c>
      <c r="C1669" t="s">
        <v>3754</v>
      </c>
      <c r="D1669" t="s">
        <v>14</v>
      </c>
      <c r="E1669" t="s">
        <v>3755</v>
      </c>
      <c r="F1669" t="s">
        <v>57</v>
      </c>
      <c r="G1669">
        <v>6.16</v>
      </c>
      <c r="H1669">
        <v>85</v>
      </c>
      <c r="I1669" t="s">
        <v>29</v>
      </c>
      <c r="J1669" t="s">
        <v>24</v>
      </c>
      <c r="K1669" t="s">
        <v>20</v>
      </c>
      <c r="L1669">
        <v>84</v>
      </c>
      <c r="M1669" t="str">
        <f t="shared" si="52"/>
        <v>Low</v>
      </c>
      <c r="N1669" t="str">
        <f t="shared" si="53"/>
        <v>Good</v>
      </c>
    </row>
    <row r="1670" spans="1:14">
      <c r="A1670" t="s">
        <v>12</v>
      </c>
      <c r="B1670">
        <v>2010</v>
      </c>
      <c r="C1670" t="s">
        <v>3756</v>
      </c>
      <c r="D1670" t="s">
        <v>33</v>
      </c>
      <c r="E1670" t="s">
        <v>3757</v>
      </c>
      <c r="F1670" t="s">
        <v>35</v>
      </c>
      <c r="G1670">
        <v>29.66</v>
      </c>
      <c r="H1670">
        <v>81</v>
      </c>
      <c r="I1670" t="s">
        <v>23</v>
      </c>
      <c r="J1670" t="s">
        <v>24</v>
      </c>
      <c r="K1670" t="s">
        <v>2369</v>
      </c>
      <c r="L1670">
        <v>364</v>
      </c>
      <c r="M1670" t="str">
        <f t="shared" si="52"/>
        <v>Medium</v>
      </c>
      <c r="N1670" t="str">
        <f t="shared" si="53"/>
        <v>Good</v>
      </c>
    </row>
    <row r="1671" spans="1:14">
      <c r="A1671" t="s">
        <v>65</v>
      </c>
      <c r="B1671">
        <v>2018</v>
      </c>
      <c r="C1671" t="s">
        <v>3758</v>
      </c>
      <c r="D1671" t="s">
        <v>14</v>
      </c>
      <c r="E1671" t="s">
        <v>3759</v>
      </c>
      <c r="F1671" t="s">
        <v>16</v>
      </c>
      <c r="G1671">
        <v>17.399999999999999</v>
      </c>
      <c r="H1671">
        <v>90</v>
      </c>
      <c r="I1671" t="s">
        <v>29</v>
      </c>
      <c r="J1671" t="s">
        <v>37</v>
      </c>
      <c r="K1671" t="s">
        <v>3760</v>
      </c>
      <c r="L1671">
        <v>360</v>
      </c>
      <c r="M1671" t="str">
        <f t="shared" si="52"/>
        <v>Medium</v>
      </c>
      <c r="N1671" t="str">
        <f t="shared" si="53"/>
        <v>Excellent</v>
      </c>
    </row>
    <row r="1672" spans="1:14">
      <c r="A1672" t="s">
        <v>38</v>
      </c>
      <c r="B1672">
        <v>2019</v>
      </c>
      <c r="C1672" t="s">
        <v>3761</v>
      </c>
      <c r="D1672" t="s">
        <v>14</v>
      </c>
      <c r="E1672" t="s">
        <v>3762</v>
      </c>
      <c r="F1672" t="s">
        <v>46</v>
      </c>
      <c r="G1672">
        <v>9.01</v>
      </c>
      <c r="H1672">
        <v>57</v>
      </c>
      <c r="I1672" t="s">
        <v>23</v>
      </c>
      <c r="J1672" t="s">
        <v>37</v>
      </c>
      <c r="K1672" t="s">
        <v>2539</v>
      </c>
      <c r="L1672">
        <v>127</v>
      </c>
      <c r="M1672" t="str">
        <f t="shared" si="52"/>
        <v>Low</v>
      </c>
      <c r="N1672" t="str">
        <f t="shared" si="53"/>
        <v>Average</v>
      </c>
    </row>
    <row r="1673" spans="1:14">
      <c r="A1673" t="s">
        <v>38</v>
      </c>
      <c r="B1673">
        <v>2014</v>
      </c>
      <c r="C1673" t="s">
        <v>3763</v>
      </c>
      <c r="D1673" t="s">
        <v>14</v>
      </c>
      <c r="E1673" t="s">
        <v>939</v>
      </c>
      <c r="F1673" t="s">
        <v>57</v>
      </c>
      <c r="G1673">
        <v>41.5</v>
      </c>
      <c r="H1673">
        <v>76</v>
      </c>
      <c r="I1673" t="s">
        <v>36</v>
      </c>
      <c r="J1673" t="s">
        <v>18</v>
      </c>
      <c r="K1673" t="s">
        <v>220</v>
      </c>
      <c r="L1673">
        <v>155</v>
      </c>
      <c r="M1673" t="str">
        <f t="shared" si="52"/>
        <v>High</v>
      </c>
      <c r="N1673" t="str">
        <f t="shared" si="53"/>
        <v>Good</v>
      </c>
    </row>
    <row r="1674" spans="1:14">
      <c r="A1674" t="s">
        <v>31</v>
      </c>
      <c r="B1674">
        <v>2020</v>
      </c>
      <c r="C1674" t="s">
        <v>3764</v>
      </c>
      <c r="D1674" t="s">
        <v>14</v>
      </c>
      <c r="E1674" t="s">
        <v>3765</v>
      </c>
      <c r="F1674" t="s">
        <v>46</v>
      </c>
      <c r="G1674">
        <v>15.79</v>
      </c>
      <c r="H1674">
        <v>73</v>
      </c>
      <c r="I1674" t="s">
        <v>17</v>
      </c>
      <c r="J1674" t="s">
        <v>24</v>
      </c>
      <c r="K1674" t="s">
        <v>3766</v>
      </c>
      <c r="L1674">
        <v>271</v>
      </c>
      <c r="M1674" t="str">
        <f t="shared" si="52"/>
        <v>Medium</v>
      </c>
      <c r="N1674" t="str">
        <f t="shared" si="53"/>
        <v>Average</v>
      </c>
    </row>
    <row r="1675" spans="1:14">
      <c r="A1675" t="s">
        <v>38</v>
      </c>
      <c r="B1675">
        <v>2004</v>
      </c>
      <c r="C1675" t="s">
        <v>3767</v>
      </c>
      <c r="D1675" t="s">
        <v>33</v>
      </c>
      <c r="E1675" t="s">
        <v>3768</v>
      </c>
      <c r="F1675" t="s">
        <v>16</v>
      </c>
      <c r="G1675">
        <v>17.37</v>
      </c>
      <c r="H1675">
        <v>88</v>
      </c>
      <c r="I1675" t="s">
        <v>23</v>
      </c>
      <c r="J1675" t="s">
        <v>37</v>
      </c>
      <c r="K1675" t="s">
        <v>68</v>
      </c>
      <c r="L1675">
        <v>82</v>
      </c>
      <c r="M1675" t="str">
        <f t="shared" si="52"/>
        <v>Medium</v>
      </c>
      <c r="N1675" t="str">
        <f t="shared" si="53"/>
        <v>Good</v>
      </c>
    </row>
    <row r="1676" spans="1:14">
      <c r="A1676" t="s">
        <v>20</v>
      </c>
      <c r="B1676">
        <v>2000</v>
      </c>
      <c r="C1676" t="s">
        <v>3769</v>
      </c>
      <c r="D1676" t="s">
        <v>33</v>
      </c>
      <c r="E1676" t="s">
        <v>3546</v>
      </c>
      <c r="F1676" t="s">
        <v>42</v>
      </c>
      <c r="G1676">
        <v>41.97</v>
      </c>
      <c r="H1676">
        <v>53</v>
      </c>
      <c r="I1676" t="s">
        <v>61</v>
      </c>
      <c r="J1676" t="s">
        <v>24</v>
      </c>
      <c r="K1676" t="s">
        <v>2581</v>
      </c>
      <c r="L1676">
        <v>267</v>
      </c>
      <c r="M1676" t="str">
        <f t="shared" si="52"/>
        <v>High</v>
      </c>
      <c r="N1676" t="str">
        <f t="shared" si="53"/>
        <v>Average</v>
      </c>
    </row>
    <row r="1677" spans="1:14">
      <c r="A1677" t="s">
        <v>31</v>
      </c>
      <c r="B1677">
        <v>2001</v>
      </c>
      <c r="C1677" t="s">
        <v>3770</v>
      </c>
      <c r="D1677" t="s">
        <v>14</v>
      </c>
      <c r="E1677" t="s">
        <v>3771</v>
      </c>
      <c r="F1677" t="s">
        <v>46</v>
      </c>
      <c r="G1677">
        <v>12.15</v>
      </c>
      <c r="H1677">
        <v>93</v>
      </c>
      <c r="I1677" t="s">
        <v>61</v>
      </c>
      <c r="J1677" t="s">
        <v>18</v>
      </c>
      <c r="K1677" t="s">
        <v>47</v>
      </c>
      <c r="L1677">
        <v>147</v>
      </c>
      <c r="M1677" t="str">
        <f t="shared" si="52"/>
        <v>Low</v>
      </c>
      <c r="N1677" t="str">
        <f t="shared" si="53"/>
        <v>Excellent</v>
      </c>
    </row>
    <row r="1678" spans="1:14">
      <c r="A1678" t="s">
        <v>38</v>
      </c>
      <c r="B1678">
        <v>2013</v>
      </c>
      <c r="C1678" t="s">
        <v>3772</v>
      </c>
      <c r="D1678" t="s">
        <v>33</v>
      </c>
      <c r="E1678" t="s">
        <v>3773</v>
      </c>
      <c r="F1678" t="s">
        <v>42</v>
      </c>
      <c r="G1678">
        <v>5.84</v>
      </c>
      <c r="H1678">
        <v>69</v>
      </c>
      <c r="I1678" t="s">
        <v>36</v>
      </c>
      <c r="J1678" t="s">
        <v>24</v>
      </c>
      <c r="K1678" t="s">
        <v>26</v>
      </c>
      <c r="L1678">
        <v>264</v>
      </c>
      <c r="M1678" t="str">
        <f t="shared" si="52"/>
        <v>Low</v>
      </c>
      <c r="N1678" t="str">
        <f t="shared" si="53"/>
        <v>Average</v>
      </c>
    </row>
    <row r="1679" spans="1:14">
      <c r="A1679" t="s">
        <v>68</v>
      </c>
      <c r="B1679">
        <v>2025</v>
      </c>
      <c r="C1679" t="s">
        <v>3774</v>
      </c>
      <c r="D1679" t="s">
        <v>33</v>
      </c>
      <c r="E1679" t="s">
        <v>3775</v>
      </c>
      <c r="F1679" t="s">
        <v>35</v>
      </c>
      <c r="G1679">
        <v>26.09</v>
      </c>
      <c r="H1679">
        <v>94</v>
      </c>
      <c r="I1679" t="s">
        <v>36</v>
      </c>
      <c r="J1679" t="s">
        <v>37</v>
      </c>
      <c r="K1679" t="s">
        <v>1998</v>
      </c>
      <c r="L1679">
        <v>262</v>
      </c>
      <c r="M1679" t="str">
        <f t="shared" si="52"/>
        <v>Medium</v>
      </c>
      <c r="N1679" t="str">
        <f t="shared" si="53"/>
        <v>Excellent</v>
      </c>
    </row>
    <row r="1680" spans="1:14">
      <c r="A1680" t="s">
        <v>47</v>
      </c>
      <c r="B1680">
        <v>2013</v>
      </c>
      <c r="C1680" t="s">
        <v>3776</v>
      </c>
      <c r="D1680" t="s">
        <v>14</v>
      </c>
      <c r="E1680" t="s">
        <v>3777</v>
      </c>
      <c r="F1680" t="s">
        <v>57</v>
      </c>
      <c r="G1680">
        <v>25.01</v>
      </c>
      <c r="H1680">
        <v>60</v>
      </c>
      <c r="I1680" t="s">
        <v>23</v>
      </c>
      <c r="J1680" t="s">
        <v>18</v>
      </c>
      <c r="K1680" t="s">
        <v>420</v>
      </c>
      <c r="L1680">
        <v>191</v>
      </c>
      <c r="M1680" t="str">
        <f t="shared" si="52"/>
        <v>Medium</v>
      </c>
      <c r="N1680" t="str">
        <f t="shared" si="53"/>
        <v>Average</v>
      </c>
    </row>
    <row r="1681" spans="1:14">
      <c r="A1681" t="s">
        <v>38</v>
      </c>
      <c r="B1681">
        <v>2018</v>
      </c>
      <c r="C1681" t="s">
        <v>3778</v>
      </c>
      <c r="D1681" t="s">
        <v>33</v>
      </c>
      <c r="E1681" t="s">
        <v>3779</v>
      </c>
      <c r="F1681" t="s">
        <v>57</v>
      </c>
      <c r="G1681">
        <v>34.299999999999997</v>
      </c>
      <c r="H1681">
        <v>50</v>
      </c>
      <c r="I1681" t="s">
        <v>36</v>
      </c>
      <c r="J1681" t="s">
        <v>18</v>
      </c>
      <c r="K1681" t="s">
        <v>1285</v>
      </c>
      <c r="L1681">
        <v>224</v>
      </c>
      <c r="M1681" t="str">
        <f t="shared" si="52"/>
        <v>Medium</v>
      </c>
      <c r="N1681" t="str">
        <f t="shared" si="53"/>
        <v>Average</v>
      </c>
    </row>
    <row r="1682" spans="1:14">
      <c r="A1682" t="s">
        <v>38</v>
      </c>
      <c r="B1682">
        <v>2011</v>
      </c>
      <c r="C1682" t="s">
        <v>3780</v>
      </c>
      <c r="D1682" t="s">
        <v>33</v>
      </c>
      <c r="E1682" t="s">
        <v>3781</v>
      </c>
      <c r="F1682" t="s">
        <v>16</v>
      </c>
      <c r="G1682">
        <v>33.6</v>
      </c>
      <c r="H1682">
        <v>79</v>
      </c>
      <c r="I1682" t="s">
        <v>61</v>
      </c>
      <c r="J1682" t="s">
        <v>18</v>
      </c>
      <c r="K1682" t="s">
        <v>3782</v>
      </c>
      <c r="L1682">
        <v>132</v>
      </c>
      <c r="M1682" t="str">
        <f t="shared" si="52"/>
        <v>Medium</v>
      </c>
      <c r="N1682" t="str">
        <f t="shared" si="53"/>
        <v>Good</v>
      </c>
    </row>
    <row r="1683" spans="1:14">
      <c r="A1683" t="s">
        <v>39</v>
      </c>
      <c r="B1683">
        <v>2000</v>
      </c>
      <c r="C1683" t="s">
        <v>3783</v>
      </c>
      <c r="D1683" t="s">
        <v>33</v>
      </c>
      <c r="E1683" t="s">
        <v>3784</v>
      </c>
      <c r="F1683" t="s">
        <v>35</v>
      </c>
      <c r="G1683">
        <v>11.45</v>
      </c>
      <c r="H1683">
        <v>72</v>
      </c>
      <c r="I1683" t="s">
        <v>29</v>
      </c>
      <c r="J1683" t="s">
        <v>37</v>
      </c>
      <c r="K1683" t="s">
        <v>26</v>
      </c>
      <c r="L1683">
        <v>69</v>
      </c>
      <c r="M1683" t="str">
        <f t="shared" si="52"/>
        <v>Low</v>
      </c>
      <c r="N1683" t="str">
        <f t="shared" si="53"/>
        <v>Average</v>
      </c>
    </row>
    <row r="1684" spans="1:14">
      <c r="A1684" t="s">
        <v>31</v>
      </c>
      <c r="B1684">
        <v>2022</v>
      </c>
      <c r="C1684" t="s">
        <v>3785</v>
      </c>
      <c r="D1684" t="s">
        <v>14</v>
      </c>
      <c r="E1684" t="s">
        <v>3786</v>
      </c>
      <c r="F1684" t="s">
        <v>46</v>
      </c>
      <c r="G1684">
        <v>10.4</v>
      </c>
      <c r="H1684">
        <v>92</v>
      </c>
      <c r="I1684" t="s">
        <v>29</v>
      </c>
      <c r="J1684" t="s">
        <v>37</v>
      </c>
      <c r="K1684" t="s">
        <v>687</v>
      </c>
      <c r="L1684">
        <v>68</v>
      </c>
      <c r="M1684" t="str">
        <f t="shared" si="52"/>
        <v>Low</v>
      </c>
      <c r="N1684" t="str">
        <f t="shared" si="53"/>
        <v>Excellent</v>
      </c>
    </row>
    <row r="1685" spans="1:14">
      <c r="A1685" t="s">
        <v>68</v>
      </c>
      <c r="B1685">
        <v>2003</v>
      </c>
      <c r="C1685" t="s">
        <v>3787</v>
      </c>
      <c r="D1685" t="s">
        <v>33</v>
      </c>
      <c r="E1685" t="s">
        <v>3788</v>
      </c>
      <c r="F1685" t="s">
        <v>42</v>
      </c>
      <c r="G1685">
        <v>16.559999999999999</v>
      </c>
      <c r="H1685">
        <v>88</v>
      </c>
      <c r="I1685" t="s">
        <v>23</v>
      </c>
      <c r="J1685" t="s">
        <v>18</v>
      </c>
      <c r="K1685" t="s">
        <v>65</v>
      </c>
      <c r="L1685">
        <v>47</v>
      </c>
      <c r="M1685" t="str">
        <f t="shared" si="52"/>
        <v>Medium</v>
      </c>
      <c r="N1685" t="str">
        <f t="shared" si="53"/>
        <v>Good</v>
      </c>
    </row>
    <row r="1686" spans="1:14">
      <c r="A1686" t="s">
        <v>31</v>
      </c>
      <c r="B1686">
        <v>2024</v>
      </c>
      <c r="C1686" t="s">
        <v>3789</v>
      </c>
      <c r="D1686" t="s">
        <v>14</v>
      </c>
      <c r="E1686" t="s">
        <v>3790</v>
      </c>
      <c r="F1686" t="s">
        <v>46</v>
      </c>
      <c r="G1686">
        <v>10.34</v>
      </c>
      <c r="H1686">
        <v>97</v>
      </c>
      <c r="I1686" t="s">
        <v>36</v>
      </c>
      <c r="J1686" t="s">
        <v>18</v>
      </c>
      <c r="K1686" t="s">
        <v>1633</v>
      </c>
      <c r="L1686">
        <v>230</v>
      </c>
      <c r="M1686" t="str">
        <f t="shared" si="52"/>
        <v>Low</v>
      </c>
      <c r="N1686" t="str">
        <f t="shared" si="53"/>
        <v>Excellent</v>
      </c>
    </row>
    <row r="1687" spans="1:14">
      <c r="A1687" t="s">
        <v>31</v>
      </c>
      <c r="B1687">
        <v>2015</v>
      </c>
      <c r="C1687" t="s">
        <v>3791</v>
      </c>
      <c r="D1687" t="s">
        <v>33</v>
      </c>
      <c r="E1687" t="s">
        <v>3792</v>
      </c>
      <c r="F1687" t="s">
        <v>42</v>
      </c>
      <c r="G1687">
        <v>34.85</v>
      </c>
      <c r="H1687">
        <v>93</v>
      </c>
      <c r="I1687" t="s">
        <v>29</v>
      </c>
      <c r="J1687" t="s">
        <v>18</v>
      </c>
      <c r="K1687" t="s">
        <v>48</v>
      </c>
      <c r="L1687">
        <v>163</v>
      </c>
      <c r="M1687" t="str">
        <f t="shared" si="52"/>
        <v>Medium</v>
      </c>
      <c r="N1687" t="str">
        <f t="shared" si="53"/>
        <v>Excellent</v>
      </c>
    </row>
    <row r="1688" spans="1:14">
      <c r="A1688" t="s">
        <v>65</v>
      </c>
      <c r="B1688">
        <v>2022</v>
      </c>
      <c r="C1688" t="s">
        <v>3793</v>
      </c>
      <c r="D1688" t="s">
        <v>14</v>
      </c>
      <c r="E1688" t="s">
        <v>3794</v>
      </c>
      <c r="F1688" t="s">
        <v>42</v>
      </c>
      <c r="G1688">
        <v>43.18</v>
      </c>
      <c r="H1688">
        <v>76</v>
      </c>
      <c r="I1688" t="s">
        <v>23</v>
      </c>
      <c r="J1688" t="s">
        <v>37</v>
      </c>
      <c r="K1688" t="s">
        <v>779</v>
      </c>
      <c r="L1688">
        <v>307</v>
      </c>
      <c r="M1688" t="str">
        <f t="shared" si="52"/>
        <v>High</v>
      </c>
      <c r="N1688" t="str">
        <f t="shared" si="53"/>
        <v>Good</v>
      </c>
    </row>
    <row r="1689" spans="1:14">
      <c r="A1689" t="s">
        <v>20</v>
      </c>
      <c r="B1689">
        <v>2019</v>
      </c>
      <c r="C1689" t="s">
        <v>3795</v>
      </c>
      <c r="D1689" t="s">
        <v>33</v>
      </c>
      <c r="E1689" t="s">
        <v>2093</v>
      </c>
      <c r="F1689" t="s">
        <v>42</v>
      </c>
      <c r="G1689">
        <v>40.11</v>
      </c>
      <c r="H1689">
        <v>93</v>
      </c>
      <c r="I1689" t="s">
        <v>29</v>
      </c>
      <c r="J1689" t="s">
        <v>18</v>
      </c>
      <c r="K1689" t="s">
        <v>311</v>
      </c>
      <c r="L1689">
        <v>112</v>
      </c>
      <c r="M1689" t="str">
        <f t="shared" si="52"/>
        <v>High</v>
      </c>
      <c r="N1689" t="str">
        <f t="shared" si="53"/>
        <v>Excellent</v>
      </c>
    </row>
    <row r="1690" spans="1:14">
      <c r="A1690" t="s">
        <v>68</v>
      </c>
      <c r="B1690">
        <v>2006</v>
      </c>
      <c r="C1690" t="s">
        <v>3796</v>
      </c>
      <c r="D1690" t="s">
        <v>33</v>
      </c>
      <c r="E1690" t="s">
        <v>3797</v>
      </c>
      <c r="F1690" t="s">
        <v>46</v>
      </c>
      <c r="G1690">
        <v>11.45</v>
      </c>
      <c r="H1690">
        <v>71</v>
      </c>
      <c r="I1690" t="s">
        <v>36</v>
      </c>
      <c r="J1690" t="s">
        <v>24</v>
      </c>
      <c r="K1690" t="s">
        <v>1226</v>
      </c>
      <c r="L1690">
        <v>77</v>
      </c>
      <c r="M1690" t="str">
        <f t="shared" si="52"/>
        <v>Low</v>
      </c>
      <c r="N1690" t="str">
        <f t="shared" si="53"/>
        <v>Average</v>
      </c>
    </row>
    <row r="1691" spans="1:14">
      <c r="A1691" t="s">
        <v>48</v>
      </c>
      <c r="B1691">
        <v>2009</v>
      </c>
      <c r="C1691" t="s">
        <v>3798</v>
      </c>
      <c r="D1691" t="s">
        <v>33</v>
      </c>
      <c r="E1691" t="s">
        <v>3799</v>
      </c>
      <c r="F1691" t="s">
        <v>35</v>
      </c>
      <c r="G1691">
        <v>4.53</v>
      </c>
      <c r="H1691">
        <v>58</v>
      </c>
      <c r="I1691" t="s">
        <v>23</v>
      </c>
      <c r="J1691" t="s">
        <v>24</v>
      </c>
      <c r="K1691" t="s">
        <v>2423</v>
      </c>
      <c r="L1691">
        <v>329</v>
      </c>
      <c r="M1691" t="str">
        <f t="shared" si="52"/>
        <v>Low</v>
      </c>
      <c r="N1691" t="str">
        <f t="shared" si="53"/>
        <v>Average</v>
      </c>
    </row>
    <row r="1692" spans="1:14">
      <c r="A1692" t="s">
        <v>65</v>
      </c>
      <c r="B1692">
        <v>2017</v>
      </c>
      <c r="C1692" t="s">
        <v>3800</v>
      </c>
      <c r="D1692" t="s">
        <v>33</v>
      </c>
      <c r="E1692" t="s">
        <v>3801</v>
      </c>
      <c r="F1692" t="s">
        <v>46</v>
      </c>
      <c r="G1692">
        <v>10.57</v>
      </c>
      <c r="H1692">
        <v>99</v>
      </c>
      <c r="I1692" t="s">
        <v>17</v>
      </c>
      <c r="J1692" t="s">
        <v>18</v>
      </c>
      <c r="K1692" t="s">
        <v>1292</v>
      </c>
      <c r="L1692">
        <v>194</v>
      </c>
      <c r="M1692" t="str">
        <f t="shared" si="52"/>
        <v>Low</v>
      </c>
      <c r="N1692" t="str">
        <f t="shared" si="53"/>
        <v>Excellent</v>
      </c>
    </row>
    <row r="1693" spans="1:14">
      <c r="A1693" t="s">
        <v>65</v>
      </c>
      <c r="B1693">
        <v>2016</v>
      </c>
      <c r="C1693" t="s">
        <v>3802</v>
      </c>
      <c r="D1693" t="s">
        <v>33</v>
      </c>
      <c r="E1693" t="s">
        <v>3803</v>
      </c>
      <c r="F1693" t="s">
        <v>57</v>
      </c>
      <c r="G1693">
        <v>23.18</v>
      </c>
      <c r="H1693">
        <v>64</v>
      </c>
      <c r="I1693" t="s">
        <v>36</v>
      </c>
      <c r="J1693" t="s">
        <v>37</v>
      </c>
      <c r="K1693" t="s">
        <v>39</v>
      </c>
      <c r="L1693">
        <v>174</v>
      </c>
      <c r="M1693" t="str">
        <f t="shared" si="52"/>
        <v>Medium</v>
      </c>
      <c r="N1693" t="str">
        <f t="shared" si="53"/>
        <v>Average</v>
      </c>
    </row>
    <row r="1694" spans="1:14">
      <c r="A1694" t="s">
        <v>38</v>
      </c>
      <c r="B1694">
        <v>2014</v>
      </c>
      <c r="C1694" t="s">
        <v>3804</v>
      </c>
      <c r="D1694" t="s">
        <v>14</v>
      </c>
      <c r="E1694" t="s">
        <v>3805</v>
      </c>
      <c r="F1694" t="s">
        <v>46</v>
      </c>
      <c r="G1694">
        <v>20.04</v>
      </c>
      <c r="H1694">
        <v>87</v>
      </c>
      <c r="I1694" t="s">
        <v>36</v>
      </c>
      <c r="J1694" t="s">
        <v>37</v>
      </c>
      <c r="K1694" t="s">
        <v>31</v>
      </c>
      <c r="L1694">
        <v>340</v>
      </c>
      <c r="M1694" t="str">
        <f t="shared" si="52"/>
        <v>Medium</v>
      </c>
      <c r="N1694" t="str">
        <f t="shared" si="53"/>
        <v>Good</v>
      </c>
    </row>
    <row r="1695" spans="1:14">
      <c r="A1695" t="s">
        <v>26</v>
      </c>
      <c r="B1695">
        <v>2023</v>
      </c>
      <c r="C1695" t="s">
        <v>3806</v>
      </c>
      <c r="D1695" t="s">
        <v>14</v>
      </c>
      <c r="E1695" t="s">
        <v>3807</v>
      </c>
      <c r="F1695" t="s">
        <v>46</v>
      </c>
      <c r="G1695">
        <v>23.62</v>
      </c>
      <c r="H1695">
        <v>91</v>
      </c>
      <c r="I1695" t="s">
        <v>17</v>
      </c>
      <c r="J1695" t="s">
        <v>24</v>
      </c>
      <c r="K1695" t="s">
        <v>254</v>
      </c>
      <c r="L1695">
        <v>228</v>
      </c>
      <c r="M1695" t="str">
        <f t="shared" si="52"/>
        <v>Medium</v>
      </c>
      <c r="N1695" t="str">
        <f t="shared" si="53"/>
        <v>Excellent</v>
      </c>
    </row>
    <row r="1696" spans="1:14">
      <c r="A1696" t="s">
        <v>26</v>
      </c>
      <c r="B1696">
        <v>2015</v>
      </c>
      <c r="C1696" t="s">
        <v>3808</v>
      </c>
      <c r="D1696" t="s">
        <v>33</v>
      </c>
      <c r="E1696" t="s">
        <v>3809</v>
      </c>
      <c r="F1696" t="s">
        <v>46</v>
      </c>
      <c r="G1696">
        <v>42.13</v>
      </c>
      <c r="H1696">
        <v>71</v>
      </c>
      <c r="I1696" t="s">
        <v>23</v>
      </c>
      <c r="J1696" t="s">
        <v>24</v>
      </c>
      <c r="K1696" t="s">
        <v>65</v>
      </c>
      <c r="L1696">
        <v>212</v>
      </c>
      <c r="M1696" t="str">
        <f t="shared" si="52"/>
        <v>High</v>
      </c>
      <c r="N1696" t="str">
        <f t="shared" si="53"/>
        <v>Average</v>
      </c>
    </row>
    <row r="1697" spans="1:14">
      <c r="A1697" t="s">
        <v>65</v>
      </c>
      <c r="B1697">
        <v>2023</v>
      </c>
      <c r="C1697" t="s">
        <v>3810</v>
      </c>
      <c r="D1697" t="s">
        <v>14</v>
      </c>
      <c r="E1697" t="s">
        <v>3811</v>
      </c>
      <c r="F1697" t="s">
        <v>57</v>
      </c>
      <c r="G1697">
        <v>8.36</v>
      </c>
      <c r="H1697">
        <v>88</v>
      </c>
      <c r="I1697" t="s">
        <v>61</v>
      </c>
      <c r="J1697" t="s">
        <v>37</v>
      </c>
      <c r="K1697" t="s">
        <v>39</v>
      </c>
      <c r="L1697">
        <v>285</v>
      </c>
      <c r="M1697" t="str">
        <f t="shared" si="52"/>
        <v>Low</v>
      </c>
      <c r="N1697" t="str">
        <f t="shared" si="53"/>
        <v>Good</v>
      </c>
    </row>
    <row r="1698" spans="1:14">
      <c r="A1698" t="s">
        <v>65</v>
      </c>
      <c r="B1698">
        <v>2018</v>
      </c>
      <c r="C1698" t="s">
        <v>3812</v>
      </c>
      <c r="D1698" t="s">
        <v>14</v>
      </c>
      <c r="E1698" t="s">
        <v>3813</v>
      </c>
      <c r="F1698" t="s">
        <v>35</v>
      </c>
      <c r="G1698">
        <v>7</v>
      </c>
      <c r="H1698">
        <v>70</v>
      </c>
      <c r="I1698" t="s">
        <v>36</v>
      </c>
      <c r="J1698" t="s">
        <v>37</v>
      </c>
      <c r="K1698" t="s">
        <v>3814</v>
      </c>
      <c r="L1698">
        <v>229</v>
      </c>
      <c r="M1698" t="str">
        <f t="shared" si="52"/>
        <v>Low</v>
      </c>
      <c r="N1698" t="str">
        <f t="shared" si="53"/>
        <v>Average</v>
      </c>
    </row>
    <row r="1699" spans="1:14">
      <c r="A1699" t="s">
        <v>26</v>
      </c>
      <c r="B1699">
        <v>2001</v>
      </c>
      <c r="C1699" t="s">
        <v>3815</v>
      </c>
      <c r="D1699" t="s">
        <v>14</v>
      </c>
      <c r="E1699" t="s">
        <v>3816</v>
      </c>
      <c r="F1699" t="s">
        <v>35</v>
      </c>
      <c r="G1699">
        <v>49.23</v>
      </c>
      <c r="H1699">
        <v>77</v>
      </c>
      <c r="I1699" t="s">
        <v>29</v>
      </c>
      <c r="J1699" t="s">
        <v>18</v>
      </c>
      <c r="K1699" t="s">
        <v>65</v>
      </c>
      <c r="L1699">
        <v>47</v>
      </c>
      <c r="M1699" t="str">
        <f t="shared" si="52"/>
        <v>High</v>
      </c>
      <c r="N1699" t="str">
        <f t="shared" si="53"/>
        <v>Good</v>
      </c>
    </row>
    <row r="1700" spans="1:14">
      <c r="A1700" t="s">
        <v>47</v>
      </c>
      <c r="B1700">
        <v>2005</v>
      </c>
      <c r="C1700" t="s">
        <v>3817</v>
      </c>
      <c r="D1700" t="s">
        <v>14</v>
      </c>
      <c r="E1700" t="s">
        <v>3818</v>
      </c>
      <c r="F1700" t="s">
        <v>35</v>
      </c>
      <c r="G1700">
        <v>13.86</v>
      </c>
      <c r="H1700">
        <v>91</v>
      </c>
      <c r="I1700" t="s">
        <v>29</v>
      </c>
      <c r="J1700" t="s">
        <v>37</v>
      </c>
      <c r="K1700" t="s">
        <v>68</v>
      </c>
      <c r="L1700">
        <v>208</v>
      </c>
      <c r="M1700" t="str">
        <f t="shared" si="52"/>
        <v>Low</v>
      </c>
      <c r="N1700" t="str">
        <f t="shared" si="53"/>
        <v>Excellent</v>
      </c>
    </row>
    <row r="1701" spans="1:14">
      <c r="A1701" t="s">
        <v>20</v>
      </c>
      <c r="B1701">
        <v>2006</v>
      </c>
      <c r="C1701" t="s">
        <v>3819</v>
      </c>
      <c r="D1701" t="s">
        <v>14</v>
      </c>
      <c r="E1701" t="s">
        <v>3820</v>
      </c>
      <c r="F1701" t="s">
        <v>42</v>
      </c>
      <c r="G1701">
        <v>9.73</v>
      </c>
      <c r="H1701">
        <v>100</v>
      </c>
      <c r="I1701" t="s">
        <v>17</v>
      </c>
      <c r="J1701" t="s">
        <v>24</v>
      </c>
      <c r="K1701" t="s">
        <v>1292</v>
      </c>
      <c r="L1701">
        <v>124</v>
      </c>
      <c r="M1701" t="str">
        <f t="shared" si="52"/>
        <v>Low</v>
      </c>
      <c r="N1701" t="str">
        <f t="shared" si="53"/>
        <v>Excellent</v>
      </c>
    </row>
    <row r="1702" spans="1:14">
      <c r="A1702" t="s">
        <v>39</v>
      </c>
      <c r="B1702">
        <v>2024</v>
      </c>
      <c r="C1702" t="s">
        <v>3821</v>
      </c>
      <c r="D1702" t="s">
        <v>14</v>
      </c>
      <c r="E1702" t="s">
        <v>3822</v>
      </c>
      <c r="F1702" t="s">
        <v>46</v>
      </c>
      <c r="G1702">
        <v>14.57</v>
      </c>
      <c r="H1702">
        <v>50</v>
      </c>
      <c r="I1702" t="s">
        <v>29</v>
      </c>
      <c r="J1702" t="s">
        <v>37</v>
      </c>
      <c r="K1702" t="s">
        <v>289</v>
      </c>
      <c r="L1702">
        <v>104</v>
      </c>
      <c r="M1702" t="str">
        <f t="shared" si="52"/>
        <v>Low</v>
      </c>
      <c r="N1702" t="str">
        <f t="shared" si="53"/>
        <v>Average</v>
      </c>
    </row>
    <row r="1703" spans="1:14">
      <c r="A1703" t="s">
        <v>47</v>
      </c>
      <c r="B1703">
        <v>2023</v>
      </c>
      <c r="C1703" t="s">
        <v>3823</v>
      </c>
      <c r="D1703" t="s">
        <v>14</v>
      </c>
      <c r="E1703" t="s">
        <v>3824</v>
      </c>
      <c r="F1703" t="s">
        <v>46</v>
      </c>
      <c r="G1703">
        <v>14.43</v>
      </c>
      <c r="H1703">
        <v>78</v>
      </c>
      <c r="I1703" t="s">
        <v>17</v>
      </c>
      <c r="J1703" t="s">
        <v>24</v>
      </c>
      <c r="K1703" t="s">
        <v>26</v>
      </c>
      <c r="L1703">
        <v>169</v>
      </c>
      <c r="M1703" t="str">
        <f t="shared" si="52"/>
        <v>Low</v>
      </c>
      <c r="N1703" t="str">
        <f t="shared" si="53"/>
        <v>Good</v>
      </c>
    </row>
    <row r="1704" spans="1:14">
      <c r="A1704" t="s">
        <v>31</v>
      </c>
      <c r="B1704">
        <v>2020</v>
      </c>
      <c r="C1704" t="s">
        <v>3825</v>
      </c>
      <c r="D1704" t="s">
        <v>33</v>
      </c>
      <c r="E1704" t="s">
        <v>1691</v>
      </c>
      <c r="F1704" t="s">
        <v>16</v>
      </c>
      <c r="G1704">
        <v>21.56</v>
      </c>
      <c r="H1704">
        <v>89</v>
      </c>
      <c r="I1704" t="s">
        <v>61</v>
      </c>
      <c r="J1704" t="s">
        <v>18</v>
      </c>
      <c r="K1704" t="s">
        <v>12</v>
      </c>
      <c r="L1704">
        <v>132</v>
      </c>
      <c r="M1704" t="str">
        <f t="shared" si="52"/>
        <v>Medium</v>
      </c>
      <c r="N1704" t="str">
        <f t="shared" si="53"/>
        <v>Good</v>
      </c>
    </row>
    <row r="1705" spans="1:14">
      <c r="A1705" t="s">
        <v>31</v>
      </c>
      <c r="B1705">
        <v>2012</v>
      </c>
      <c r="C1705" t="s">
        <v>3826</v>
      </c>
      <c r="D1705" t="s">
        <v>33</v>
      </c>
      <c r="E1705" t="s">
        <v>3827</v>
      </c>
      <c r="F1705" t="s">
        <v>42</v>
      </c>
      <c r="G1705">
        <v>31.6</v>
      </c>
      <c r="H1705">
        <v>63</v>
      </c>
      <c r="I1705" t="s">
        <v>23</v>
      </c>
      <c r="J1705" t="s">
        <v>37</v>
      </c>
      <c r="K1705" t="s">
        <v>708</v>
      </c>
      <c r="L1705">
        <v>262</v>
      </c>
      <c r="M1705" t="str">
        <f t="shared" si="52"/>
        <v>Medium</v>
      </c>
      <c r="N1705" t="str">
        <f t="shared" si="53"/>
        <v>Average</v>
      </c>
    </row>
    <row r="1706" spans="1:14">
      <c r="A1706" t="s">
        <v>12</v>
      </c>
      <c r="B1706">
        <v>2012</v>
      </c>
      <c r="C1706" t="s">
        <v>3828</v>
      </c>
      <c r="D1706" t="s">
        <v>14</v>
      </c>
      <c r="E1706" t="s">
        <v>3829</v>
      </c>
      <c r="F1706" t="s">
        <v>46</v>
      </c>
      <c r="G1706">
        <v>34.659999999999997</v>
      </c>
      <c r="H1706">
        <v>60</v>
      </c>
      <c r="I1706" t="s">
        <v>23</v>
      </c>
      <c r="J1706" t="s">
        <v>24</v>
      </c>
      <c r="K1706" t="s">
        <v>81</v>
      </c>
      <c r="L1706">
        <v>309</v>
      </c>
      <c r="M1706" t="str">
        <f t="shared" si="52"/>
        <v>Medium</v>
      </c>
      <c r="N1706" t="str">
        <f t="shared" si="53"/>
        <v>Average</v>
      </c>
    </row>
    <row r="1707" spans="1:14">
      <c r="A1707" t="s">
        <v>38</v>
      </c>
      <c r="B1707">
        <v>2022</v>
      </c>
      <c r="C1707" t="s">
        <v>3830</v>
      </c>
      <c r="D1707" t="s">
        <v>14</v>
      </c>
      <c r="E1707" t="s">
        <v>3831</v>
      </c>
      <c r="F1707" t="s">
        <v>57</v>
      </c>
      <c r="G1707">
        <v>0.83</v>
      </c>
      <c r="H1707">
        <v>77</v>
      </c>
      <c r="I1707" t="s">
        <v>23</v>
      </c>
      <c r="J1707" t="s">
        <v>18</v>
      </c>
      <c r="K1707" t="s">
        <v>3832</v>
      </c>
      <c r="L1707">
        <v>28</v>
      </c>
      <c r="M1707" t="str">
        <f t="shared" si="52"/>
        <v>Low</v>
      </c>
      <c r="N1707" t="str">
        <f t="shared" si="53"/>
        <v>Good</v>
      </c>
    </row>
    <row r="1708" spans="1:14">
      <c r="A1708" t="s">
        <v>65</v>
      </c>
      <c r="B1708">
        <v>2014</v>
      </c>
      <c r="C1708" t="s">
        <v>3833</v>
      </c>
      <c r="D1708" t="s">
        <v>14</v>
      </c>
      <c r="E1708" t="s">
        <v>3834</v>
      </c>
      <c r="F1708" t="s">
        <v>35</v>
      </c>
      <c r="G1708">
        <v>23.2</v>
      </c>
      <c r="H1708">
        <v>98</v>
      </c>
      <c r="I1708" t="s">
        <v>29</v>
      </c>
      <c r="J1708" t="s">
        <v>37</v>
      </c>
      <c r="K1708" t="s">
        <v>39</v>
      </c>
      <c r="L1708">
        <v>274</v>
      </c>
      <c r="M1708" t="str">
        <f t="shared" si="52"/>
        <v>Medium</v>
      </c>
      <c r="N1708" t="str">
        <f t="shared" si="53"/>
        <v>Excellent</v>
      </c>
    </row>
    <row r="1709" spans="1:14">
      <c r="A1709" t="s">
        <v>20</v>
      </c>
      <c r="B1709">
        <v>2025</v>
      </c>
      <c r="C1709" t="s">
        <v>3835</v>
      </c>
      <c r="D1709" t="s">
        <v>33</v>
      </c>
      <c r="E1709" t="s">
        <v>3836</v>
      </c>
      <c r="F1709" t="s">
        <v>46</v>
      </c>
      <c r="G1709">
        <v>39.43</v>
      </c>
      <c r="H1709">
        <v>95</v>
      </c>
      <c r="I1709" t="s">
        <v>23</v>
      </c>
      <c r="J1709" t="s">
        <v>18</v>
      </c>
      <c r="K1709" t="s">
        <v>1159</v>
      </c>
      <c r="L1709">
        <v>142</v>
      </c>
      <c r="M1709" t="str">
        <f t="shared" si="52"/>
        <v>High</v>
      </c>
      <c r="N1709" t="str">
        <f t="shared" si="53"/>
        <v>Excellent</v>
      </c>
    </row>
    <row r="1710" spans="1:14">
      <c r="A1710" t="s">
        <v>65</v>
      </c>
      <c r="B1710">
        <v>2004</v>
      </c>
      <c r="C1710" t="s">
        <v>3837</v>
      </c>
      <c r="D1710" t="s">
        <v>33</v>
      </c>
      <c r="E1710" t="s">
        <v>3838</v>
      </c>
      <c r="F1710" t="s">
        <v>42</v>
      </c>
      <c r="G1710">
        <v>17.829999999999998</v>
      </c>
      <c r="H1710">
        <v>56</v>
      </c>
      <c r="I1710" t="s">
        <v>61</v>
      </c>
      <c r="J1710" t="s">
        <v>18</v>
      </c>
      <c r="K1710" t="s">
        <v>20</v>
      </c>
      <c r="L1710">
        <v>287</v>
      </c>
      <c r="M1710" t="str">
        <f t="shared" si="52"/>
        <v>Medium</v>
      </c>
      <c r="N1710" t="str">
        <f t="shared" si="53"/>
        <v>Average</v>
      </c>
    </row>
    <row r="1711" spans="1:14">
      <c r="A1711" t="s">
        <v>12</v>
      </c>
      <c r="B1711">
        <v>2021</v>
      </c>
      <c r="C1711" t="s">
        <v>3839</v>
      </c>
      <c r="D1711" t="s">
        <v>33</v>
      </c>
      <c r="E1711" t="s">
        <v>3840</v>
      </c>
      <c r="F1711" t="s">
        <v>46</v>
      </c>
      <c r="G1711">
        <v>16.02</v>
      </c>
      <c r="H1711">
        <v>88</v>
      </c>
      <c r="I1711" t="s">
        <v>17</v>
      </c>
      <c r="J1711" t="s">
        <v>18</v>
      </c>
      <c r="K1711" t="s">
        <v>68</v>
      </c>
      <c r="L1711">
        <v>332</v>
      </c>
      <c r="M1711" t="str">
        <f t="shared" si="52"/>
        <v>Medium</v>
      </c>
      <c r="N1711" t="str">
        <f t="shared" si="53"/>
        <v>Good</v>
      </c>
    </row>
    <row r="1712" spans="1:14">
      <c r="A1712" t="s">
        <v>38</v>
      </c>
      <c r="B1712">
        <v>2015</v>
      </c>
      <c r="C1712" t="s">
        <v>3841</v>
      </c>
      <c r="D1712" t="s">
        <v>14</v>
      </c>
      <c r="E1712" t="s">
        <v>3842</v>
      </c>
      <c r="F1712" t="s">
        <v>57</v>
      </c>
      <c r="G1712">
        <v>40.61</v>
      </c>
      <c r="H1712">
        <v>71</v>
      </c>
      <c r="I1712" t="s">
        <v>29</v>
      </c>
      <c r="J1712" t="s">
        <v>18</v>
      </c>
      <c r="K1712" t="s">
        <v>12</v>
      </c>
      <c r="L1712">
        <v>160</v>
      </c>
      <c r="M1712" t="str">
        <f t="shared" si="52"/>
        <v>High</v>
      </c>
      <c r="N1712" t="str">
        <f t="shared" si="53"/>
        <v>Average</v>
      </c>
    </row>
    <row r="1713" spans="1:14">
      <c r="A1713" t="s">
        <v>38</v>
      </c>
      <c r="B1713">
        <v>2025</v>
      </c>
      <c r="C1713" t="s">
        <v>3843</v>
      </c>
      <c r="D1713" t="s">
        <v>33</v>
      </c>
      <c r="E1713" t="s">
        <v>3844</v>
      </c>
      <c r="F1713" t="s">
        <v>57</v>
      </c>
      <c r="G1713">
        <v>11.05</v>
      </c>
      <c r="H1713">
        <v>59</v>
      </c>
      <c r="I1713" t="s">
        <v>61</v>
      </c>
      <c r="J1713" t="s">
        <v>37</v>
      </c>
      <c r="K1713" t="s">
        <v>65</v>
      </c>
      <c r="L1713">
        <v>86</v>
      </c>
      <c r="M1713" t="str">
        <f t="shared" si="52"/>
        <v>Low</v>
      </c>
      <c r="N1713" t="str">
        <f t="shared" si="53"/>
        <v>Average</v>
      </c>
    </row>
    <row r="1714" spans="1:14">
      <c r="A1714" t="s">
        <v>12</v>
      </c>
      <c r="B1714">
        <v>2006</v>
      </c>
      <c r="C1714" t="s">
        <v>3845</v>
      </c>
      <c r="D1714" t="s">
        <v>33</v>
      </c>
      <c r="E1714" t="s">
        <v>2034</v>
      </c>
      <c r="F1714" t="s">
        <v>42</v>
      </c>
      <c r="G1714">
        <v>48.51</v>
      </c>
      <c r="H1714">
        <v>97</v>
      </c>
      <c r="I1714" t="s">
        <v>17</v>
      </c>
      <c r="J1714" t="s">
        <v>37</v>
      </c>
      <c r="K1714" t="s">
        <v>3846</v>
      </c>
      <c r="L1714">
        <v>201</v>
      </c>
      <c r="M1714" t="str">
        <f t="shared" si="52"/>
        <v>High</v>
      </c>
      <c r="N1714" t="str">
        <f t="shared" si="53"/>
        <v>Excellent</v>
      </c>
    </row>
    <row r="1715" spans="1:14">
      <c r="A1715" t="s">
        <v>31</v>
      </c>
      <c r="B1715">
        <v>2020</v>
      </c>
      <c r="C1715" t="s">
        <v>3847</v>
      </c>
      <c r="D1715" t="s">
        <v>33</v>
      </c>
      <c r="E1715" t="s">
        <v>3848</v>
      </c>
      <c r="F1715" t="s">
        <v>46</v>
      </c>
      <c r="G1715">
        <v>14.45</v>
      </c>
      <c r="H1715">
        <v>64</v>
      </c>
      <c r="I1715" t="s">
        <v>23</v>
      </c>
      <c r="J1715" t="s">
        <v>37</v>
      </c>
      <c r="K1715" t="s">
        <v>286</v>
      </c>
      <c r="L1715">
        <v>363</v>
      </c>
      <c r="M1715" t="str">
        <f t="shared" si="52"/>
        <v>Low</v>
      </c>
      <c r="N1715" t="str">
        <f t="shared" si="53"/>
        <v>Average</v>
      </c>
    </row>
    <row r="1716" spans="1:14">
      <c r="A1716" t="s">
        <v>38</v>
      </c>
      <c r="B1716">
        <v>2019</v>
      </c>
      <c r="C1716" t="s">
        <v>3849</v>
      </c>
      <c r="D1716" t="s">
        <v>14</v>
      </c>
      <c r="E1716" t="s">
        <v>3850</v>
      </c>
      <c r="F1716" t="s">
        <v>57</v>
      </c>
      <c r="G1716">
        <v>33.22</v>
      </c>
      <c r="H1716">
        <v>67</v>
      </c>
      <c r="I1716" t="s">
        <v>61</v>
      </c>
      <c r="J1716" t="s">
        <v>37</v>
      </c>
      <c r="K1716" t="s">
        <v>705</v>
      </c>
      <c r="L1716">
        <v>36</v>
      </c>
      <c r="M1716" t="str">
        <f t="shared" si="52"/>
        <v>Medium</v>
      </c>
      <c r="N1716" t="str">
        <f t="shared" si="53"/>
        <v>Average</v>
      </c>
    </row>
    <row r="1717" spans="1:14">
      <c r="A1717" t="s">
        <v>38</v>
      </c>
      <c r="B1717">
        <v>2004</v>
      </c>
      <c r="C1717" t="s">
        <v>3851</v>
      </c>
      <c r="D1717" t="s">
        <v>33</v>
      </c>
      <c r="E1717" t="s">
        <v>3852</v>
      </c>
      <c r="F1717" t="s">
        <v>46</v>
      </c>
      <c r="G1717">
        <v>24.02</v>
      </c>
      <c r="H1717">
        <v>90</v>
      </c>
      <c r="I1717" t="s">
        <v>17</v>
      </c>
      <c r="J1717" t="s">
        <v>18</v>
      </c>
      <c r="K1717" t="s">
        <v>68</v>
      </c>
      <c r="L1717">
        <v>102</v>
      </c>
      <c r="M1717" t="str">
        <f t="shared" si="52"/>
        <v>Medium</v>
      </c>
      <c r="N1717" t="str">
        <f t="shared" si="53"/>
        <v>Excellent</v>
      </c>
    </row>
    <row r="1718" spans="1:14">
      <c r="A1718" t="s">
        <v>12</v>
      </c>
      <c r="B1718">
        <v>2008</v>
      </c>
      <c r="C1718" t="s">
        <v>3853</v>
      </c>
      <c r="D1718" t="s">
        <v>33</v>
      </c>
      <c r="E1718" t="s">
        <v>3854</v>
      </c>
      <c r="F1718" t="s">
        <v>35</v>
      </c>
      <c r="G1718">
        <v>29.52</v>
      </c>
      <c r="H1718">
        <v>83</v>
      </c>
      <c r="I1718" t="s">
        <v>61</v>
      </c>
      <c r="J1718" t="s">
        <v>37</v>
      </c>
      <c r="K1718" t="s">
        <v>38</v>
      </c>
      <c r="L1718">
        <v>118</v>
      </c>
      <c r="M1718" t="str">
        <f t="shared" si="52"/>
        <v>Medium</v>
      </c>
      <c r="N1718" t="str">
        <f t="shared" si="53"/>
        <v>Good</v>
      </c>
    </row>
    <row r="1719" spans="1:14">
      <c r="A1719" t="s">
        <v>20</v>
      </c>
      <c r="B1719">
        <v>2024</v>
      </c>
      <c r="C1719" t="s">
        <v>3855</v>
      </c>
      <c r="D1719" t="s">
        <v>14</v>
      </c>
      <c r="E1719" t="s">
        <v>2726</v>
      </c>
      <c r="F1719" t="s">
        <v>16</v>
      </c>
      <c r="G1719">
        <v>40.69</v>
      </c>
      <c r="H1719">
        <v>85</v>
      </c>
      <c r="I1719" t="s">
        <v>29</v>
      </c>
      <c r="J1719" t="s">
        <v>24</v>
      </c>
      <c r="K1719" t="s">
        <v>47</v>
      </c>
      <c r="L1719">
        <v>156</v>
      </c>
      <c r="M1719" t="str">
        <f t="shared" si="52"/>
        <v>High</v>
      </c>
      <c r="N1719" t="str">
        <f t="shared" si="53"/>
        <v>Good</v>
      </c>
    </row>
    <row r="1720" spans="1:14">
      <c r="A1720" t="s">
        <v>68</v>
      </c>
      <c r="B1720">
        <v>2021</v>
      </c>
      <c r="C1720" t="s">
        <v>3856</v>
      </c>
      <c r="D1720" t="s">
        <v>33</v>
      </c>
      <c r="E1720" t="s">
        <v>3857</v>
      </c>
      <c r="F1720" t="s">
        <v>46</v>
      </c>
      <c r="G1720">
        <v>25.05</v>
      </c>
      <c r="H1720">
        <v>86</v>
      </c>
      <c r="I1720" t="s">
        <v>36</v>
      </c>
      <c r="J1720" t="s">
        <v>18</v>
      </c>
      <c r="K1720" t="s">
        <v>3858</v>
      </c>
      <c r="L1720">
        <v>359</v>
      </c>
      <c r="M1720" t="str">
        <f t="shared" si="52"/>
        <v>Medium</v>
      </c>
      <c r="N1720" t="str">
        <f t="shared" si="53"/>
        <v>Good</v>
      </c>
    </row>
    <row r="1721" spans="1:14">
      <c r="A1721" t="s">
        <v>68</v>
      </c>
      <c r="B1721">
        <v>2010</v>
      </c>
      <c r="C1721" t="s">
        <v>3859</v>
      </c>
      <c r="D1721" t="s">
        <v>14</v>
      </c>
      <c r="E1721" t="s">
        <v>3860</v>
      </c>
      <c r="F1721" t="s">
        <v>35</v>
      </c>
      <c r="G1721">
        <v>15.92</v>
      </c>
      <c r="H1721">
        <v>96</v>
      </c>
      <c r="I1721" t="s">
        <v>61</v>
      </c>
      <c r="J1721" t="s">
        <v>18</v>
      </c>
      <c r="K1721" t="s">
        <v>47</v>
      </c>
      <c r="L1721">
        <v>141</v>
      </c>
      <c r="M1721" t="str">
        <f t="shared" si="52"/>
        <v>Medium</v>
      </c>
      <c r="N1721" t="str">
        <f t="shared" si="53"/>
        <v>Excellent</v>
      </c>
    </row>
    <row r="1722" spans="1:14">
      <c r="A1722" t="s">
        <v>39</v>
      </c>
      <c r="B1722">
        <v>2013</v>
      </c>
      <c r="C1722" t="s">
        <v>3861</v>
      </c>
      <c r="D1722" t="s">
        <v>33</v>
      </c>
      <c r="E1722" t="s">
        <v>3862</v>
      </c>
      <c r="F1722" t="s">
        <v>57</v>
      </c>
      <c r="G1722">
        <v>8.1300000000000008</v>
      </c>
      <c r="H1722">
        <v>92</v>
      </c>
      <c r="I1722" t="s">
        <v>29</v>
      </c>
      <c r="J1722" t="s">
        <v>18</v>
      </c>
      <c r="K1722" t="s">
        <v>167</v>
      </c>
      <c r="L1722">
        <v>157</v>
      </c>
      <c r="M1722" t="str">
        <f t="shared" si="52"/>
        <v>Low</v>
      </c>
      <c r="N1722" t="str">
        <f t="shared" si="53"/>
        <v>Excellent</v>
      </c>
    </row>
    <row r="1723" spans="1:14">
      <c r="A1723" t="s">
        <v>31</v>
      </c>
      <c r="B1723">
        <v>2016</v>
      </c>
      <c r="C1723" t="s">
        <v>3863</v>
      </c>
      <c r="D1723" t="s">
        <v>33</v>
      </c>
      <c r="E1723" t="s">
        <v>3864</v>
      </c>
      <c r="F1723" t="s">
        <v>42</v>
      </c>
      <c r="G1723">
        <v>4.17</v>
      </c>
      <c r="H1723">
        <v>84</v>
      </c>
      <c r="I1723" t="s">
        <v>36</v>
      </c>
      <c r="J1723" t="s">
        <v>24</v>
      </c>
      <c r="K1723" t="s">
        <v>3865</v>
      </c>
      <c r="L1723">
        <v>1</v>
      </c>
      <c r="M1723" t="str">
        <f t="shared" si="52"/>
        <v>Low</v>
      </c>
      <c r="N1723" t="str">
        <f t="shared" si="53"/>
        <v>Good</v>
      </c>
    </row>
    <row r="1724" spans="1:14">
      <c r="A1724" t="s">
        <v>68</v>
      </c>
      <c r="B1724">
        <v>2019</v>
      </c>
      <c r="C1724" t="s">
        <v>3866</v>
      </c>
      <c r="D1724" t="s">
        <v>14</v>
      </c>
      <c r="E1724" t="s">
        <v>3318</v>
      </c>
      <c r="F1724" t="s">
        <v>42</v>
      </c>
      <c r="G1724">
        <v>13.12</v>
      </c>
      <c r="H1724">
        <v>55</v>
      </c>
      <c r="I1724" t="s">
        <v>29</v>
      </c>
      <c r="J1724" t="s">
        <v>18</v>
      </c>
      <c r="K1724" t="s">
        <v>305</v>
      </c>
      <c r="L1724">
        <v>271</v>
      </c>
      <c r="M1724" t="str">
        <f t="shared" si="52"/>
        <v>Low</v>
      </c>
      <c r="N1724" t="str">
        <f t="shared" si="53"/>
        <v>Average</v>
      </c>
    </row>
    <row r="1725" spans="1:14">
      <c r="A1725" t="s">
        <v>48</v>
      </c>
      <c r="B1725">
        <v>2011</v>
      </c>
      <c r="C1725" t="s">
        <v>3867</v>
      </c>
      <c r="D1725" t="s">
        <v>33</v>
      </c>
      <c r="E1725" t="s">
        <v>3868</v>
      </c>
      <c r="F1725" t="s">
        <v>42</v>
      </c>
      <c r="G1725">
        <v>41.24</v>
      </c>
      <c r="H1725">
        <v>91</v>
      </c>
      <c r="I1725" t="s">
        <v>36</v>
      </c>
      <c r="J1725" t="s">
        <v>18</v>
      </c>
      <c r="K1725" t="s">
        <v>38</v>
      </c>
      <c r="L1725">
        <v>20</v>
      </c>
      <c r="M1725" t="str">
        <f t="shared" si="52"/>
        <v>High</v>
      </c>
      <c r="N1725" t="str">
        <f t="shared" si="53"/>
        <v>Excellent</v>
      </c>
    </row>
    <row r="1726" spans="1:14">
      <c r="A1726" t="s">
        <v>39</v>
      </c>
      <c r="B1726">
        <v>2000</v>
      </c>
      <c r="C1726" t="s">
        <v>3869</v>
      </c>
      <c r="D1726" t="s">
        <v>14</v>
      </c>
      <c r="E1726" t="s">
        <v>2925</v>
      </c>
      <c r="F1726" t="s">
        <v>42</v>
      </c>
      <c r="G1726">
        <v>49.7</v>
      </c>
      <c r="H1726">
        <v>97</v>
      </c>
      <c r="I1726" t="s">
        <v>23</v>
      </c>
      <c r="J1726" t="s">
        <v>18</v>
      </c>
      <c r="K1726" t="s">
        <v>2735</v>
      </c>
      <c r="L1726">
        <v>243</v>
      </c>
      <c r="M1726" t="str">
        <f t="shared" si="52"/>
        <v>High</v>
      </c>
      <c r="N1726" t="str">
        <f t="shared" si="53"/>
        <v>Excellent</v>
      </c>
    </row>
    <row r="1727" spans="1:14">
      <c r="A1727" t="s">
        <v>47</v>
      </c>
      <c r="B1727">
        <v>2007</v>
      </c>
      <c r="C1727" t="s">
        <v>3870</v>
      </c>
      <c r="D1727" t="s">
        <v>33</v>
      </c>
      <c r="E1727" t="s">
        <v>3871</v>
      </c>
      <c r="F1727" t="s">
        <v>46</v>
      </c>
      <c r="G1727">
        <v>16.72</v>
      </c>
      <c r="H1727">
        <v>94</v>
      </c>
      <c r="I1727" t="s">
        <v>17</v>
      </c>
      <c r="J1727" t="s">
        <v>18</v>
      </c>
      <c r="K1727" t="s">
        <v>1292</v>
      </c>
      <c r="L1727">
        <v>21</v>
      </c>
      <c r="M1727" t="str">
        <f t="shared" si="52"/>
        <v>Medium</v>
      </c>
      <c r="N1727" t="str">
        <f t="shared" si="53"/>
        <v>Excellent</v>
      </c>
    </row>
    <row r="1728" spans="1:14">
      <c r="A1728" t="s">
        <v>65</v>
      </c>
      <c r="B1728">
        <v>2001</v>
      </c>
      <c r="C1728" t="s">
        <v>3872</v>
      </c>
      <c r="D1728" t="s">
        <v>33</v>
      </c>
      <c r="E1728" t="s">
        <v>3873</v>
      </c>
      <c r="F1728" t="s">
        <v>35</v>
      </c>
      <c r="G1728">
        <v>34.369999999999997</v>
      </c>
      <c r="H1728">
        <v>72</v>
      </c>
      <c r="I1728" t="s">
        <v>17</v>
      </c>
      <c r="J1728" t="s">
        <v>37</v>
      </c>
      <c r="K1728" t="s">
        <v>687</v>
      </c>
      <c r="L1728">
        <v>83</v>
      </c>
      <c r="M1728" t="str">
        <f t="shared" si="52"/>
        <v>Medium</v>
      </c>
      <c r="N1728" t="str">
        <f t="shared" si="53"/>
        <v>Average</v>
      </c>
    </row>
    <row r="1729" spans="1:14">
      <c r="A1729" t="s">
        <v>26</v>
      </c>
      <c r="B1729">
        <v>2007</v>
      </c>
      <c r="C1729" t="s">
        <v>3874</v>
      </c>
      <c r="D1729" t="s">
        <v>33</v>
      </c>
      <c r="E1729" t="s">
        <v>3875</v>
      </c>
      <c r="F1729" t="s">
        <v>42</v>
      </c>
      <c r="G1729">
        <v>45.77</v>
      </c>
      <c r="H1729">
        <v>95</v>
      </c>
      <c r="I1729" t="s">
        <v>23</v>
      </c>
      <c r="J1729" t="s">
        <v>24</v>
      </c>
      <c r="K1729" t="s">
        <v>31</v>
      </c>
      <c r="L1729">
        <v>95</v>
      </c>
      <c r="M1729" t="str">
        <f t="shared" si="52"/>
        <v>High</v>
      </c>
      <c r="N1729" t="str">
        <f t="shared" si="53"/>
        <v>Excellent</v>
      </c>
    </row>
    <row r="1730" spans="1:14">
      <c r="A1730" t="s">
        <v>20</v>
      </c>
      <c r="B1730">
        <v>2013</v>
      </c>
      <c r="C1730" t="s">
        <v>3876</v>
      </c>
      <c r="D1730" t="s">
        <v>14</v>
      </c>
      <c r="E1730" t="s">
        <v>850</v>
      </c>
      <c r="F1730" t="s">
        <v>35</v>
      </c>
      <c r="G1730">
        <v>45.36</v>
      </c>
      <c r="H1730">
        <v>72</v>
      </c>
      <c r="I1730" t="s">
        <v>29</v>
      </c>
      <c r="J1730" t="s">
        <v>18</v>
      </c>
      <c r="K1730" t="s">
        <v>65</v>
      </c>
      <c r="L1730">
        <v>139</v>
      </c>
      <c r="M1730" t="str">
        <f t="shared" si="52"/>
        <v>High</v>
      </c>
      <c r="N1730" t="str">
        <f t="shared" si="53"/>
        <v>Average</v>
      </c>
    </row>
    <row r="1731" spans="1:14">
      <c r="A1731" t="s">
        <v>38</v>
      </c>
      <c r="B1731">
        <v>2012</v>
      </c>
      <c r="C1731" t="s">
        <v>3877</v>
      </c>
      <c r="D1731" t="s">
        <v>14</v>
      </c>
      <c r="E1731" t="s">
        <v>3878</v>
      </c>
      <c r="F1731" t="s">
        <v>57</v>
      </c>
      <c r="G1731">
        <v>33.380000000000003</v>
      </c>
      <c r="H1731">
        <v>90</v>
      </c>
      <c r="I1731" t="s">
        <v>23</v>
      </c>
      <c r="J1731" t="s">
        <v>18</v>
      </c>
      <c r="K1731" t="s">
        <v>2066</v>
      </c>
      <c r="L1731">
        <v>104</v>
      </c>
      <c r="M1731" t="str">
        <f t="shared" ref="M1731:M1794" si="54">IF(G1731&lt;15,"Low",IF(G1731&lt;35,"Medium","High"))</f>
        <v>Medium</v>
      </c>
      <c r="N1731" t="str">
        <f t="shared" ref="N1731:N1794" si="55">IF(H1731&gt;=90,"Excellent",IF(H1731&gt;=75,"Good","Average"))</f>
        <v>Excellent</v>
      </c>
    </row>
    <row r="1732" spans="1:14">
      <c r="A1732" t="s">
        <v>68</v>
      </c>
      <c r="B1732">
        <v>2018</v>
      </c>
      <c r="C1732" t="s">
        <v>3879</v>
      </c>
      <c r="D1732" t="s">
        <v>33</v>
      </c>
      <c r="E1732" t="s">
        <v>3880</v>
      </c>
      <c r="F1732" t="s">
        <v>46</v>
      </c>
      <c r="G1732">
        <v>47.66</v>
      </c>
      <c r="H1732">
        <v>93</v>
      </c>
      <c r="I1732" t="s">
        <v>17</v>
      </c>
      <c r="J1732" t="s">
        <v>18</v>
      </c>
      <c r="K1732" t="s">
        <v>457</v>
      </c>
      <c r="L1732">
        <v>44</v>
      </c>
      <c r="M1732" t="str">
        <f t="shared" si="54"/>
        <v>High</v>
      </c>
      <c r="N1732" t="str">
        <f t="shared" si="55"/>
        <v>Excellent</v>
      </c>
    </row>
    <row r="1733" spans="1:14">
      <c r="A1733" t="s">
        <v>39</v>
      </c>
      <c r="B1733">
        <v>2008</v>
      </c>
      <c r="C1733" t="s">
        <v>3881</v>
      </c>
      <c r="D1733" t="s">
        <v>14</v>
      </c>
      <c r="E1733" t="s">
        <v>3882</v>
      </c>
      <c r="F1733" t="s">
        <v>35</v>
      </c>
      <c r="G1733">
        <v>27.54</v>
      </c>
      <c r="H1733">
        <v>68</v>
      </c>
      <c r="I1733" t="s">
        <v>61</v>
      </c>
      <c r="J1733" t="s">
        <v>37</v>
      </c>
      <c r="K1733" t="s">
        <v>1743</v>
      </c>
      <c r="L1733">
        <v>101</v>
      </c>
      <c r="M1733" t="str">
        <f t="shared" si="54"/>
        <v>Medium</v>
      </c>
      <c r="N1733" t="str">
        <f t="shared" si="55"/>
        <v>Average</v>
      </c>
    </row>
    <row r="1734" spans="1:14">
      <c r="A1734" t="s">
        <v>68</v>
      </c>
      <c r="B1734">
        <v>2006</v>
      </c>
      <c r="C1734" t="s">
        <v>3883</v>
      </c>
      <c r="D1734" t="s">
        <v>33</v>
      </c>
      <c r="E1734" t="s">
        <v>3884</v>
      </c>
      <c r="F1734" t="s">
        <v>46</v>
      </c>
      <c r="G1734">
        <v>12.3</v>
      </c>
      <c r="H1734">
        <v>95</v>
      </c>
      <c r="I1734" t="s">
        <v>23</v>
      </c>
      <c r="J1734" t="s">
        <v>24</v>
      </c>
      <c r="K1734" t="s">
        <v>48</v>
      </c>
      <c r="L1734">
        <v>240</v>
      </c>
      <c r="M1734" t="str">
        <f t="shared" si="54"/>
        <v>Low</v>
      </c>
      <c r="N1734" t="str">
        <f t="shared" si="55"/>
        <v>Excellent</v>
      </c>
    </row>
    <row r="1735" spans="1:14">
      <c r="A1735" t="s">
        <v>48</v>
      </c>
      <c r="B1735">
        <v>2020</v>
      </c>
      <c r="C1735" t="s">
        <v>3885</v>
      </c>
      <c r="D1735" t="s">
        <v>14</v>
      </c>
      <c r="E1735" t="s">
        <v>2219</v>
      </c>
      <c r="F1735" t="s">
        <v>57</v>
      </c>
      <c r="G1735">
        <v>15.29</v>
      </c>
      <c r="H1735">
        <v>78</v>
      </c>
      <c r="I1735" t="s">
        <v>61</v>
      </c>
      <c r="J1735" t="s">
        <v>18</v>
      </c>
      <c r="K1735" t="s">
        <v>39</v>
      </c>
      <c r="L1735">
        <v>65</v>
      </c>
      <c r="M1735" t="str">
        <f t="shared" si="54"/>
        <v>Medium</v>
      </c>
      <c r="N1735" t="str">
        <f t="shared" si="55"/>
        <v>Good</v>
      </c>
    </row>
    <row r="1736" spans="1:14">
      <c r="A1736" t="s">
        <v>39</v>
      </c>
      <c r="B1736">
        <v>2012</v>
      </c>
      <c r="C1736" t="s">
        <v>3886</v>
      </c>
      <c r="D1736" t="s">
        <v>14</v>
      </c>
      <c r="E1736" t="s">
        <v>3887</v>
      </c>
      <c r="F1736" t="s">
        <v>46</v>
      </c>
      <c r="G1736">
        <v>47.72</v>
      </c>
      <c r="H1736">
        <v>69</v>
      </c>
      <c r="I1736" t="s">
        <v>23</v>
      </c>
      <c r="J1736" t="s">
        <v>18</v>
      </c>
      <c r="K1736" t="s">
        <v>31</v>
      </c>
      <c r="L1736">
        <v>251</v>
      </c>
      <c r="M1736" t="str">
        <f t="shared" si="54"/>
        <v>High</v>
      </c>
      <c r="N1736" t="str">
        <f t="shared" si="55"/>
        <v>Average</v>
      </c>
    </row>
    <row r="1737" spans="1:14">
      <c r="A1737" t="s">
        <v>47</v>
      </c>
      <c r="B1737">
        <v>2014</v>
      </c>
      <c r="C1737" t="s">
        <v>3888</v>
      </c>
      <c r="D1737" t="s">
        <v>14</v>
      </c>
      <c r="E1737" t="s">
        <v>3889</v>
      </c>
      <c r="F1737" t="s">
        <v>35</v>
      </c>
      <c r="G1737">
        <v>14.71</v>
      </c>
      <c r="H1737">
        <v>67</v>
      </c>
      <c r="I1737" t="s">
        <v>17</v>
      </c>
      <c r="J1737" t="s">
        <v>37</v>
      </c>
      <c r="K1737" t="s">
        <v>1292</v>
      </c>
      <c r="L1737">
        <v>266</v>
      </c>
      <c r="M1737" t="str">
        <f t="shared" si="54"/>
        <v>Low</v>
      </c>
      <c r="N1737" t="str">
        <f t="shared" si="55"/>
        <v>Average</v>
      </c>
    </row>
    <row r="1738" spans="1:14">
      <c r="A1738" t="s">
        <v>20</v>
      </c>
      <c r="B1738">
        <v>2015</v>
      </c>
      <c r="C1738" t="s">
        <v>3890</v>
      </c>
      <c r="D1738" t="s">
        <v>14</v>
      </c>
      <c r="E1738" t="s">
        <v>3891</v>
      </c>
      <c r="F1738" t="s">
        <v>16</v>
      </c>
      <c r="G1738">
        <v>46.56</v>
      </c>
      <c r="H1738">
        <v>98</v>
      </c>
      <c r="I1738" t="s">
        <v>36</v>
      </c>
      <c r="J1738" t="s">
        <v>18</v>
      </c>
      <c r="K1738" t="s">
        <v>3892</v>
      </c>
      <c r="L1738">
        <v>144</v>
      </c>
      <c r="M1738" t="str">
        <f t="shared" si="54"/>
        <v>High</v>
      </c>
      <c r="N1738" t="str">
        <f t="shared" si="55"/>
        <v>Excellent</v>
      </c>
    </row>
    <row r="1739" spans="1:14">
      <c r="A1739" t="s">
        <v>39</v>
      </c>
      <c r="B1739">
        <v>2025</v>
      </c>
      <c r="C1739" t="s">
        <v>3893</v>
      </c>
      <c r="D1739" t="s">
        <v>14</v>
      </c>
      <c r="E1739" t="s">
        <v>3894</v>
      </c>
      <c r="F1739" t="s">
        <v>46</v>
      </c>
      <c r="G1739">
        <v>21.26</v>
      </c>
      <c r="H1739">
        <v>97</v>
      </c>
      <c r="I1739" t="s">
        <v>17</v>
      </c>
      <c r="J1739" t="s">
        <v>18</v>
      </c>
      <c r="K1739" t="s">
        <v>1604</v>
      </c>
      <c r="L1739">
        <v>27</v>
      </c>
      <c r="M1739" t="str">
        <f t="shared" si="54"/>
        <v>Medium</v>
      </c>
      <c r="N1739" t="str">
        <f t="shared" si="55"/>
        <v>Excellent</v>
      </c>
    </row>
    <row r="1740" spans="1:14">
      <c r="A1740" t="s">
        <v>31</v>
      </c>
      <c r="B1740">
        <v>2024</v>
      </c>
      <c r="C1740" t="s">
        <v>3895</v>
      </c>
      <c r="D1740" t="s">
        <v>33</v>
      </c>
      <c r="E1740" t="s">
        <v>3896</v>
      </c>
      <c r="F1740" t="s">
        <v>35</v>
      </c>
      <c r="G1740">
        <v>13.97</v>
      </c>
      <c r="H1740">
        <v>55</v>
      </c>
      <c r="I1740" t="s">
        <v>29</v>
      </c>
      <c r="J1740" t="s">
        <v>37</v>
      </c>
      <c r="K1740" t="s">
        <v>31</v>
      </c>
      <c r="L1740">
        <v>283</v>
      </c>
      <c r="M1740" t="str">
        <f t="shared" si="54"/>
        <v>Low</v>
      </c>
      <c r="N1740" t="str">
        <f t="shared" si="55"/>
        <v>Average</v>
      </c>
    </row>
    <row r="1741" spans="1:14">
      <c r="A1741" t="s">
        <v>31</v>
      </c>
      <c r="B1741">
        <v>2009</v>
      </c>
      <c r="C1741" t="s">
        <v>3897</v>
      </c>
      <c r="D1741" t="s">
        <v>33</v>
      </c>
      <c r="E1741" t="s">
        <v>3898</v>
      </c>
      <c r="F1741" t="s">
        <v>57</v>
      </c>
      <c r="G1741">
        <v>15.68</v>
      </c>
      <c r="H1741">
        <v>92</v>
      </c>
      <c r="I1741" t="s">
        <v>36</v>
      </c>
      <c r="J1741" t="s">
        <v>18</v>
      </c>
      <c r="K1741" t="s">
        <v>317</v>
      </c>
      <c r="L1741">
        <v>325</v>
      </c>
      <c r="M1741" t="str">
        <f t="shared" si="54"/>
        <v>Medium</v>
      </c>
      <c r="N1741" t="str">
        <f t="shared" si="55"/>
        <v>Excellent</v>
      </c>
    </row>
    <row r="1742" spans="1:14">
      <c r="A1742" t="s">
        <v>68</v>
      </c>
      <c r="B1742">
        <v>2004</v>
      </c>
      <c r="C1742" t="s">
        <v>3899</v>
      </c>
      <c r="D1742" t="s">
        <v>33</v>
      </c>
      <c r="E1742" t="s">
        <v>3900</v>
      </c>
      <c r="F1742" t="s">
        <v>35</v>
      </c>
      <c r="G1742">
        <v>40.58</v>
      </c>
      <c r="H1742">
        <v>63</v>
      </c>
      <c r="I1742" t="s">
        <v>23</v>
      </c>
      <c r="J1742" t="s">
        <v>24</v>
      </c>
      <c r="K1742" t="s">
        <v>1283</v>
      </c>
      <c r="L1742">
        <v>182</v>
      </c>
      <c r="M1742" t="str">
        <f t="shared" si="54"/>
        <v>High</v>
      </c>
      <c r="N1742" t="str">
        <f t="shared" si="55"/>
        <v>Average</v>
      </c>
    </row>
    <row r="1743" spans="1:14">
      <c r="A1743" t="s">
        <v>65</v>
      </c>
      <c r="B1743">
        <v>2005</v>
      </c>
      <c r="C1743" t="s">
        <v>3901</v>
      </c>
      <c r="D1743" t="s">
        <v>33</v>
      </c>
      <c r="E1743" t="s">
        <v>3902</v>
      </c>
      <c r="F1743" t="s">
        <v>46</v>
      </c>
      <c r="G1743">
        <v>18</v>
      </c>
      <c r="H1743">
        <v>57</v>
      </c>
      <c r="I1743" t="s">
        <v>61</v>
      </c>
      <c r="J1743" t="s">
        <v>24</v>
      </c>
      <c r="K1743" t="s">
        <v>831</v>
      </c>
      <c r="L1743">
        <v>202</v>
      </c>
      <c r="M1743" t="str">
        <f t="shared" si="54"/>
        <v>Medium</v>
      </c>
      <c r="N1743" t="str">
        <f t="shared" si="55"/>
        <v>Average</v>
      </c>
    </row>
    <row r="1744" spans="1:14">
      <c r="A1744" t="s">
        <v>31</v>
      </c>
      <c r="B1744">
        <v>2006</v>
      </c>
      <c r="C1744" t="s">
        <v>3903</v>
      </c>
      <c r="D1744" t="s">
        <v>14</v>
      </c>
      <c r="E1744" t="s">
        <v>3904</v>
      </c>
      <c r="F1744" t="s">
        <v>42</v>
      </c>
      <c r="G1744">
        <v>35.72</v>
      </c>
      <c r="H1744">
        <v>92</v>
      </c>
      <c r="I1744" t="s">
        <v>36</v>
      </c>
      <c r="J1744" t="s">
        <v>18</v>
      </c>
      <c r="K1744" t="s">
        <v>25</v>
      </c>
      <c r="L1744">
        <v>338</v>
      </c>
      <c r="M1744" t="str">
        <f t="shared" si="54"/>
        <v>High</v>
      </c>
      <c r="N1744" t="str">
        <f t="shared" si="55"/>
        <v>Excellent</v>
      </c>
    </row>
    <row r="1745" spans="1:14">
      <c r="A1745" t="s">
        <v>48</v>
      </c>
      <c r="B1745">
        <v>2024</v>
      </c>
      <c r="C1745" t="s">
        <v>3905</v>
      </c>
      <c r="D1745" t="s">
        <v>33</v>
      </c>
      <c r="E1745" t="s">
        <v>3906</v>
      </c>
      <c r="F1745" t="s">
        <v>16</v>
      </c>
      <c r="G1745">
        <v>16.510000000000002</v>
      </c>
      <c r="H1745">
        <v>53</v>
      </c>
      <c r="I1745" t="s">
        <v>36</v>
      </c>
      <c r="J1745" t="s">
        <v>18</v>
      </c>
      <c r="K1745" t="s">
        <v>151</v>
      </c>
      <c r="L1745">
        <v>305</v>
      </c>
      <c r="M1745" t="str">
        <f t="shared" si="54"/>
        <v>Medium</v>
      </c>
      <c r="N1745" t="str">
        <f t="shared" si="55"/>
        <v>Average</v>
      </c>
    </row>
    <row r="1746" spans="1:14">
      <c r="A1746" t="s">
        <v>31</v>
      </c>
      <c r="B1746">
        <v>2002</v>
      </c>
      <c r="C1746" t="s">
        <v>3907</v>
      </c>
      <c r="D1746" t="s">
        <v>14</v>
      </c>
      <c r="E1746" t="s">
        <v>3908</v>
      </c>
      <c r="F1746" t="s">
        <v>46</v>
      </c>
      <c r="G1746">
        <v>35.700000000000003</v>
      </c>
      <c r="H1746">
        <v>100</v>
      </c>
      <c r="I1746" t="s">
        <v>36</v>
      </c>
      <c r="J1746" t="s">
        <v>24</v>
      </c>
      <c r="K1746" t="s">
        <v>220</v>
      </c>
      <c r="L1746">
        <v>264</v>
      </c>
      <c r="M1746" t="str">
        <f t="shared" si="54"/>
        <v>High</v>
      </c>
      <c r="N1746" t="str">
        <f t="shared" si="55"/>
        <v>Excellent</v>
      </c>
    </row>
    <row r="1747" spans="1:14">
      <c r="A1747" t="s">
        <v>65</v>
      </c>
      <c r="B1747">
        <v>2000</v>
      </c>
      <c r="C1747" t="s">
        <v>3909</v>
      </c>
      <c r="D1747" t="s">
        <v>33</v>
      </c>
      <c r="E1747" t="s">
        <v>3910</v>
      </c>
      <c r="F1747" t="s">
        <v>42</v>
      </c>
      <c r="G1747">
        <v>28.15</v>
      </c>
      <c r="H1747">
        <v>71</v>
      </c>
      <c r="I1747" t="s">
        <v>36</v>
      </c>
      <c r="J1747" t="s">
        <v>24</v>
      </c>
      <c r="K1747" t="s">
        <v>20</v>
      </c>
      <c r="L1747">
        <v>200</v>
      </c>
      <c r="M1747" t="str">
        <f t="shared" si="54"/>
        <v>Medium</v>
      </c>
      <c r="N1747" t="str">
        <f t="shared" si="55"/>
        <v>Average</v>
      </c>
    </row>
    <row r="1748" spans="1:14">
      <c r="A1748" t="s">
        <v>65</v>
      </c>
      <c r="B1748">
        <v>2008</v>
      </c>
      <c r="C1748" t="s">
        <v>3911</v>
      </c>
      <c r="D1748" t="s">
        <v>33</v>
      </c>
      <c r="E1748" t="s">
        <v>3912</v>
      </c>
      <c r="F1748" t="s">
        <v>46</v>
      </c>
      <c r="G1748">
        <v>40.61</v>
      </c>
      <c r="H1748">
        <v>62</v>
      </c>
      <c r="I1748" t="s">
        <v>36</v>
      </c>
      <c r="J1748" t="s">
        <v>37</v>
      </c>
      <c r="K1748" t="s">
        <v>289</v>
      </c>
      <c r="L1748">
        <v>96</v>
      </c>
      <c r="M1748" t="str">
        <f t="shared" si="54"/>
        <v>High</v>
      </c>
      <c r="N1748" t="str">
        <f t="shared" si="55"/>
        <v>Average</v>
      </c>
    </row>
    <row r="1749" spans="1:14">
      <c r="A1749" t="s">
        <v>68</v>
      </c>
      <c r="B1749">
        <v>2024</v>
      </c>
      <c r="C1749" t="s">
        <v>3913</v>
      </c>
      <c r="D1749" t="s">
        <v>33</v>
      </c>
      <c r="E1749" t="s">
        <v>3914</v>
      </c>
      <c r="F1749" t="s">
        <v>57</v>
      </c>
      <c r="G1749">
        <v>17.13</v>
      </c>
      <c r="H1749">
        <v>53</v>
      </c>
      <c r="I1749" t="s">
        <v>23</v>
      </c>
      <c r="J1749" t="s">
        <v>18</v>
      </c>
      <c r="K1749" t="s">
        <v>2032</v>
      </c>
      <c r="L1749">
        <v>35</v>
      </c>
      <c r="M1749" t="str">
        <f t="shared" si="54"/>
        <v>Medium</v>
      </c>
      <c r="N1749" t="str">
        <f t="shared" si="55"/>
        <v>Average</v>
      </c>
    </row>
    <row r="1750" spans="1:14">
      <c r="A1750" t="s">
        <v>65</v>
      </c>
      <c r="B1750">
        <v>2018</v>
      </c>
      <c r="C1750" t="s">
        <v>3915</v>
      </c>
      <c r="D1750" t="s">
        <v>33</v>
      </c>
      <c r="E1750" t="s">
        <v>3916</v>
      </c>
      <c r="F1750" t="s">
        <v>35</v>
      </c>
      <c r="G1750">
        <v>3.71</v>
      </c>
      <c r="H1750">
        <v>95</v>
      </c>
      <c r="I1750" t="s">
        <v>29</v>
      </c>
      <c r="J1750" t="s">
        <v>18</v>
      </c>
      <c r="K1750" t="s">
        <v>314</v>
      </c>
      <c r="L1750">
        <v>259</v>
      </c>
      <c r="M1750" t="str">
        <f t="shared" si="54"/>
        <v>Low</v>
      </c>
      <c r="N1750" t="str">
        <f t="shared" si="55"/>
        <v>Excellent</v>
      </c>
    </row>
    <row r="1751" spans="1:14">
      <c r="A1751" t="s">
        <v>20</v>
      </c>
      <c r="B1751">
        <v>2018</v>
      </c>
      <c r="C1751" t="s">
        <v>3917</v>
      </c>
      <c r="D1751" t="s">
        <v>14</v>
      </c>
      <c r="E1751" t="s">
        <v>3918</v>
      </c>
      <c r="F1751" t="s">
        <v>46</v>
      </c>
      <c r="G1751">
        <v>39.21</v>
      </c>
      <c r="H1751">
        <v>77</v>
      </c>
      <c r="I1751" t="s">
        <v>29</v>
      </c>
      <c r="J1751" t="s">
        <v>24</v>
      </c>
      <c r="K1751" t="s">
        <v>84</v>
      </c>
      <c r="L1751">
        <v>105</v>
      </c>
      <c r="M1751" t="str">
        <f t="shared" si="54"/>
        <v>High</v>
      </c>
      <c r="N1751" t="str">
        <f t="shared" si="55"/>
        <v>Good</v>
      </c>
    </row>
    <row r="1752" spans="1:14">
      <c r="A1752" t="s">
        <v>39</v>
      </c>
      <c r="B1752">
        <v>2001</v>
      </c>
      <c r="C1752" t="s">
        <v>3919</v>
      </c>
      <c r="D1752" t="s">
        <v>33</v>
      </c>
      <c r="E1752" t="s">
        <v>3920</v>
      </c>
      <c r="F1752" t="s">
        <v>35</v>
      </c>
      <c r="G1752">
        <v>34.72</v>
      </c>
      <c r="H1752">
        <v>57</v>
      </c>
      <c r="I1752" t="s">
        <v>29</v>
      </c>
      <c r="J1752" t="s">
        <v>24</v>
      </c>
      <c r="K1752" t="s">
        <v>1189</v>
      </c>
      <c r="L1752">
        <v>359</v>
      </c>
      <c r="M1752" t="str">
        <f t="shared" si="54"/>
        <v>Medium</v>
      </c>
      <c r="N1752" t="str">
        <f t="shared" si="55"/>
        <v>Average</v>
      </c>
    </row>
    <row r="1753" spans="1:14">
      <c r="A1753" t="s">
        <v>47</v>
      </c>
      <c r="B1753">
        <v>2013</v>
      </c>
      <c r="C1753" t="s">
        <v>3921</v>
      </c>
      <c r="D1753" t="s">
        <v>33</v>
      </c>
      <c r="E1753" t="s">
        <v>3922</v>
      </c>
      <c r="F1753" t="s">
        <v>57</v>
      </c>
      <c r="G1753">
        <v>10.050000000000001</v>
      </c>
      <c r="H1753">
        <v>57</v>
      </c>
      <c r="I1753" t="s">
        <v>17</v>
      </c>
      <c r="J1753" t="s">
        <v>37</v>
      </c>
      <c r="K1753" t="s">
        <v>1237</v>
      </c>
      <c r="L1753">
        <v>75</v>
      </c>
      <c r="M1753" t="str">
        <f t="shared" si="54"/>
        <v>Low</v>
      </c>
      <c r="N1753" t="str">
        <f t="shared" si="55"/>
        <v>Average</v>
      </c>
    </row>
    <row r="1754" spans="1:14">
      <c r="A1754" t="s">
        <v>47</v>
      </c>
      <c r="B1754">
        <v>2006</v>
      </c>
      <c r="C1754" t="s">
        <v>3923</v>
      </c>
      <c r="D1754" t="s">
        <v>33</v>
      </c>
      <c r="E1754" t="s">
        <v>3924</v>
      </c>
      <c r="F1754" t="s">
        <v>42</v>
      </c>
      <c r="G1754">
        <v>35.520000000000003</v>
      </c>
      <c r="H1754">
        <v>86</v>
      </c>
      <c r="I1754" t="s">
        <v>23</v>
      </c>
      <c r="J1754" t="s">
        <v>24</v>
      </c>
      <c r="K1754" t="s">
        <v>2554</v>
      </c>
      <c r="L1754">
        <v>274</v>
      </c>
      <c r="M1754" t="str">
        <f t="shared" si="54"/>
        <v>High</v>
      </c>
      <c r="N1754" t="str">
        <f t="shared" si="55"/>
        <v>Good</v>
      </c>
    </row>
    <row r="1755" spans="1:14">
      <c r="A1755" t="s">
        <v>26</v>
      </c>
      <c r="B1755">
        <v>2018</v>
      </c>
      <c r="C1755" t="s">
        <v>3925</v>
      </c>
      <c r="D1755" t="s">
        <v>33</v>
      </c>
      <c r="E1755" t="s">
        <v>3926</v>
      </c>
      <c r="F1755" t="s">
        <v>46</v>
      </c>
      <c r="G1755">
        <v>22.86</v>
      </c>
      <c r="H1755">
        <v>89</v>
      </c>
      <c r="I1755" t="s">
        <v>29</v>
      </c>
      <c r="J1755" t="s">
        <v>37</v>
      </c>
      <c r="K1755" t="s">
        <v>184</v>
      </c>
      <c r="L1755">
        <v>205</v>
      </c>
      <c r="M1755" t="str">
        <f t="shared" si="54"/>
        <v>Medium</v>
      </c>
      <c r="N1755" t="str">
        <f t="shared" si="55"/>
        <v>Good</v>
      </c>
    </row>
    <row r="1756" spans="1:14">
      <c r="A1756" t="s">
        <v>48</v>
      </c>
      <c r="B1756">
        <v>2006</v>
      </c>
      <c r="C1756" t="s">
        <v>3927</v>
      </c>
      <c r="D1756" t="s">
        <v>33</v>
      </c>
      <c r="E1756" t="s">
        <v>3928</v>
      </c>
      <c r="F1756" t="s">
        <v>42</v>
      </c>
      <c r="G1756">
        <v>36.54</v>
      </c>
      <c r="H1756">
        <v>82</v>
      </c>
      <c r="I1756" t="s">
        <v>29</v>
      </c>
      <c r="J1756" t="s">
        <v>18</v>
      </c>
      <c r="K1756" t="s">
        <v>201</v>
      </c>
      <c r="L1756">
        <v>192</v>
      </c>
      <c r="M1756" t="str">
        <f t="shared" si="54"/>
        <v>High</v>
      </c>
      <c r="N1756" t="str">
        <f t="shared" si="55"/>
        <v>Good</v>
      </c>
    </row>
    <row r="1757" spans="1:14">
      <c r="A1757" t="s">
        <v>38</v>
      </c>
      <c r="B1757">
        <v>2002</v>
      </c>
      <c r="C1757" t="s">
        <v>3929</v>
      </c>
      <c r="D1757" t="s">
        <v>14</v>
      </c>
      <c r="E1757" t="s">
        <v>3930</v>
      </c>
      <c r="F1757" t="s">
        <v>46</v>
      </c>
      <c r="G1757">
        <v>33.53</v>
      </c>
      <c r="H1757">
        <v>89</v>
      </c>
      <c r="I1757" t="s">
        <v>61</v>
      </c>
      <c r="J1757" t="s">
        <v>18</v>
      </c>
      <c r="K1757" t="s">
        <v>752</v>
      </c>
      <c r="L1757">
        <v>279</v>
      </c>
      <c r="M1757" t="str">
        <f t="shared" si="54"/>
        <v>Medium</v>
      </c>
      <c r="N1757" t="str">
        <f t="shared" si="55"/>
        <v>Good</v>
      </c>
    </row>
    <row r="1758" spans="1:14">
      <c r="A1758" t="s">
        <v>38</v>
      </c>
      <c r="B1758">
        <v>2005</v>
      </c>
      <c r="C1758" t="s">
        <v>3931</v>
      </c>
      <c r="D1758" t="s">
        <v>14</v>
      </c>
      <c r="E1758" t="s">
        <v>3932</v>
      </c>
      <c r="F1758" t="s">
        <v>35</v>
      </c>
      <c r="G1758">
        <v>32.4</v>
      </c>
      <c r="H1758">
        <v>91</v>
      </c>
      <c r="I1758" t="s">
        <v>29</v>
      </c>
      <c r="J1758" t="s">
        <v>37</v>
      </c>
      <c r="K1758" t="s">
        <v>20</v>
      </c>
      <c r="L1758">
        <v>166</v>
      </c>
      <c r="M1758" t="str">
        <f t="shared" si="54"/>
        <v>Medium</v>
      </c>
      <c r="N1758" t="str">
        <f t="shared" si="55"/>
        <v>Excellent</v>
      </c>
    </row>
    <row r="1759" spans="1:14">
      <c r="A1759" t="s">
        <v>65</v>
      </c>
      <c r="B1759">
        <v>2003</v>
      </c>
      <c r="C1759" t="s">
        <v>3933</v>
      </c>
      <c r="D1759" t="s">
        <v>14</v>
      </c>
      <c r="E1759" t="s">
        <v>3934</v>
      </c>
      <c r="F1759" t="s">
        <v>42</v>
      </c>
      <c r="G1759">
        <v>13.33</v>
      </c>
      <c r="H1759">
        <v>55</v>
      </c>
      <c r="I1759" t="s">
        <v>61</v>
      </c>
      <c r="J1759" t="s">
        <v>18</v>
      </c>
      <c r="K1759" t="s">
        <v>48</v>
      </c>
      <c r="L1759">
        <v>340</v>
      </c>
      <c r="M1759" t="str">
        <f t="shared" si="54"/>
        <v>Low</v>
      </c>
      <c r="N1759" t="str">
        <f t="shared" si="55"/>
        <v>Average</v>
      </c>
    </row>
    <row r="1760" spans="1:14">
      <c r="A1760" t="s">
        <v>31</v>
      </c>
      <c r="B1760">
        <v>2013</v>
      </c>
      <c r="C1760" t="s">
        <v>3935</v>
      </c>
      <c r="D1760" t="s">
        <v>33</v>
      </c>
      <c r="E1760" t="s">
        <v>3904</v>
      </c>
      <c r="F1760" t="s">
        <v>35</v>
      </c>
      <c r="G1760">
        <v>20.04</v>
      </c>
      <c r="H1760">
        <v>86</v>
      </c>
      <c r="I1760" t="s">
        <v>61</v>
      </c>
      <c r="J1760" t="s">
        <v>24</v>
      </c>
      <c r="K1760" t="s">
        <v>139</v>
      </c>
      <c r="L1760">
        <v>330</v>
      </c>
      <c r="M1760" t="str">
        <f t="shared" si="54"/>
        <v>Medium</v>
      </c>
      <c r="N1760" t="str">
        <f t="shared" si="55"/>
        <v>Good</v>
      </c>
    </row>
    <row r="1761" spans="1:14">
      <c r="A1761" t="s">
        <v>39</v>
      </c>
      <c r="B1761">
        <v>2013</v>
      </c>
      <c r="C1761" t="s">
        <v>3936</v>
      </c>
      <c r="D1761" t="s">
        <v>33</v>
      </c>
      <c r="E1761" t="s">
        <v>2921</v>
      </c>
      <c r="F1761" t="s">
        <v>35</v>
      </c>
      <c r="G1761">
        <v>49.27</v>
      </c>
      <c r="H1761">
        <v>55</v>
      </c>
      <c r="I1761" t="s">
        <v>17</v>
      </c>
      <c r="J1761" t="s">
        <v>24</v>
      </c>
      <c r="K1761" t="s">
        <v>48</v>
      </c>
      <c r="L1761">
        <v>307</v>
      </c>
      <c r="M1761" t="str">
        <f t="shared" si="54"/>
        <v>High</v>
      </c>
      <c r="N1761" t="str">
        <f t="shared" si="55"/>
        <v>Average</v>
      </c>
    </row>
    <row r="1762" spans="1:14">
      <c r="A1762" t="s">
        <v>47</v>
      </c>
      <c r="B1762">
        <v>2025</v>
      </c>
      <c r="C1762" t="s">
        <v>3937</v>
      </c>
      <c r="D1762" t="s">
        <v>14</v>
      </c>
      <c r="E1762" t="s">
        <v>3938</v>
      </c>
      <c r="F1762" t="s">
        <v>16</v>
      </c>
      <c r="G1762">
        <v>39.229999999999997</v>
      </c>
      <c r="H1762">
        <v>94</v>
      </c>
      <c r="I1762" t="s">
        <v>29</v>
      </c>
      <c r="J1762" t="s">
        <v>18</v>
      </c>
      <c r="K1762" t="s">
        <v>831</v>
      </c>
      <c r="L1762">
        <v>249</v>
      </c>
      <c r="M1762" t="str">
        <f t="shared" si="54"/>
        <v>High</v>
      </c>
      <c r="N1762" t="str">
        <f t="shared" si="55"/>
        <v>Excellent</v>
      </c>
    </row>
    <row r="1763" spans="1:14">
      <c r="A1763" t="s">
        <v>48</v>
      </c>
      <c r="B1763">
        <v>2010</v>
      </c>
      <c r="C1763" t="s">
        <v>3939</v>
      </c>
      <c r="D1763" t="s">
        <v>14</v>
      </c>
      <c r="E1763" t="s">
        <v>3940</v>
      </c>
      <c r="F1763" t="s">
        <v>57</v>
      </c>
      <c r="G1763">
        <v>12.77</v>
      </c>
      <c r="H1763">
        <v>82</v>
      </c>
      <c r="I1763" t="s">
        <v>23</v>
      </c>
      <c r="J1763" t="s">
        <v>18</v>
      </c>
      <c r="K1763" t="s">
        <v>220</v>
      </c>
      <c r="L1763">
        <v>191</v>
      </c>
      <c r="M1763" t="str">
        <f t="shared" si="54"/>
        <v>Low</v>
      </c>
      <c r="N1763" t="str">
        <f t="shared" si="55"/>
        <v>Good</v>
      </c>
    </row>
    <row r="1764" spans="1:14">
      <c r="A1764" t="s">
        <v>26</v>
      </c>
      <c r="B1764">
        <v>2006</v>
      </c>
      <c r="C1764" t="s">
        <v>3941</v>
      </c>
      <c r="D1764" t="s">
        <v>33</v>
      </c>
      <c r="E1764" t="s">
        <v>2762</v>
      </c>
      <c r="F1764" t="s">
        <v>46</v>
      </c>
      <c r="G1764">
        <v>10.63</v>
      </c>
      <c r="H1764">
        <v>97</v>
      </c>
      <c r="I1764" t="s">
        <v>23</v>
      </c>
      <c r="J1764" t="s">
        <v>18</v>
      </c>
      <c r="K1764" t="s">
        <v>3942</v>
      </c>
      <c r="L1764">
        <v>363</v>
      </c>
      <c r="M1764" t="str">
        <f t="shared" si="54"/>
        <v>Low</v>
      </c>
      <c r="N1764" t="str">
        <f t="shared" si="55"/>
        <v>Excellent</v>
      </c>
    </row>
    <row r="1765" spans="1:14">
      <c r="A1765" t="s">
        <v>47</v>
      </c>
      <c r="B1765">
        <v>2011</v>
      </c>
      <c r="C1765" t="s">
        <v>3943</v>
      </c>
      <c r="D1765" t="s">
        <v>14</v>
      </c>
      <c r="E1765" t="s">
        <v>3944</v>
      </c>
      <c r="F1765" t="s">
        <v>35</v>
      </c>
      <c r="G1765">
        <v>25.59</v>
      </c>
      <c r="H1765">
        <v>90</v>
      </c>
      <c r="I1765" t="s">
        <v>17</v>
      </c>
      <c r="J1765" t="s">
        <v>18</v>
      </c>
      <c r="K1765" t="s">
        <v>1873</v>
      </c>
      <c r="L1765">
        <v>145</v>
      </c>
      <c r="M1765" t="str">
        <f t="shared" si="54"/>
        <v>Medium</v>
      </c>
      <c r="N1765" t="str">
        <f t="shared" si="55"/>
        <v>Excellent</v>
      </c>
    </row>
    <row r="1766" spans="1:14">
      <c r="A1766" t="s">
        <v>47</v>
      </c>
      <c r="B1766">
        <v>2004</v>
      </c>
      <c r="C1766" t="s">
        <v>3945</v>
      </c>
      <c r="D1766" t="s">
        <v>33</v>
      </c>
      <c r="E1766" t="s">
        <v>3946</v>
      </c>
      <c r="F1766" t="s">
        <v>16</v>
      </c>
      <c r="G1766">
        <v>40.479999999999997</v>
      </c>
      <c r="H1766">
        <v>84</v>
      </c>
      <c r="I1766" t="s">
        <v>17</v>
      </c>
      <c r="J1766" t="s">
        <v>24</v>
      </c>
      <c r="K1766" t="s">
        <v>68</v>
      </c>
      <c r="L1766">
        <v>155</v>
      </c>
      <c r="M1766" t="str">
        <f t="shared" si="54"/>
        <v>High</v>
      </c>
      <c r="N1766" t="str">
        <f t="shared" si="55"/>
        <v>Good</v>
      </c>
    </row>
    <row r="1767" spans="1:14">
      <c r="A1767" t="s">
        <v>12</v>
      </c>
      <c r="B1767">
        <v>2017</v>
      </c>
      <c r="C1767" t="s">
        <v>3947</v>
      </c>
      <c r="D1767" t="s">
        <v>14</v>
      </c>
      <c r="E1767" t="s">
        <v>3948</v>
      </c>
      <c r="F1767" t="s">
        <v>35</v>
      </c>
      <c r="G1767">
        <v>46.41</v>
      </c>
      <c r="H1767">
        <v>58</v>
      </c>
      <c r="I1767" t="s">
        <v>61</v>
      </c>
      <c r="J1767" t="s">
        <v>24</v>
      </c>
      <c r="K1767" t="s">
        <v>3949</v>
      </c>
      <c r="L1767">
        <v>106</v>
      </c>
      <c r="M1767" t="str">
        <f t="shared" si="54"/>
        <v>High</v>
      </c>
      <c r="N1767" t="str">
        <f t="shared" si="55"/>
        <v>Average</v>
      </c>
    </row>
    <row r="1768" spans="1:14">
      <c r="A1768" t="s">
        <v>12</v>
      </c>
      <c r="B1768">
        <v>2008</v>
      </c>
      <c r="C1768" t="s">
        <v>3950</v>
      </c>
      <c r="D1768" t="s">
        <v>33</v>
      </c>
      <c r="E1768" t="s">
        <v>1912</v>
      </c>
      <c r="F1768" t="s">
        <v>35</v>
      </c>
      <c r="G1768">
        <v>12.72</v>
      </c>
      <c r="H1768">
        <v>94</v>
      </c>
      <c r="I1768" t="s">
        <v>36</v>
      </c>
      <c r="J1768" t="s">
        <v>18</v>
      </c>
      <c r="K1768" t="s">
        <v>348</v>
      </c>
      <c r="L1768">
        <v>279</v>
      </c>
      <c r="M1768" t="str">
        <f t="shared" si="54"/>
        <v>Low</v>
      </c>
      <c r="N1768" t="str">
        <f t="shared" si="55"/>
        <v>Excellent</v>
      </c>
    </row>
    <row r="1769" spans="1:14">
      <c r="A1769" t="s">
        <v>31</v>
      </c>
      <c r="B1769">
        <v>2012</v>
      </c>
      <c r="C1769" t="s">
        <v>3951</v>
      </c>
      <c r="D1769" t="s">
        <v>33</v>
      </c>
      <c r="E1769" t="s">
        <v>3952</v>
      </c>
      <c r="F1769" t="s">
        <v>42</v>
      </c>
      <c r="G1769">
        <v>33.299999999999997</v>
      </c>
      <c r="H1769">
        <v>88</v>
      </c>
      <c r="I1769" t="s">
        <v>61</v>
      </c>
      <c r="J1769" t="s">
        <v>18</v>
      </c>
      <c r="K1769" t="s">
        <v>217</v>
      </c>
      <c r="L1769">
        <v>199</v>
      </c>
      <c r="M1769" t="str">
        <f t="shared" si="54"/>
        <v>Medium</v>
      </c>
      <c r="N1769" t="str">
        <f t="shared" si="55"/>
        <v>Good</v>
      </c>
    </row>
    <row r="1770" spans="1:14">
      <c r="A1770" t="s">
        <v>20</v>
      </c>
      <c r="B1770">
        <v>2008</v>
      </c>
      <c r="C1770" t="s">
        <v>3953</v>
      </c>
      <c r="D1770" t="s">
        <v>14</v>
      </c>
      <c r="E1770" t="s">
        <v>1828</v>
      </c>
      <c r="F1770" t="s">
        <v>35</v>
      </c>
      <c r="G1770">
        <v>15.67</v>
      </c>
      <c r="H1770">
        <v>56</v>
      </c>
      <c r="I1770" t="s">
        <v>23</v>
      </c>
      <c r="J1770" t="s">
        <v>18</v>
      </c>
      <c r="K1770" t="s">
        <v>3954</v>
      </c>
      <c r="L1770">
        <v>265</v>
      </c>
      <c r="M1770" t="str">
        <f t="shared" si="54"/>
        <v>Medium</v>
      </c>
      <c r="N1770" t="str">
        <f t="shared" si="55"/>
        <v>Average</v>
      </c>
    </row>
    <row r="1771" spans="1:14">
      <c r="A1771" t="s">
        <v>38</v>
      </c>
      <c r="B1771">
        <v>2001</v>
      </c>
      <c r="C1771" t="s">
        <v>3955</v>
      </c>
      <c r="D1771" t="s">
        <v>14</v>
      </c>
      <c r="E1771" t="s">
        <v>3956</v>
      </c>
      <c r="F1771" t="s">
        <v>57</v>
      </c>
      <c r="G1771">
        <v>16.12</v>
      </c>
      <c r="H1771">
        <v>54</v>
      </c>
      <c r="I1771" t="s">
        <v>61</v>
      </c>
      <c r="J1771" t="s">
        <v>37</v>
      </c>
      <c r="K1771" t="s">
        <v>3957</v>
      </c>
      <c r="L1771">
        <v>144</v>
      </c>
      <c r="M1771" t="str">
        <f t="shared" si="54"/>
        <v>Medium</v>
      </c>
      <c r="N1771" t="str">
        <f t="shared" si="55"/>
        <v>Average</v>
      </c>
    </row>
    <row r="1772" spans="1:14">
      <c r="A1772" t="s">
        <v>38</v>
      </c>
      <c r="B1772">
        <v>2016</v>
      </c>
      <c r="C1772" t="s">
        <v>3958</v>
      </c>
      <c r="D1772" t="s">
        <v>14</v>
      </c>
      <c r="E1772" t="s">
        <v>3959</v>
      </c>
      <c r="F1772" t="s">
        <v>46</v>
      </c>
      <c r="G1772">
        <v>46.39</v>
      </c>
      <c r="H1772">
        <v>74</v>
      </c>
      <c r="I1772" t="s">
        <v>23</v>
      </c>
      <c r="J1772" t="s">
        <v>37</v>
      </c>
      <c r="K1772" t="s">
        <v>81</v>
      </c>
      <c r="L1772">
        <v>28</v>
      </c>
      <c r="M1772" t="str">
        <f t="shared" si="54"/>
        <v>High</v>
      </c>
      <c r="N1772" t="str">
        <f t="shared" si="55"/>
        <v>Average</v>
      </c>
    </row>
    <row r="1773" spans="1:14">
      <c r="A1773" t="s">
        <v>38</v>
      </c>
      <c r="B1773">
        <v>2023</v>
      </c>
      <c r="C1773" t="s">
        <v>3960</v>
      </c>
      <c r="D1773" t="s">
        <v>14</v>
      </c>
      <c r="E1773" t="s">
        <v>3961</v>
      </c>
      <c r="F1773" t="s">
        <v>46</v>
      </c>
      <c r="G1773">
        <v>41.05</v>
      </c>
      <c r="H1773">
        <v>73</v>
      </c>
      <c r="I1773" t="s">
        <v>29</v>
      </c>
      <c r="J1773" t="s">
        <v>37</v>
      </c>
      <c r="K1773" t="s">
        <v>48</v>
      </c>
      <c r="L1773">
        <v>44</v>
      </c>
      <c r="M1773" t="str">
        <f t="shared" si="54"/>
        <v>High</v>
      </c>
      <c r="N1773" t="str">
        <f t="shared" si="55"/>
        <v>Average</v>
      </c>
    </row>
    <row r="1774" spans="1:14">
      <c r="A1774" t="s">
        <v>48</v>
      </c>
      <c r="B1774">
        <v>2008</v>
      </c>
      <c r="C1774" t="s">
        <v>3962</v>
      </c>
      <c r="D1774" t="s">
        <v>14</v>
      </c>
      <c r="E1774" t="s">
        <v>3963</v>
      </c>
      <c r="F1774" t="s">
        <v>35</v>
      </c>
      <c r="G1774">
        <v>3.22</v>
      </c>
      <c r="H1774">
        <v>63</v>
      </c>
      <c r="I1774" t="s">
        <v>17</v>
      </c>
      <c r="J1774" t="s">
        <v>18</v>
      </c>
      <c r="K1774" t="s">
        <v>38</v>
      </c>
      <c r="L1774">
        <v>298</v>
      </c>
      <c r="M1774" t="str">
        <f t="shared" si="54"/>
        <v>Low</v>
      </c>
      <c r="N1774" t="str">
        <f t="shared" si="55"/>
        <v>Average</v>
      </c>
    </row>
    <row r="1775" spans="1:14">
      <c r="A1775" t="s">
        <v>68</v>
      </c>
      <c r="B1775">
        <v>2004</v>
      </c>
      <c r="C1775" t="s">
        <v>3964</v>
      </c>
      <c r="D1775" t="s">
        <v>33</v>
      </c>
      <c r="E1775" t="s">
        <v>3965</v>
      </c>
      <c r="F1775" t="s">
        <v>42</v>
      </c>
      <c r="G1775">
        <v>46.31</v>
      </c>
      <c r="H1775">
        <v>89</v>
      </c>
      <c r="I1775" t="s">
        <v>29</v>
      </c>
      <c r="J1775" t="s">
        <v>24</v>
      </c>
      <c r="K1775" t="s">
        <v>314</v>
      </c>
      <c r="L1775">
        <v>91</v>
      </c>
      <c r="M1775" t="str">
        <f t="shared" si="54"/>
        <v>High</v>
      </c>
      <c r="N1775" t="str">
        <f t="shared" si="55"/>
        <v>Good</v>
      </c>
    </row>
    <row r="1776" spans="1:14">
      <c r="A1776" t="s">
        <v>26</v>
      </c>
      <c r="B1776">
        <v>2012</v>
      </c>
      <c r="C1776" t="s">
        <v>3966</v>
      </c>
      <c r="D1776" t="s">
        <v>33</v>
      </c>
      <c r="E1776" t="s">
        <v>1641</v>
      </c>
      <c r="F1776" t="s">
        <v>35</v>
      </c>
      <c r="G1776">
        <v>40.15</v>
      </c>
      <c r="H1776">
        <v>89</v>
      </c>
      <c r="I1776" t="s">
        <v>29</v>
      </c>
      <c r="J1776" t="s">
        <v>18</v>
      </c>
      <c r="K1776" t="s">
        <v>78</v>
      </c>
      <c r="L1776">
        <v>26</v>
      </c>
      <c r="M1776" t="str">
        <f t="shared" si="54"/>
        <v>High</v>
      </c>
      <c r="N1776" t="str">
        <f t="shared" si="55"/>
        <v>Good</v>
      </c>
    </row>
    <row r="1777" spans="1:14">
      <c r="A1777" t="s">
        <v>31</v>
      </c>
      <c r="B1777">
        <v>2000</v>
      </c>
      <c r="C1777" t="s">
        <v>3967</v>
      </c>
      <c r="D1777" t="s">
        <v>14</v>
      </c>
      <c r="E1777" t="s">
        <v>3968</v>
      </c>
      <c r="F1777" t="s">
        <v>16</v>
      </c>
      <c r="G1777">
        <v>16.05</v>
      </c>
      <c r="H1777">
        <v>51</v>
      </c>
      <c r="I1777" t="s">
        <v>17</v>
      </c>
      <c r="J1777" t="s">
        <v>37</v>
      </c>
      <c r="K1777" t="s">
        <v>12</v>
      </c>
      <c r="L1777">
        <v>259</v>
      </c>
      <c r="M1777" t="str">
        <f t="shared" si="54"/>
        <v>Medium</v>
      </c>
      <c r="N1777" t="str">
        <f t="shared" si="55"/>
        <v>Average</v>
      </c>
    </row>
    <row r="1778" spans="1:14">
      <c r="A1778" t="s">
        <v>47</v>
      </c>
      <c r="B1778">
        <v>2004</v>
      </c>
      <c r="C1778" t="s">
        <v>3969</v>
      </c>
      <c r="D1778" t="s">
        <v>33</v>
      </c>
      <c r="E1778" t="s">
        <v>3970</v>
      </c>
      <c r="F1778" t="s">
        <v>16</v>
      </c>
      <c r="G1778">
        <v>7.4</v>
      </c>
      <c r="H1778">
        <v>55</v>
      </c>
      <c r="I1778" t="s">
        <v>36</v>
      </c>
      <c r="J1778" t="s">
        <v>18</v>
      </c>
      <c r="K1778" t="s">
        <v>97</v>
      </c>
      <c r="L1778">
        <v>363</v>
      </c>
      <c r="M1778" t="str">
        <f t="shared" si="54"/>
        <v>Low</v>
      </c>
      <c r="N1778" t="str">
        <f t="shared" si="55"/>
        <v>Average</v>
      </c>
    </row>
    <row r="1779" spans="1:14">
      <c r="A1779" t="s">
        <v>68</v>
      </c>
      <c r="B1779">
        <v>2015</v>
      </c>
      <c r="C1779" t="s">
        <v>3971</v>
      </c>
      <c r="D1779" t="s">
        <v>33</v>
      </c>
      <c r="E1779" t="s">
        <v>3972</v>
      </c>
      <c r="F1779" t="s">
        <v>35</v>
      </c>
      <c r="G1779">
        <v>38.36</v>
      </c>
      <c r="H1779">
        <v>69</v>
      </c>
      <c r="I1779" t="s">
        <v>17</v>
      </c>
      <c r="J1779" t="s">
        <v>18</v>
      </c>
      <c r="K1779" t="s">
        <v>667</v>
      </c>
      <c r="L1779">
        <v>79</v>
      </c>
      <c r="M1779" t="str">
        <f t="shared" si="54"/>
        <v>High</v>
      </c>
      <c r="N1779" t="str">
        <f t="shared" si="55"/>
        <v>Average</v>
      </c>
    </row>
    <row r="1780" spans="1:14">
      <c r="A1780" t="s">
        <v>48</v>
      </c>
      <c r="B1780">
        <v>2025</v>
      </c>
      <c r="C1780" t="s">
        <v>3973</v>
      </c>
      <c r="D1780" t="s">
        <v>14</v>
      </c>
      <c r="E1780" t="s">
        <v>3974</v>
      </c>
      <c r="F1780" t="s">
        <v>35</v>
      </c>
      <c r="G1780">
        <v>42.73</v>
      </c>
      <c r="H1780">
        <v>97</v>
      </c>
      <c r="I1780" t="s">
        <v>23</v>
      </c>
      <c r="J1780" t="s">
        <v>37</v>
      </c>
      <c r="K1780" t="s">
        <v>38</v>
      </c>
      <c r="L1780">
        <v>291</v>
      </c>
      <c r="M1780" t="str">
        <f t="shared" si="54"/>
        <v>High</v>
      </c>
      <c r="N1780" t="str">
        <f t="shared" si="55"/>
        <v>Excellent</v>
      </c>
    </row>
    <row r="1781" spans="1:14">
      <c r="A1781" t="s">
        <v>12</v>
      </c>
      <c r="B1781">
        <v>2006</v>
      </c>
      <c r="C1781" t="s">
        <v>3975</v>
      </c>
      <c r="D1781" t="s">
        <v>14</v>
      </c>
      <c r="E1781" t="s">
        <v>3976</v>
      </c>
      <c r="F1781" t="s">
        <v>46</v>
      </c>
      <c r="G1781">
        <v>5.87</v>
      </c>
      <c r="H1781">
        <v>72</v>
      </c>
      <c r="I1781" t="s">
        <v>61</v>
      </c>
      <c r="J1781" t="s">
        <v>37</v>
      </c>
      <c r="K1781" t="s">
        <v>151</v>
      </c>
      <c r="L1781">
        <v>268</v>
      </c>
      <c r="M1781" t="str">
        <f t="shared" si="54"/>
        <v>Low</v>
      </c>
      <c r="N1781" t="str">
        <f t="shared" si="55"/>
        <v>Average</v>
      </c>
    </row>
    <row r="1782" spans="1:14">
      <c r="A1782" t="s">
        <v>12</v>
      </c>
      <c r="B1782">
        <v>2024</v>
      </c>
      <c r="C1782" t="s">
        <v>3977</v>
      </c>
      <c r="D1782" t="s">
        <v>14</v>
      </c>
      <c r="E1782" t="s">
        <v>3978</v>
      </c>
      <c r="F1782" t="s">
        <v>42</v>
      </c>
      <c r="G1782">
        <v>12.12</v>
      </c>
      <c r="H1782">
        <v>58</v>
      </c>
      <c r="I1782" t="s">
        <v>29</v>
      </c>
      <c r="J1782" t="s">
        <v>18</v>
      </c>
      <c r="K1782" t="s">
        <v>31</v>
      </c>
      <c r="L1782">
        <v>112</v>
      </c>
      <c r="M1782" t="str">
        <f t="shared" si="54"/>
        <v>Low</v>
      </c>
      <c r="N1782" t="str">
        <f t="shared" si="55"/>
        <v>Average</v>
      </c>
    </row>
    <row r="1783" spans="1:14">
      <c r="A1783" t="s">
        <v>20</v>
      </c>
      <c r="B1783">
        <v>2006</v>
      </c>
      <c r="C1783" t="s">
        <v>3979</v>
      </c>
      <c r="D1783" t="s">
        <v>14</v>
      </c>
      <c r="E1783" t="s">
        <v>3980</v>
      </c>
      <c r="F1783" t="s">
        <v>42</v>
      </c>
      <c r="G1783">
        <v>9.2100000000000009</v>
      </c>
      <c r="H1783">
        <v>59</v>
      </c>
      <c r="I1783" t="s">
        <v>29</v>
      </c>
      <c r="J1783" t="s">
        <v>24</v>
      </c>
      <c r="K1783" t="s">
        <v>3981</v>
      </c>
      <c r="L1783">
        <v>214</v>
      </c>
      <c r="M1783" t="str">
        <f t="shared" si="54"/>
        <v>Low</v>
      </c>
      <c r="N1783" t="str">
        <f t="shared" si="55"/>
        <v>Average</v>
      </c>
    </row>
    <row r="1784" spans="1:14">
      <c r="A1784" t="s">
        <v>47</v>
      </c>
      <c r="B1784">
        <v>2005</v>
      </c>
      <c r="C1784" t="s">
        <v>3982</v>
      </c>
      <c r="D1784" t="s">
        <v>33</v>
      </c>
      <c r="E1784" t="s">
        <v>3983</v>
      </c>
      <c r="F1784" t="s">
        <v>57</v>
      </c>
      <c r="G1784">
        <v>30.48</v>
      </c>
      <c r="H1784">
        <v>57</v>
      </c>
      <c r="I1784" t="s">
        <v>61</v>
      </c>
      <c r="J1784" t="s">
        <v>37</v>
      </c>
      <c r="K1784" t="s">
        <v>607</v>
      </c>
      <c r="L1784">
        <v>336</v>
      </c>
      <c r="M1784" t="str">
        <f t="shared" si="54"/>
        <v>Medium</v>
      </c>
      <c r="N1784" t="str">
        <f t="shared" si="55"/>
        <v>Average</v>
      </c>
    </row>
    <row r="1785" spans="1:14">
      <c r="A1785" t="s">
        <v>39</v>
      </c>
      <c r="B1785">
        <v>2013</v>
      </c>
      <c r="C1785" t="s">
        <v>3984</v>
      </c>
      <c r="D1785" t="s">
        <v>33</v>
      </c>
      <c r="E1785" t="s">
        <v>3985</v>
      </c>
      <c r="F1785" t="s">
        <v>42</v>
      </c>
      <c r="G1785">
        <v>20.02</v>
      </c>
      <c r="H1785">
        <v>83</v>
      </c>
      <c r="I1785" t="s">
        <v>29</v>
      </c>
      <c r="J1785" t="s">
        <v>24</v>
      </c>
      <c r="K1785" t="s">
        <v>48</v>
      </c>
      <c r="L1785">
        <v>300</v>
      </c>
      <c r="M1785" t="str">
        <f t="shared" si="54"/>
        <v>Medium</v>
      </c>
      <c r="N1785" t="str">
        <f t="shared" si="55"/>
        <v>Good</v>
      </c>
    </row>
    <row r="1786" spans="1:14">
      <c r="A1786" t="s">
        <v>39</v>
      </c>
      <c r="B1786">
        <v>2011</v>
      </c>
      <c r="C1786" t="s">
        <v>3986</v>
      </c>
      <c r="D1786" t="s">
        <v>33</v>
      </c>
      <c r="E1786" t="s">
        <v>3987</v>
      </c>
      <c r="F1786" t="s">
        <v>46</v>
      </c>
      <c r="G1786">
        <v>49.37</v>
      </c>
      <c r="H1786">
        <v>58</v>
      </c>
      <c r="I1786" t="s">
        <v>23</v>
      </c>
      <c r="J1786" t="s">
        <v>37</v>
      </c>
      <c r="K1786" t="s">
        <v>26</v>
      </c>
      <c r="L1786">
        <v>336</v>
      </c>
      <c r="M1786" t="str">
        <f t="shared" si="54"/>
        <v>High</v>
      </c>
      <c r="N1786" t="str">
        <f t="shared" si="55"/>
        <v>Average</v>
      </c>
    </row>
    <row r="1787" spans="1:14">
      <c r="A1787" t="s">
        <v>38</v>
      </c>
      <c r="B1787">
        <v>2008</v>
      </c>
      <c r="C1787" t="s">
        <v>3988</v>
      </c>
      <c r="D1787" t="s">
        <v>33</v>
      </c>
      <c r="E1787" t="s">
        <v>3989</v>
      </c>
      <c r="F1787" t="s">
        <v>35</v>
      </c>
      <c r="G1787">
        <v>21.82</v>
      </c>
      <c r="H1787">
        <v>51</v>
      </c>
      <c r="I1787" t="s">
        <v>29</v>
      </c>
      <c r="J1787" t="s">
        <v>24</v>
      </c>
      <c r="K1787" t="s">
        <v>3990</v>
      </c>
      <c r="L1787">
        <v>337</v>
      </c>
      <c r="M1787" t="str">
        <f t="shared" si="54"/>
        <v>Medium</v>
      </c>
      <c r="N1787" t="str">
        <f t="shared" si="55"/>
        <v>Average</v>
      </c>
    </row>
    <row r="1788" spans="1:14">
      <c r="A1788" t="s">
        <v>12</v>
      </c>
      <c r="B1788">
        <v>2017</v>
      </c>
      <c r="C1788" t="s">
        <v>3991</v>
      </c>
      <c r="D1788" t="s">
        <v>14</v>
      </c>
      <c r="E1788" t="s">
        <v>3992</v>
      </c>
      <c r="F1788" t="s">
        <v>46</v>
      </c>
      <c r="G1788">
        <v>25.42</v>
      </c>
      <c r="H1788">
        <v>56</v>
      </c>
      <c r="I1788" t="s">
        <v>23</v>
      </c>
      <c r="J1788" t="s">
        <v>24</v>
      </c>
      <c r="K1788" t="s">
        <v>65</v>
      </c>
      <c r="L1788">
        <v>200</v>
      </c>
      <c r="M1788" t="str">
        <f t="shared" si="54"/>
        <v>Medium</v>
      </c>
      <c r="N1788" t="str">
        <f t="shared" si="55"/>
        <v>Average</v>
      </c>
    </row>
    <row r="1789" spans="1:14">
      <c r="A1789" t="s">
        <v>48</v>
      </c>
      <c r="B1789">
        <v>2013</v>
      </c>
      <c r="C1789" t="s">
        <v>3993</v>
      </c>
      <c r="D1789" t="s">
        <v>33</v>
      </c>
      <c r="E1789" t="s">
        <v>3898</v>
      </c>
      <c r="F1789" t="s">
        <v>57</v>
      </c>
      <c r="G1789">
        <v>42.09</v>
      </c>
      <c r="H1789">
        <v>82</v>
      </c>
      <c r="I1789" t="s">
        <v>29</v>
      </c>
      <c r="J1789" t="s">
        <v>37</v>
      </c>
      <c r="K1789" t="s">
        <v>254</v>
      </c>
      <c r="L1789">
        <v>336</v>
      </c>
      <c r="M1789" t="str">
        <f t="shared" si="54"/>
        <v>High</v>
      </c>
      <c r="N1789" t="str">
        <f t="shared" si="55"/>
        <v>Good</v>
      </c>
    </row>
    <row r="1790" spans="1:14">
      <c r="A1790" t="s">
        <v>65</v>
      </c>
      <c r="B1790">
        <v>2018</v>
      </c>
      <c r="C1790" t="s">
        <v>3994</v>
      </c>
      <c r="D1790" t="s">
        <v>33</v>
      </c>
      <c r="E1790" t="s">
        <v>3995</v>
      </c>
      <c r="F1790" t="s">
        <v>16</v>
      </c>
      <c r="G1790">
        <v>46.27</v>
      </c>
      <c r="H1790">
        <v>51</v>
      </c>
      <c r="I1790" t="s">
        <v>23</v>
      </c>
      <c r="J1790" t="s">
        <v>18</v>
      </c>
      <c r="K1790" t="s">
        <v>3996</v>
      </c>
      <c r="L1790">
        <v>160</v>
      </c>
      <c r="M1790" t="str">
        <f t="shared" si="54"/>
        <v>High</v>
      </c>
      <c r="N1790" t="str">
        <f t="shared" si="55"/>
        <v>Average</v>
      </c>
    </row>
    <row r="1791" spans="1:14">
      <c r="A1791" t="s">
        <v>20</v>
      </c>
      <c r="B1791">
        <v>2001</v>
      </c>
      <c r="C1791" t="s">
        <v>3997</v>
      </c>
      <c r="D1791" t="s">
        <v>14</v>
      </c>
      <c r="E1791" t="s">
        <v>3998</v>
      </c>
      <c r="F1791" t="s">
        <v>42</v>
      </c>
      <c r="G1791">
        <v>12.21</v>
      </c>
      <c r="H1791">
        <v>77</v>
      </c>
      <c r="I1791" t="s">
        <v>23</v>
      </c>
      <c r="J1791" t="s">
        <v>37</v>
      </c>
      <c r="K1791" t="s">
        <v>68</v>
      </c>
      <c r="L1791">
        <v>123</v>
      </c>
      <c r="M1791" t="str">
        <f t="shared" si="54"/>
        <v>Low</v>
      </c>
      <c r="N1791" t="str">
        <f t="shared" si="55"/>
        <v>Good</v>
      </c>
    </row>
    <row r="1792" spans="1:14">
      <c r="A1792" t="s">
        <v>31</v>
      </c>
      <c r="B1792">
        <v>2018</v>
      </c>
      <c r="C1792" t="s">
        <v>3999</v>
      </c>
      <c r="D1792" t="s">
        <v>14</v>
      </c>
      <c r="E1792" t="s">
        <v>4000</v>
      </c>
      <c r="F1792" t="s">
        <v>16</v>
      </c>
      <c r="G1792">
        <v>24.85</v>
      </c>
      <c r="H1792">
        <v>63</v>
      </c>
      <c r="I1792" t="s">
        <v>23</v>
      </c>
      <c r="J1792" t="s">
        <v>18</v>
      </c>
      <c r="K1792" t="s">
        <v>12</v>
      </c>
      <c r="L1792">
        <v>204</v>
      </c>
      <c r="M1792" t="str">
        <f t="shared" si="54"/>
        <v>Medium</v>
      </c>
      <c r="N1792" t="str">
        <f t="shared" si="55"/>
        <v>Average</v>
      </c>
    </row>
    <row r="1793" spans="1:14">
      <c r="A1793" t="s">
        <v>38</v>
      </c>
      <c r="B1793">
        <v>2010</v>
      </c>
      <c r="C1793" t="s">
        <v>4001</v>
      </c>
      <c r="D1793" t="s">
        <v>14</v>
      </c>
      <c r="E1793" t="s">
        <v>1110</v>
      </c>
      <c r="F1793" t="s">
        <v>35</v>
      </c>
      <c r="G1793">
        <v>23.2</v>
      </c>
      <c r="H1793">
        <v>90</v>
      </c>
      <c r="I1793" t="s">
        <v>17</v>
      </c>
      <c r="J1793" t="s">
        <v>37</v>
      </c>
      <c r="K1793" t="s">
        <v>12</v>
      </c>
      <c r="L1793">
        <v>297</v>
      </c>
      <c r="M1793" t="str">
        <f t="shared" si="54"/>
        <v>Medium</v>
      </c>
      <c r="N1793" t="str">
        <f t="shared" si="55"/>
        <v>Excellent</v>
      </c>
    </row>
    <row r="1794" spans="1:14">
      <c r="A1794" t="s">
        <v>47</v>
      </c>
      <c r="B1794">
        <v>2019</v>
      </c>
      <c r="C1794" t="s">
        <v>4002</v>
      </c>
      <c r="D1794" t="s">
        <v>14</v>
      </c>
      <c r="E1794" t="s">
        <v>4003</v>
      </c>
      <c r="F1794" t="s">
        <v>57</v>
      </c>
      <c r="G1794">
        <v>30.45</v>
      </c>
      <c r="H1794">
        <v>84</v>
      </c>
      <c r="I1794" t="s">
        <v>23</v>
      </c>
      <c r="J1794" t="s">
        <v>24</v>
      </c>
      <c r="K1794" t="s">
        <v>1604</v>
      </c>
      <c r="L1794">
        <v>34</v>
      </c>
      <c r="M1794" t="str">
        <f t="shared" si="54"/>
        <v>Medium</v>
      </c>
      <c r="N1794" t="str">
        <f t="shared" si="55"/>
        <v>Good</v>
      </c>
    </row>
    <row r="1795" spans="1:14">
      <c r="A1795" t="s">
        <v>26</v>
      </c>
      <c r="B1795">
        <v>2008</v>
      </c>
      <c r="C1795" t="s">
        <v>4004</v>
      </c>
      <c r="D1795" t="s">
        <v>14</v>
      </c>
      <c r="E1795" t="s">
        <v>1163</v>
      </c>
      <c r="F1795" t="s">
        <v>42</v>
      </c>
      <c r="G1795">
        <v>28.41</v>
      </c>
      <c r="H1795">
        <v>65</v>
      </c>
      <c r="I1795" t="s">
        <v>36</v>
      </c>
      <c r="J1795" t="s">
        <v>24</v>
      </c>
      <c r="K1795" t="s">
        <v>47</v>
      </c>
      <c r="L1795">
        <v>28</v>
      </c>
      <c r="M1795" t="str">
        <f t="shared" ref="M1795:M1858" si="56">IF(G1795&lt;15,"Low",IF(G1795&lt;35,"Medium","High"))</f>
        <v>Medium</v>
      </c>
      <c r="N1795" t="str">
        <f t="shared" ref="N1795:N1858" si="57">IF(H1795&gt;=90,"Excellent",IF(H1795&gt;=75,"Good","Average"))</f>
        <v>Average</v>
      </c>
    </row>
    <row r="1796" spans="1:14">
      <c r="A1796" t="s">
        <v>48</v>
      </c>
      <c r="B1796">
        <v>2021</v>
      </c>
      <c r="C1796" t="s">
        <v>4005</v>
      </c>
      <c r="D1796" t="s">
        <v>14</v>
      </c>
      <c r="E1796" t="s">
        <v>4006</v>
      </c>
      <c r="F1796" t="s">
        <v>35</v>
      </c>
      <c r="G1796">
        <v>16.48</v>
      </c>
      <c r="H1796">
        <v>97</v>
      </c>
      <c r="I1796" t="s">
        <v>61</v>
      </c>
      <c r="J1796" t="s">
        <v>37</v>
      </c>
      <c r="K1796" t="s">
        <v>20</v>
      </c>
      <c r="L1796">
        <v>181</v>
      </c>
      <c r="M1796" t="str">
        <f t="shared" si="56"/>
        <v>Medium</v>
      </c>
      <c r="N1796" t="str">
        <f t="shared" si="57"/>
        <v>Excellent</v>
      </c>
    </row>
    <row r="1797" spans="1:14">
      <c r="A1797" t="s">
        <v>47</v>
      </c>
      <c r="B1797">
        <v>2014</v>
      </c>
      <c r="C1797" t="s">
        <v>4007</v>
      </c>
      <c r="D1797" t="s">
        <v>14</v>
      </c>
      <c r="E1797" t="s">
        <v>4008</v>
      </c>
      <c r="F1797" t="s">
        <v>46</v>
      </c>
      <c r="G1797">
        <v>38.590000000000003</v>
      </c>
      <c r="H1797">
        <v>54</v>
      </c>
      <c r="I1797" t="s">
        <v>17</v>
      </c>
      <c r="J1797" t="s">
        <v>18</v>
      </c>
      <c r="K1797" t="s">
        <v>926</v>
      </c>
      <c r="L1797">
        <v>64</v>
      </c>
      <c r="M1797" t="str">
        <f t="shared" si="56"/>
        <v>High</v>
      </c>
      <c r="N1797" t="str">
        <f t="shared" si="57"/>
        <v>Average</v>
      </c>
    </row>
    <row r="1798" spans="1:14">
      <c r="A1798" t="s">
        <v>65</v>
      </c>
      <c r="B1798">
        <v>2024</v>
      </c>
      <c r="C1798" t="s">
        <v>4009</v>
      </c>
      <c r="D1798" t="s">
        <v>33</v>
      </c>
      <c r="E1798" t="s">
        <v>4010</v>
      </c>
      <c r="F1798" t="s">
        <v>42</v>
      </c>
      <c r="G1798">
        <v>48.62</v>
      </c>
      <c r="H1798">
        <v>64</v>
      </c>
      <c r="I1798" t="s">
        <v>17</v>
      </c>
      <c r="J1798" t="s">
        <v>18</v>
      </c>
      <c r="K1798" t="s">
        <v>420</v>
      </c>
      <c r="L1798">
        <v>217</v>
      </c>
      <c r="M1798" t="str">
        <f t="shared" si="56"/>
        <v>High</v>
      </c>
      <c r="N1798" t="str">
        <f t="shared" si="57"/>
        <v>Average</v>
      </c>
    </row>
    <row r="1799" spans="1:14">
      <c r="A1799" t="s">
        <v>38</v>
      </c>
      <c r="B1799">
        <v>2007</v>
      </c>
      <c r="C1799" t="s">
        <v>4011</v>
      </c>
      <c r="D1799" t="s">
        <v>33</v>
      </c>
      <c r="E1799" t="s">
        <v>4012</v>
      </c>
      <c r="F1799" t="s">
        <v>46</v>
      </c>
      <c r="G1799">
        <v>11.16</v>
      </c>
      <c r="H1799">
        <v>55</v>
      </c>
      <c r="I1799" t="s">
        <v>17</v>
      </c>
      <c r="J1799" t="s">
        <v>37</v>
      </c>
      <c r="K1799" t="s">
        <v>20</v>
      </c>
      <c r="L1799">
        <v>9</v>
      </c>
      <c r="M1799" t="str">
        <f t="shared" si="56"/>
        <v>Low</v>
      </c>
      <c r="N1799" t="str">
        <f t="shared" si="57"/>
        <v>Average</v>
      </c>
    </row>
    <row r="1800" spans="1:14">
      <c r="A1800" t="s">
        <v>68</v>
      </c>
      <c r="B1800">
        <v>2020</v>
      </c>
      <c r="C1800" t="s">
        <v>4013</v>
      </c>
      <c r="D1800" t="s">
        <v>33</v>
      </c>
      <c r="E1800" t="s">
        <v>4014</v>
      </c>
      <c r="F1800" t="s">
        <v>16</v>
      </c>
      <c r="G1800">
        <v>28.63</v>
      </c>
      <c r="H1800">
        <v>71</v>
      </c>
      <c r="I1800" t="s">
        <v>29</v>
      </c>
      <c r="J1800" t="s">
        <v>24</v>
      </c>
      <c r="K1800" t="s">
        <v>1385</v>
      </c>
      <c r="L1800">
        <v>336</v>
      </c>
      <c r="M1800" t="str">
        <f t="shared" si="56"/>
        <v>Medium</v>
      </c>
      <c r="N1800" t="str">
        <f t="shared" si="57"/>
        <v>Average</v>
      </c>
    </row>
    <row r="1801" spans="1:14">
      <c r="A1801" t="s">
        <v>39</v>
      </c>
      <c r="B1801">
        <v>2013</v>
      </c>
      <c r="C1801" t="s">
        <v>4015</v>
      </c>
      <c r="D1801" t="s">
        <v>14</v>
      </c>
      <c r="E1801" t="s">
        <v>2708</v>
      </c>
      <c r="F1801" t="s">
        <v>35</v>
      </c>
      <c r="G1801">
        <v>29.29</v>
      </c>
      <c r="H1801">
        <v>88</v>
      </c>
      <c r="I1801" t="s">
        <v>29</v>
      </c>
      <c r="J1801" t="s">
        <v>24</v>
      </c>
      <c r="K1801" t="s">
        <v>4016</v>
      </c>
      <c r="L1801">
        <v>191</v>
      </c>
      <c r="M1801" t="str">
        <f t="shared" si="56"/>
        <v>Medium</v>
      </c>
      <c r="N1801" t="str">
        <f t="shared" si="57"/>
        <v>Good</v>
      </c>
    </row>
    <row r="1802" spans="1:14">
      <c r="A1802" t="s">
        <v>47</v>
      </c>
      <c r="B1802">
        <v>2013</v>
      </c>
      <c r="C1802" t="s">
        <v>4017</v>
      </c>
      <c r="D1802" t="s">
        <v>14</v>
      </c>
      <c r="E1802" t="s">
        <v>4018</v>
      </c>
      <c r="F1802" t="s">
        <v>42</v>
      </c>
      <c r="G1802">
        <v>2.21</v>
      </c>
      <c r="H1802">
        <v>60</v>
      </c>
      <c r="I1802" t="s">
        <v>36</v>
      </c>
      <c r="J1802" t="s">
        <v>18</v>
      </c>
      <c r="K1802" t="s">
        <v>26</v>
      </c>
      <c r="L1802">
        <v>278</v>
      </c>
      <c r="M1802" t="str">
        <f t="shared" si="56"/>
        <v>Low</v>
      </c>
      <c r="N1802" t="str">
        <f t="shared" si="57"/>
        <v>Average</v>
      </c>
    </row>
    <row r="1803" spans="1:14">
      <c r="A1803" t="s">
        <v>39</v>
      </c>
      <c r="B1803">
        <v>2013</v>
      </c>
      <c r="C1803" t="s">
        <v>4019</v>
      </c>
      <c r="D1803" t="s">
        <v>14</v>
      </c>
      <c r="E1803" t="s">
        <v>4020</v>
      </c>
      <c r="F1803" t="s">
        <v>46</v>
      </c>
      <c r="G1803">
        <v>24.69</v>
      </c>
      <c r="H1803">
        <v>80</v>
      </c>
      <c r="I1803" t="s">
        <v>61</v>
      </c>
      <c r="J1803" t="s">
        <v>37</v>
      </c>
      <c r="K1803" t="s">
        <v>20</v>
      </c>
      <c r="L1803">
        <v>64</v>
      </c>
      <c r="M1803" t="str">
        <f t="shared" si="56"/>
        <v>Medium</v>
      </c>
      <c r="N1803" t="str">
        <f t="shared" si="57"/>
        <v>Good</v>
      </c>
    </row>
    <row r="1804" spans="1:14">
      <c r="A1804" t="s">
        <v>68</v>
      </c>
      <c r="B1804">
        <v>2008</v>
      </c>
      <c r="C1804" t="s">
        <v>4021</v>
      </c>
      <c r="D1804" t="s">
        <v>14</v>
      </c>
      <c r="E1804" t="s">
        <v>4022</v>
      </c>
      <c r="F1804" t="s">
        <v>16</v>
      </c>
      <c r="G1804">
        <v>27.86</v>
      </c>
      <c r="H1804">
        <v>95</v>
      </c>
      <c r="I1804" t="s">
        <v>29</v>
      </c>
      <c r="J1804" t="s">
        <v>37</v>
      </c>
      <c r="K1804" t="s">
        <v>4023</v>
      </c>
      <c r="L1804">
        <v>255</v>
      </c>
      <c r="M1804" t="str">
        <f t="shared" si="56"/>
        <v>Medium</v>
      </c>
      <c r="N1804" t="str">
        <f t="shared" si="57"/>
        <v>Excellent</v>
      </c>
    </row>
    <row r="1805" spans="1:14">
      <c r="A1805" t="s">
        <v>12</v>
      </c>
      <c r="B1805">
        <v>2014</v>
      </c>
      <c r="C1805" t="s">
        <v>4024</v>
      </c>
      <c r="D1805" t="s">
        <v>14</v>
      </c>
      <c r="E1805" t="s">
        <v>4025</v>
      </c>
      <c r="F1805" t="s">
        <v>16</v>
      </c>
      <c r="G1805">
        <v>31.96</v>
      </c>
      <c r="H1805">
        <v>74</v>
      </c>
      <c r="I1805" t="s">
        <v>23</v>
      </c>
      <c r="J1805" t="s">
        <v>37</v>
      </c>
      <c r="K1805" t="s">
        <v>1032</v>
      </c>
      <c r="L1805">
        <v>92</v>
      </c>
      <c r="M1805" t="str">
        <f t="shared" si="56"/>
        <v>Medium</v>
      </c>
      <c r="N1805" t="str">
        <f t="shared" si="57"/>
        <v>Average</v>
      </c>
    </row>
    <row r="1806" spans="1:14">
      <c r="A1806" t="s">
        <v>68</v>
      </c>
      <c r="B1806">
        <v>2002</v>
      </c>
      <c r="C1806" t="s">
        <v>4026</v>
      </c>
      <c r="D1806" t="s">
        <v>14</v>
      </c>
      <c r="E1806" t="s">
        <v>3435</v>
      </c>
      <c r="F1806" t="s">
        <v>57</v>
      </c>
      <c r="G1806">
        <v>6.98</v>
      </c>
      <c r="H1806">
        <v>69</v>
      </c>
      <c r="I1806" t="s">
        <v>23</v>
      </c>
      <c r="J1806" t="s">
        <v>37</v>
      </c>
      <c r="K1806" t="s">
        <v>3296</v>
      </c>
      <c r="L1806">
        <v>83</v>
      </c>
      <c r="M1806" t="str">
        <f t="shared" si="56"/>
        <v>Low</v>
      </c>
      <c r="N1806" t="str">
        <f t="shared" si="57"/>
        <v>Average</v>
      </c>
    </row>
    <row r="1807" spans="1:14">
      <c r="A1807" t="s">
        <v>47</v>
      </c>
      <c r="B1807">
        <v>2001</v>
      </c>
      <c r="C1807" t="s">
        <v>4027</v>
      </c>
      <c r="D1807" t="s">
        <v>33</v>
      </c>
      <c r="E1807" t="s">
        <v>4028</v>
      </c>
      <c r="F1807" t="s">
        <v>46</v>
      </c>
      <c r="G1807">
        <v>47.71</v>
      </c>
      <c r="H1807">
        <v>79</v>
      </c>
      <c r="I1807" t="s">
        <v>23</v>
      </c>
      <c r="J1807" t="s">
        <v>24</v>
      </c>
      <c r="K1807" t="s">
        <v>3394</v>
      </c>
      <c r="L1807">
        <v>141</v>
      </c>
      <c r="M1807" t="str">
        <f t="shared" si="56"/>
        <v>High</v>
      </c>
      <c r="N1807" t="str">
        <f t="shared" si="57"/>
        <v>Good</v>
      </c>
    </row>
    <row r="1808" spans="1:14">
      <c r="A1808" t="s">
        <v>65</v>
      </c>
      <c r="B1808">
        <v>2001</v>
      </c>
      <c r="C1808" t="s">
        <v>4029</v>
      </c>
      <c r="D1808" t="s">
        <v>33</v>
      </c>
      <c r="E1808" t="s">
        <v>4030</v>
      </c>
      <c r="F1808" t="s">
        <v>35</v>
      </c>
      <c r="G1808">
        <v>48.28</v>
      </c>
      <c r="H1808">
        <v>85</v>
      </c>
      <c r="I1808" t="s">
        <v>23</v>
      </c>
      <c r="J1808" t="s">
        <v>18</v>
      </c>
      <c r="K1808" t="s">
        <v>3375</v>
      </c>
      <c r="L1808">
        <v>165</v>
      </c>
      <c r="M1808" t="str">
        <f t="shared" si="56"/>
        <v>High</v>
      </c>
      <c r="N1808" t="str">
        <f t="shared" si="57"/>
        <v>Good</v>
      </c>
    </row>
    <row r="1809" spans="1:14">
      <c r="A1809" t="s">
        <v>38</v>
      </c>
      <c r="B1809">
        <v>2012</v>
      </c>
      <c r="C1809" t="s">
        <v>4031</v>
      </c>
      <c r="D1809" t="s">
        <v>14</v>
      </c>
      <c r="E1809" t="s">
        <v>4032</v>
      </c>
      <c r="F1809" t="s">
        <v>42</v>
      </c>
      <c r="G1809">
        <v>27.47</v>
      </c>
      <c r="H1809">
        <v>85</v>
      </c>
      <c r="I1809" t="s">
        <v>29</v>
      </c>
      <c r="J1809" t="s">
        <v>18</v>
      </c>
      <c r="K1809" t="s">
        <v>94</v>
      </c>
      <c r="L1809">
        <v>80</v>
      </c>
      <c r="M1809" t="str">
        <f t="shared" si="56"/>
        <v>Medium</v>
      </c>
      <c r="N1809" t="str">
        <f t="shared" si="57"/>
        <v>Good</v>
      </c>
    </row>
    <row r="1810" spans="1:14">
      <c r="A1810" t="s">
        <v>38</v>
      </c>
      <c r="B1810">
        <v>2012</v>
      </c>
      <c r="C1810" t="s">
        <v>4033</v>
      </c>
      <c r="D1810" t="s">
        <v>33</v>
      </c>
      <c r="E1810" t="s">
        <v>4034</v>
      </c>
      <c r="F1810" t="s">
        <v>57</v>
      </c>
      <c r="G1810">
        <v>13</v>
      </c>
      <c r="H1810">
        <v>77</v>
      </c>
      <c r="I1810" t="s">
        <v>23</v>
      </c>
      <c r="J1810" t="s">
        <v>18</v>
      </c>
      <c r="K1810" t="s">
        <v>2110</v>
      </c>
      <c r="L1810">
        <v>152</v>
      </c>
      <c r="M1810" t="str">
        <f t="shared" si="56"/>
        <v>Low</v>
      </c>
      <c r="N1810" t="str">
        <f t="shared" si="57"/>
        <v>Good</v>
      </c>
    </row>
    <row r="1811" spans="1:14">
      <c r="A1811" t="s">
        <v>38</v>
      </c>
      <c r="B1811">
        <v>2006</v>
      </c>
      <c r="C1811" t="s">
        <v>4035</v>
      </c>
      <c r="D1811" t="s">
        <v>33</v>
      </c>
      <c r="E1811" t="s">
        <v>4036</v>
      </c>
      <c r="F1811" t="s">
        <v>42</v>
      </c>
      <c r="G1811">
        <v>14.54</v>
      </c>
      <c r="H1811">
        <v>60</v>
      </c>
      <c r="I1811" t="s">
        <v>29</v>
      </c>
      <c r="J1811" t="s">
        <v>18</v>
      </c>
      <c r="K1811" t="s">
        <v>31</v>
      </c>
      <c r="L1811">
        <v>92</v>
      </c>
      <c r="M1811" t="str">
        <f t="shared" si="56"/>
        <v>Low</v>
      </c>
      <c r="N1811" t="str">
        <f t="shared" si="57"/>
        <v>Average</v>
      </c>
    </row>
    <row r="1812" spans="1:14">
      <c r="A1812" t="s">
        <v>39</v>
      </c>
      <c r="B1812">
        <v>2002</v>
      </c>
      <c r="C1812" t="s">
        <v>4037</v>
      </c>
      <c r="D1812" t="s">
        <v>33</v>
      </c>
      <c r="E1812" t="s">
        <v>1447</v>
      </c>
      <c r="F1812" t="s">
        <v>46</v>
      </c>
      <c r="G1812">
        <v>43.37</v>
      </c>
      <c r="H1812">
        <v>56</v>
      </c>
      <c r="I1812" t="s">
        <v>61</v>
      </c>
      <c r="J1812" t="s">
        <v>24</v>
      </c>
      <c r="K1812" t="s">
        <v>65</v>
      </c>
      <c r="L1812">
        <v>255</v>
      </c>
      <c r="M1812" t="str">
        <f t="shared" si="56"/>
        <v>High</v>
      </c>
      <c r="N1812" t="str">
        <f t="shared" si="57"/>
        <v>Average</v>
      </c>
    </row>
    <row r="1813" spans="1:14">
      <c r="A1813" t="s">
        <v>65</v>
      </c>
      <c r="B1813">
        <v>2011</v>
      </c>
      <c r="C1813" t="s">
        <v>4038</v>
      </c>
      <c r="D1813" t="s">
        <v>33</v>
      </c>
      <c r="E1813" t="s">
        <v>4039</v>
      </c>
      <c r="F1813" t="s">
        <v>35</v>
      </c>
      <c r="G1813">
        <v>19.399999999999999</v>
      </c>
      <c r="H1813">
        <v>82</v>
      </c>
      <c r="I1813" t="s">
        <v>29</v>
      </c>
      <c r="J1813" t="s">
        <v>37</v>
      </c>
      <c r="K1813" t="s">
        <v>151</v>
      </c>
      <c r="L1813">
        <v>294</v>
      </c>
      <c r="M1813" t="str">
        <f t="shared" si="56"/>
        <v>Medium</v>
      </c>
      <c r="N1813" t="str">
        <f t="shared" si="57"/>
        <v>Good</v>
      </c>
    </row>
    <row r="1814" spans="1:14">
      <c r="A1814" t="s">
        <v>12</v>
      </c>
      <c r="B1814">
        <v>2025</v>
      </c>
      <c r="C1814" t="s">
        <v>4040</v>
      </c>
      <c r="D1814" t="s">
        <v>14</v>
      </c>
      <c r="E1814" t="s">
        <v>4041</v>
      </c>
      <c r="F1814" t="s">
        <v>16</v>
      </c>
      <c r="G1814">
        <v>26.74</v>
      </c>
      <c r="H1814">
        <v>67</v>
      </c>
      <c r="I1814" t="s">
        <v>17</v>
      </c>
      <c r="J1814" t="s">
        <v>37</v>
      </c>
      <c r="K1814" t="s">
        <v>65</v>
      </c>
      <c r="L1814">
        <v>265</v>
      </c>
      <c r="M1814" t="str">
        <f t="shared" si="56"/>
        <v>Medium</v>
      </c>
      <c r="N1814" t="str">
        <f t="shared" si="57"/>
        <v>Average</v>
      </c>
    </row>
    <row r="1815" spans="1:14">
      <c r="A1815" t="s">
        <v>31</v>
      </c>
      <c r="B1815">
        <v>2017</v>
      </c>
      <c r="C1815" t="s">
        <v>4042</v>
      </c>
      <c r="D1815" t="s">
        <v>14</v>
      </c>
      <c r="E1815" t="s">
        <v>4043</v>
      </c>
      <c r="F1815" t="s">
        <v>16</v>
      </c>
      <c r="G1815">
        <v>18.46</v>
      </c>
      <c r="H1815">
        <v>99</v>
      </c>
      <c r="I1815" t="s">
        <v>36</v>
      </c>
      <c r="J1815" t="s">
        <v>18</v>
      </c>
      <c r="K1815" t="s">
        <v>2452</v>
      </c>
      <c r="L1815">
        <v>230</v>
      </c>
      <c r="M1815" t="str">
        <f t="shared" si="56"/>
        <v>Medium</v>
      </c>
      <c r="N1815" t="str">
        <f t="shared" si="57"/>
        <v>Excellent</v>
      </c>
    </row>
    <row r="1816" spans="1:14">
      <c r="A1816" t="s">
        <v>65</v>
      </c>
      <c r="B1816">
        <v>2010</v>
      </c>
      <c r="C1816" t="s">
        <v>4044</v>
      </c>
      <c r="D1816" t="s">
        <v>14</v>
      </c>
      <c r="E1816" t="s">
        <v>4045</v>
      </c>
      <c r="F1816" t="s">
        <v>42</v>
      </c>
      <c r="G1816">
        <v>43.7</v>
      </c>
      <c r="H1816">
        <v>55</v>
      </c>
      <c r="I1816" t="s">
        <v>29</v>
      </c>
      <c r="J1816" t="s">
        <v>24</v>
      </c>
      <c r="K1816" t="s">
        <v>4046</v>
      </c>
      <c r="L1816">
        <v>299</v>
      </c>
      <c r="M1816" t="str">
        <f t="shared" si="56"/>
        <v>High</v>
      </c>
      <c r="N1816" t="str">
        <f t="shared" si="57"/>
        <v>Average</v>
      </c>
    </row>
    <row r="1817" spans="1:14">
      <c r="A1817" t="s">
        <v>48</v>
      </c>
      <c r="B1817">
        <v>2013</v>
      </c>
      <c r="C1817" t="s">
        <v>4047</v>
      </c>
      <c r="D1817" t="s">
        <v>14</v>
      </c>
      <c r="E1817" t="s">
        <v>4048</v>
      </c>
      <c r="F1817" t="s">
        <v>42</v>
      </c>
      <c r="G1817">
        <v>27.01</v>
      </c>
      <c r="H1817">
        <v>65</v>
      </c>
      <c r="I1817" t="s">
        <v>29</v>
      </c>
      <c r="J1817" t="s">
        <v>18</v>
      </c>
      <c r="K1817" t="s">
        <v>505</v>
      </c>
      <c r="L1817">
        <v>254</v>
      </c>
      <c r="M1817" t="str">
        <f t="shared" si="56"/>
        <v>Medium</v>
      </c>
      <c r="N1817" t="str">
        <f t="shared" si="57"/>
        <v>Average</v>
      </c>
    </row>
    <row r="1818" spans="1:14">
      <c r="A1818" t="s">
        <v>31</v>
      </c>
      <c r="B1818">
        <v>2004</v>
      </c>
      <c r="C1818" t="s">
        <v>4049</v>
      </c>
      <c r="D1818" t="s">
        <v>14</v>
      </c>
      <c r="E1818" t="s">
        <v>4050</v>
      </c>
      <c r="F1818" t="s">
        <v>42</v>
      </c>
      <c r="G1818">
        <v>23.36</v>
      </c>
      <c r="H1818">
        <v>60</v>
      </c>
      <c r="I1818" t="s">
        <v>36</v>
      </c>
      <c r="J1818" t="s">
        <v>24</v>
      </c>
      <c r="K1818" t="s">
        <v>65</v>
      </c>
      <c r="L1818">
        <v>303</v>
      </c>
      <c r="M1818" t="str">
        <f t="shared" si="56"/>
        <v>Medium</v>
      </c>
      <c r="N1818" t="str">
        <f t="shared" si="57"/>
        <v>Average</v>
      </c>
    </row>
    <row r="1819" spans="1:14">
      <c r="A1819" t="s">
        <v>38</v>
      </c>
      <c r="B1819">
        <v>2014</v>
      </c>
      <c r="C1819" t="s">
        <v>4051</v>
      </c>
      <c r="D1819" t="s">
        <v>14</v>
      </c>
      <c r="E1819" t="s">
        <v>4052</v>
      </c>
      <c r="F1819" t="s">
        <v>16</v>
      </c>
      <c r="G1819">
        <v>44.35</v>
      </c>
      <c r="H1819">
        <v>58</v>
      </c>
      <c r="I1819" t="s">
        <v>61</v>
      </c>
      <c r="J1819" t="s">
        <v>37</v>
      </c>
      <c r="K1819" t="s">
        <v>1484</v>
      </c>
      <c r="L1819">
        <v>188</v>
      </c>
      <c r="M1819" t="str">
        <f t="shared" si="56"/>
        <v>High</v>
      </c>
      <c r="N1819" t="str">
        <f t="shared" si="57"/>
        <v>Average</v>
      </c>
    </row>
    <row r="1820" spans="1:14">
      <c r="A1820" t="s">
        <v>48</v>
      </c>
      <c r="B1820">
        <v>2008</v>
      </c>
      <c r="C1820" t="s">
        <v>4053</v>
      </c>
      <c r="D1820" t="s">
        <v>14</v>
      </c>
      <c r="E1820" t="s">
        <v>4054</v>
      </c>
      <c r="F1820" t="s">
        <v>35</v>
      </c>
      <c r="G1820">
        <v>5.74</v>
      </c>
      <c r="H1820">
        <v>75</v>
      </c>
      <c r="I1820" t="s">
        <v>17</v>
      </c>
      <c r="J1820" t="s">
        <v>18</v>
      </c>
      <c r="K1820" t="s">
        <v>687</v>
      </c>
      <c r="L1820">
        <v>121</v>
      </c>
      <c r="M1820" t="str">
        <f t="shared" si="56"/>
        <v>Low</v>
      </c>
      <c r="N1820" t="str">
        <f t="shared" si="57"/>
        <v>Good</v>
      </c>
    </row>
    <row r="1821" spans="1:14">
      <c r="A1821" t="s">
        <v>65</v>
      </c>
      <c r="B1821">
        <v>2012</v>
      </c>
      <c r="C1821" t="s">
        <v>4055</v>
      </c>
      <c r="D1821" t="s">
        <v>33</v>
      </c>
      <c r="E1821" t="s">
        <v>3197</v>
      </c>
      <c r="F1821" t="s">
        <v>46</v>
      </c>
      <c r="G1821">
        <v>27.84</v>
      </c>
      <c r="H1821">
        <v>61</v>
      </c>
      <c r="I1821" t="s">
        <v>23</v>
      </c>
      <c r="J1821" t="s">
        <v>18</v>
      </c>
      <c r="K1821" t="s">
        <v>308</v>
      </c>
      <c r="L1821">
        <v>362</v>
      </c>
      <c r="M1821" t="str">
        <f t="shared" si="56"/>
        <v>Medium</v>
      </c>
      <c r="N1821" t="str">
        <f t="shared" si="57"/>
        <v>Average</v>
      </c>
    </row>
    <row r="1822" spans="1:14">
      <c r="A1822" t="s">
        <v>12</v>
      </c>
      <c r="B1822">
        <v>2000</v>
      </c>
      <c r="C1822" t="s">
        <v>4056</v>
      </c>
      <c r="D1822" t="s">
        <v>14</v>
      </c>
      <c r="E1822" t="s">
        <v>4057</v>
      </c>
      <c r="F1822" t="s">
        <v>35</v>
      </c>
      <c r="G1822">
        <v>38.770000000000003</v>
      </c>
      <c r="H1822">
        <v>96</v>
      </c>
      <c r="I1822" t="s">
        <v>17</v>
      </c>
      <c r="J1822" t="s">
        <v>24</v>
      </c>
      <c r="K1822" t="s">
        <v>279</v>
      </c>
      <c r="L1822">
        <v>294</v>
      </c>
      <c r="M1822" t="str">
        <f t="shared" si="56"/>
        <v>High</v>
      </c>
      <c r="N1822" t="str">
        <f t="shared" si="57"/>
        <v>Excellent</v>
      </c>
    </row>
    <row r="1823" spans="1:14">
      <c r="A1823" t="s">
        <v>31</v>
      </c>
      <c r="B1823">
        <v>2009</v>
      </c>
      <c r="C1823" t="s">
        <v>4058</v>
      </c>
      <c r="D1823" t="s">
        <v>33</v>
      </c>
      <c r="E1823" t="s">
        <v>4059</v>
      </c>
      <c r="F1823" t="s">
        <v>42</v>
      </c>
      <c r="G1823">
        <v>46.19</v>
      </c>
      <c r="H1823">
        <v>84</v>
      </c>
      <c r="I1823" t="s">
        <v>36</v>
      </c>
      <c r="J1823" t="s">
        <v>24</v>
      </c>
      <c r="K1823" t="s">
        <v>20</v>
      </c>
      <c r="L1823">
        <v>202</v>
      </c>
      <c r="M1823" t="str">
        <f t="shared" si="56"/>
        <v>High</v>
      </c>
      <c r="N1823" t="str">
        <f t="shared" si="57"/>
        <v>Good</v>
      </c>
    </row>
    <row r="1824" spans="1:14">
      <c r="A1824" t="s">
        <v>48</v>
      </c>
      <c r="B1824">
        <v>2024</v>
      </c>
      <c r="C1824" t="s">
        <v>4060</v>
      </c>
      <c r="D1824" t="s">
        <v>33</v>
      </c>
      <c r="E1824" t="s">
        <v>4061</v>
      </c>
      <c r="F1824" t="s">
        <v>57</v>
      </c>
      <c r="G1824">
        <v>41.47</v>
      </c>
      <c r="H1824">
        <v>59</v>
      </c>
      <c r="I1824" t="s">
        <v>29</v>
      </c>
      <c r="J1824" t="s">
        <v>24</v>
      </c>
      <c r="K1824" t="s">
        <v>47</v>
      </c>
      <c r="L1824">
        <v>321</v>
      </c>
      <c r="M1824" t="str">
        <f t="shared" si="56"/>
        <v>High</v>
      </c>
      <c r="N1824" t="str">
        <f t="shared" si="57"/>
        <v>Average</v>
      </c>
    </row>
    <row r="1825" spans="1:14">
      <c r="A1825" t="s">
        <v>12</v>
      </c>
      <c r="B1825">
        <v>2024</v>
      </c>
      <c r="C1825" t="s">
        <v>4062</v>
      </c>
      <c r="D1825" t="s">
        <v>14</v>
      </c>
      <c r="E1825" t="s">
        <v>4063</v>
      </c>
      <c r="F1825" t="s">
        <v>35</v>
      </c>
      <c r="G1825">
        <v>40.25</v>
      </c>
      <c r="H1825">
        <v>51</v>
      </c>
      <c r="I1825" t="s">
        <v>36</v>
      </c>
      <c r="J1825" t="s">
        <v>18</v>
      </c>
      <c r="K1825" t="s">
        <v>457</v>
      </c>
      <c r="L1825">
        <v>146</v>
      </c>
      <c r="M1825" t="str">
        <f t="shared" si="56"/>
        <v>High</v>
      </c>
      <c r="N1825" t="str">
        <f t="shared" si="57"/>
        <v>Average</v>
      </c>
    </row>
    <row r="1826" spans="1:14">
      <c r="A1826" t="s">
        <v>26</v>
      </c>
      <c r="B1826">
        <v>2023</v>
      </c>
      <c r="C1826" t="s">
        <v>4064</v>
      </c>
      <c r="D1826" t="s">
        <v>33</v>
      </c>
      <c r="E1826" t="s">
        <v>4065</v>
      </c>
      <c r="F1826" t="s">
        <v>35</v>
      </c>
      <c r="G1826">
        <v>2.74</v>
      </c>
      <c r="H1826">
        <v>53</v>
      </c>
      <c r="I1826" t="s">
        <v>61</v>
      </c>
      <c r="J1826" t="s">
        <v>18</v>
      </c>
      <c r="K1826" t="s">
        <v>31</v>
      </c>
      <c r="L1826">
        <v>189</v>
      </c>
      <c r="M1826" t="str">
        <f t="shared" si="56"/>
        <v>Low</v>
      </c>
      <c r="N1826" t="str">
        <f t="shared" si="57"/>
        <v>Average</v>
      </c>
    </row>
    <row r="1827" spans="1:14">
      <c r="A1827" t="s">
        <v>26</v>
      </c>
      <c r="B1827">
        <v>2023</v>
      </c>
      <c r="C1827" t="s">
        <v>4066</v>
      </c>
      <c r="D1827" t="s">
        <v>14</v>
      </c>
      <c r="E1827" t="s">
        <v>4067</v>
      </c>
      <c r="F1827" t="s">
        <v>16</v>
      </c>
      <c r="G1827">
        <v>36.590000000000003</v>
      </c>
      <c r="H1827">
        <v>63</v>
      </c>
      <c r="I1827" t="s">
        <v>23</v>
      </c>
      <c r="J1827" t="s">
        <v>18</v>
      </c>
      <c r="K1827" t="s">
        <v>4068</v>
      </c>
      <c r="L1827">
        <v>248</v>
      </c>
      <c r="M1827" t="str">
        <f t="shared" si="56"/>
        <v>High</v>
      </c>
      <c r="N1827" t="str">
        <f t="shared" si="57"/>
        <v>Average</v>
      </c>
    </row>
    <row r="1828" spans="1:14">
      <c r="A1828" t="s">
        <v>20</v>
      </c>
      <c r="B1828">
        <v>2011</v>
      </c>
      <c r="C1828" t="s">
        <v>4069</v>
      </c>
      <c r="D1828" t="s">
        <v>14</v>
      </c>
      <c r="E1828" t="s">
        <v>2435</v>
      </c>
      <c r="F1828" t="s">
        <v>46</v>
      </c>
      <c r="G1828">
        <v>20.99</v>
      </c>
      <c r="H1828">
        <v>72</v>
      </c>
      <c r="I1828" t="s">
        <v>61</v>
      </c>
      <c r="J1828" t="s">
        <v>37</v>
      </c>
      <c r="K1828" t="s">
        <v>2670</v>
      </c>
      <c r="L1828">
        <v>271</v>
      </c>
      <c r="M1828" t="str">
        <f t="shared" si="56"/>
        <v>Medium</v>
      </c>
      <c r="N1828" t="str">
        <f t="shared" si="57"/>
        <v>Average</v>
      </c>
    </row>
    <row r="1829" spans="1:14">
      <c r="A1829" t="s">
        <v>65</v>
      </c>
      <c r="B1829">
        <v>2019</v>
      </c>
      <c r="C1829" t="s">
        <v>4070</v>
      </c>
      <c r="D1829" t="s">
        <v>14</v>
      </c>
      <c r="E1829" t="s">
        <v>4071</v>
      </c>
      <c r="F1829" t="s">
        <v>46</v>
      </c>
      <c r="G1829">
        <v>25.43</v>
      </c>
      <c r="H1829">
        <v>87</v>
      </c>
      <c r="I1829" t="s">
        <v>23</v>
      </c>
      <c r="J1829" t="s">
        <v>37</v>
      </c>
      <c r="K1829" t="s">
        <v>1853</v>
      </c>
      <c r="L1829">
        <v>129</v>
      </c>
      <c r="M1829" t="str">
        <f t="shared" si="56"/>
        <v>Medium</v>
      </c>
      <c r="N1829" t="str">
        <f t="shared" si="57"/>
        <v>Good</v>
      </c>
    </row>
    <row r="1830" spans="1:14">
      <c r="A1830" t="s">
        <v>65</v>
      </c>
      <c r="B1830">
        <v>2016</v>
      </c>
      <c r="C1830" t="s">
        <v>4072</v>
      </c>
      <c r="D1830" t="s">
        <v>14</v>
      </c>
      <c r="E1830" t="s">
        <v>4073</v>
      </c>
      <c r="F1830" t="s">
        <v>42</v>
      </c>
      <c r="G1830">
        <v>8.08</v>
      </c>
      <c r="H1830">
        <v>52</v>
      </c>
      <c r="I1830" t="s">
        <v>29</v>
      </c>
      <c r="J1830" t="s">
        <v>24</v>
      </c>
      <c r="K1830" t="s">
        <v>2517</v>
      </c>
      <c r="L1830">
        <v>350</v>
      </c>
      <c r="M1830" t="str">
        <f t="shared" si="56"/>
        <v>Low</v>
      </c>
      <c r="N1830" t="str">
        <f t="shared" si="57"/>
        <v>Average</v>
      </c>
    </row>
    <row r="1831" spans="1:14">
      <c r="A1831" t="s">
        <v>65</v>
      </c>
      <c r="B1831">
        <v>2018</v>
      </c>
      <c r="C1831" t="s">
        <v>4074</v>
      </c>
      <c r="D1831" t="s">
        <v>14</v>
      </c>
      <c r="E1831" t="s">
        <v>4075</v>
      </c>
      <c r="F1831" t="s">
        <v>46</v>
      </c>
      <c r="G1831">
        <v>12.31</v>
      </c>
      <c r="H1831">
        <v>63</v>
      </c>
      <c r="I1831" t="s">
        <v>17</v>
      </c>
      <c r="J1831" t="s">
        <v>18</v>
      </c>
      <c r="K1831" t="s">
        <v>31</v>
      </c>
      <c r="L1831">
        <v>38</v>
      </c>
      <c r="M1831" t="str">
        <f t="shared" si="56"/>
        <v>Low</v>
      </c>
      <c r="N1831" t="str">
        <f t="shared" si="57"/>
        <v>Average</v>
      </c>
    </row>
    <row r="1832" spans="1:14">
      <c r="A1832" t="s">
        <v>38</v>
      </c>
      <c r="B1832">
        <v>2023</v>
      </c>
      <c r="C1832" t="s">
        <v>4076</v>
      </c>
      <c r="D1832" t="s">
        <v>33</v>
      </c>
      <c r="E1832" t="s">
        <v>4077</v>
      </c>
      <c r="F1832" t="s">
        <v>46</v>
      </c>
      <c r="G1832">
        <v>3.94</v>
      </c>
      <c r="H1832">
        <v>82</v>
      </c>
      <c r="I1832" t="s">
        <v>61</v>
      </c>
      <c r="J1832" t="s">
        <v>24</v>
      </c>
      <c r="K1832" t="s">
        <v>3814</v>
      </c>
      <c r="L1832">
        <v>100</v>
      </c>
      <c r="M1832" t="str">
        <f t="shared" si="56"/>
        <v>Low</v>
      </c>
      <c r="N1832" t="str">
        <f t="shared" si="57"/>
        <v>Good</v>
      </c>
    </row>
    <row r="1833" spans="1:14">
      <c r="A1833" t="s">
        <v>48</v>
      </c>
      <c r="B1833">
        <v>2002</v>
      </c>
      <c r="C1833" t="s">
        <v>4078</v>
      </c>
      <c r="D1833" t="s">
        <v>14</v>
      </c>
      <c r="E1833" t="s">
        <v>4079</v>
      </c>
      <c r="F1833" t="s">
        <v>57</v>
      </c>
      <c r="G1833">
        <v>33.11</v>
      </c>
      <c r="H1833">
        <v>73</v>
      </c>
      <c r="I1833" t="s">
        <v>29</v>
      </c>
      <c r="J1833" t="s">
        <v>24</v>
      </c>
      <c r="K1833" t="s">
        <v>1826</v>
      </c>
      <c r="L1833">
        <v>354</v>
      </c>
      <c r="M1833" t="str">
        <f t="shared" si="56"/>
        <v>Medium</v>
      </c>
      <c r="N1833" t="str">
        <f t="shared" si="57"/>
        <v>Average</v>
      </c>
    </row>
    <row r="1834" spans="1:14">
      <c r="A1834" t="s">
        <v>38</v>
      </c>
      <c r="B1834">
        <v>2023</v>
      </c>
      <c r="C1834" t="s">
        <v>4080</v>
      </c>
      <c r="D1834" t="s">
        <v>33</v>
      </c>
      <c r="E1834" t="s">
        <v>4081</v>
      </c>
      <c r="F1834" t="s">
        <v>16</v>
      </c>
      <c r="G1834">
        <v>24.48</v>
      </c>
      <c r="H1834">
        <v>71</v>
      </c>
      <c r="I1834" t="s">
        <v>29</v>
      </c>
      <c r="J1834" t="s">
        <v>24</v>
      </c>
      <c r="K1834" t="s">
        <v>308</v>
      </c>
      <c r="L1834">
        <v>180</v>
      </c>
      <c r="M1834" t="str">
        <f t="shared" si="56"/>
        <v>Medium</v>
      </c>
      <c r="N1834" t="str">
        <f t="shared" si="57"/>
        <v>Average</v>
      </c>
    </row>
    <row r="1835" spans="1:14">
      <c r="A1835" t="s">
        <v>65</v>
      </c>
      <c r="B1835">
        <v>2023</v>
      </c>
      <c r="C1835" t="s">
        <v>4082</v>
      </c>
      <c r="D1835" t="s">
        <v>14</v>
      </c>
      <c r="E1835" t="s">
        <v>4083</v>
      </c>
      <c r="F1835" t="s">
        <v>42</v>
      </c>
      <c r="G1835">
        <v>18.29</v>
      </c>
      <c r="H1835">
        <v>56</v>
      </c>
      <c r="I1835" t="s">
        <v>36</v>
      </c>
      <c r="J1835" t="s">
        <v>37</v>
      </c>
      <c r="K1835" t="s">
        <v>26</v>
      </c>
      <c r="L1835">
        <v>167</v>
      </c>
      <c r="M1835" t="str">
        <f t="shared" si="56"/>
        <v>Medium</v>
      </c>
      <c r="N1835" t="str">
        <f t="shared" si="57"/>
        <v>Average</v>
      </c>
    </row>
    <row r="1836" spans="1:14">
      <c r="A1836" t="s">
        <v>31</v>
      </c>
      <c r="B1836">
        <v>2009</v>
      </c>
      <c r="C1836" t="s">
        <v>4084</v>
      </c>
      <c r="D1836" t="s">
        <v>33</v>
      </c>
      <c r="E1836" t="s">
        <v>3293</v>
      </c>
      <c r="F1836" t="s">
        <v>35</v>
      </c>
      <c r="G1836">
        <v>11.78</v>
      </c>
      <c r="H1836">
        <v>55</v>
      </c>
      <c r="I1836" t="s">
        <v>61</v>
      </c>
      <c r="J1836" t="s">
        <v>37</v>
      </c>
      <c r="K1836" t="s">
        <v>436</v>
      </c>
      <c r="L1836">
        <v>269</v>
      </c>
      <c r="M1836" t="str">
        <f t="shared" si="56"/>
        <v>Low</v>
      </c>
      <c r="N1836" t="str">
        <f t="shared" si="57"/>
        <v>Average</v>
      </c>
    </row>
    <row r="1837" spans="1:14">
      <c r="A1837" t="s">
        <v>47</v>
      </c>
      <c r="B1837">
        <v>2000</v>
      </c>
      <c r="C1837" t="s">
        <v>4085</v>
      </c>
      <c r="D1837" t="s">
        <v>33</v>
      </c>
      <c r="E1837" t="s">
        <v>4086</v>
      </c>
      <c r="F1837" t="s">
        <v>57</v>
      </c>
      <c r="G1837">
        <v>22.33</v>
      </c>
      <c r="H1837">
        <v>85</v>
      </c>
      <c r="I1837" t="s">
        <v>29</v>
      </c>
      <c r="J1837" t="s">
        <v>24</v>
      </c>
      <c r="K1837" t="s">
        <v>498</v>
      </c>
      <c r="L1837">
        <v>284</v>
      </c>
      <c r="M1837" t="str">
        <f t="shared" si="56"/>
        <v>Medium</v>
      </c>
      <c r="N1837" t="str">
        <f t="shared" si="57"/>
        <v>Good</v>
      </c>
    </row>
    <row r="1838" spans="1:14">
      <c r="A1838" t="s">
        <v>12</v>
      </c>
      <c r="B1838">
        <v>2022</v>
      </c>
      <c r="C1838" t="s">
        <v>4087</v>
      </c>
      <c r="D1838" t="s">
        <v>33</v>
      </c>
      <c r="E1838" t="s">
        <v>4088</v>
      </c>
      <c r="F1838" t="s">
        <v>35</v>
      </c>
      <c r="G1838">
        <v>10.11</v>
      </c>
      <c r="H1838">
        <v>58</v>
      </c>
      <c r="I1838" t="s">
        <v>23</v>
      </c>
      <c r="J1838" t="s">
        <v>18</v>
      </c>
      <c r="K1838" t="s">
        <v>48</v>
      </c>
      <c r="L1838">
        <v>23</v>
      </c>
      <c r="M1838" t="str">
        <f t="shared" si="56"/>
        <v>Low</v>
      </c>
      <c r="N1838" t="str">
        <f t="shared" si="57"/>
        <v>Average</v>
      </c>
    </row>
    <row r="1839" spans="1:14">
      <c r="A1839" t="s">
        <v>12</v>
      </c>
      <c r="B1839">
        <v>2020</v>
      </c>
      <c r="C1839" t="s">
        <v>4089</v>
      </c>
      <c r="D1839" t="s">
        <v>14</v>
      </c>
      <c r="E1839" t="s">
        <v>4090</v>
      </c>
      <c r="F1839" t="s">
        <v>35</v>
      </c>
      <c r="G1839">
        <v>35.61</v>
      </c>
      <c r="H1839">
        <v>73</v>
      </c>
      <c r="I1839" t="s">
        <v>23</v>
      </c>
      <c r="J1839" t="s">
        <v>18</v>
      </c>
      <c r="K1839" t="s">
        <v>39</v>
      </c>
      <c r="L1839">
        <v>193</v>
      </c>
      <c r="M1839" t="str">
        <f t="shared" si="56"/>
        <v>High</v>
      </c>
      <c r="N1839" t="str">
        <f t="shared" si="57"/>
        <v>Average</v>
      </c>
    </row>
    <row r="1840" spans="1:14">
      <c r="A1840" t="s">
        <v>31</v>
      </c>
      <c r="B1840">
        <v>2014</v>
      </c>
      <c r="C1840" t="s">
        <v>4091</v>
      </c>
      <c r="D1840" t="s">
        <v>14</v>
      </c>
      <c r="E1840" t="s">
        <v>4092</v>
      </c>
      <c r="F1840" t="s">
        <v>46</v>
      </c>
      <c r="G1840">
        <v>35.81</v>
      </c>
      <c r="H1840">
        <v>96</v>
      </c>
      <c r="I1840" t="s">
        <v>61</v>
      </c>
      <c r="J1840" t="s">
        <v>18</v>
      </c>
      <c r="K1840" t="s">
        <v>430</v>
      </c>
      <c r="L1840">
        <v>7</v>
      </c>
      <c r="M1840" t="str">
        <f t="shared" si="56"/>
        <v>High</v>
      </c>
      <c r="N1840" t="str">
        <f t="shared" si="57"/>
        <v>Excellent</v>
      </c>
    </row>
    <row r="1841" spans="1:14">
      <c r="A1841" t="s">
        <v>38</v>
      </c>
      <c r="B1841">
        <v>2015</v>
      </c>
      <c r="C1841" t="s">
        <v>4093</v>
      </c>
      <c r="D1841" t="s">
        <v>14</v>
      </c>
      <c r="E1841" t="s">
        <v>4094</v>
      </c>
      <c r="F1841" t="s">
        <v>42</v>
      </c>
      <c r="G1841">
        <v>40.67</v>
      </c>
      <c r="H1841">
        <v>76</v>
      </c>
      <c r="I1841" t="s">
        <v>36</v>
      </c>
      <c r="J1841" t="s">
        <v>37</v>
      </c>
      <c r="K1841" t="s">
        <v>757</v>
      </c>
      <c r="L1841">
        <v>91</v>
      </c>
      <c r="M1841" t="str">
        <f t="shared" si="56"/>
        <v>High</v>
      </c>
      <c r="N1841" t="str">
        <f t="shared" si="57"/>
        <v>Good</v>
      </c>
    </row>
    <row r="1842" spans="1:14">
      <c r="A1842" t="s">
        <v>65</v>
      </c>
      <c r="B1842">
        <v>2010</v>
      </c>
      <c r="C1842" t="s">
        <v>4095</v>
      </c>
      <c r="D1842" t="s">
        <v>14</v>
      </c>
      <c r="E1842" t="s">
        <v>3652</v>
      </c>
      <c r="F1842" t="s">
        <v>57</v>
      </c>
      <c r="G1842">
        <v>19.940000000000001</v>
      </c>
      <c r="H1842">
        <v>84</v>
      </c>
      <c r="I1842" t="s">
        <v>29</v>
      </c>
      <c r="J1842" t="s">
        <v>18</v>
      </c>
      <c r="K1842" t="s">
        <v>1998</v>
      </c>
      <c r="L1842">
        <v>175</v>
      </c>
      <c r="M1842" t="str">
        <f t="shared" si="56"/>
        <v>Medium</v>
      </c>
      <c r="N1842" t="str">
        <f t="shared" si="57"/>
        <v>Good</v>
      </c>
    </row>
    <row r="1843" spans="1:14">
      <c r="A1843" t="s">
        <v>39</v>
      </c>
      <c r="B1843">
        <v>2007</v>
      </c>
      <c r="C1843" t="s">
        <v>4096</v>
      </c>
      <c r="D1843" t="s">
        <v>14</v>
      </c>
      <c r="E1843" t="s">
        <v>4097</v>
      </c>
      <c r="F1843" t="s">
        <v>46</v>
      </c>
      <c r="G1843">
        <v>37.58</v>
      </c>
      <c r="H1843">
        <v>73</v>
      </c>
      <c r="I1843" t="s">
        <v>36</v>
      </c>
      <c r="J1843" t="s">
        <v>37</v>
      </c>
      <c r="K1843" t="s">
        <v>348</v>
      </c>
      <c r="L1843">
        <v>43</v>
      </c>
      <c r="M1843" t="str">
        <f t="shared" si="56"/>
        <v>High</v>
      </c>
      <c r="N1843" t="str">
        <f t="shared" si="57"/>
        <v>Average</v>
      </c>
    </row>
    <row r="1844" spans="1:14">
      <c r="A1844" t="s">
        <v>48</v>
      </c>
      <c r="B1844">
        <v>2014</v>
      </c>
      <c r="C1844" t="s">
        <v>4098</v>
      </c>
      <c r="D1844" t="s">
        <v>33</v>
      </c>
      <c r="E1844" t="s">
        <v>4099</v>
      </c>
      <c r="F1844" t="s">
        <v>46</v>
      </c>
      <c r="G1844">
        <v>33.18</v>
      </c>
      <c r="H1844">
        <v>71</v>
      </c>
      <c r="I1844" t="s">
        <v>23</v>
      </c>
      <c r="J1844" t="s">
        <v>18</v>
      </c>
      <c r="K1844" t="s">
        <v>48</v>
      </c>
      <c r="L1844">
        <v>281</v>
      </c>
      <c r="M1844" t="str">
        <f t="shared" si="56"/>
        <v>Medium</v>
      </c>
      <c r="N1844" t="str">
        <f t="shared" si="57"/>
        <v>Average</v>
      </c>
    </row>
    <row r="1845" spans="1:14">
      <c r="A1845" t="s">
        <v>26</v>
      </c>
      <c r="B1845">
        <v>2019</v>
      </c>
      <c r="C1845" t="s">
        <v>4100</v>
      </c>
      <c r="D1845" t="s">
        <v>14</v>
      </c>
      <c r="E1845" t="s">
        <v>4101</v>
      </c>
      <c r="F1845" t="s">
        <v>46</v>
      </c>
      <c r="G1845">
        <v>45.73</v>
      </c>
      <c r="H1845">
        <v>67</v>
      </c>
      <c r="I1845" t="s">
        <v>23</v>
      </c>
      <c r="J1845" t="s">
        <v>18</v>
      </c>
      <c r="K1845" t="s">
        <v>305</v>
      </c>
      <c r="L1845">
        <v>39</v>
      </c>
      <c r="M1845" t="str">
        <f t="shared" si="56"/>
        <v>High</v>
      </c>
      <c r="N1845" t="str">
        <f t="shared" si="57"/>
        <v>Average</v>
      </c>
    </row>
    <row r="1846" spans="1:14">
      <c r="A1846" t="s">
        <v>12</v>
      </c>
      <c r="B1846">
        <v>2005</v>
      </c>
      <c r="C1846" t="s">
        <v>4102</v>
      </c>
      <c r="D1846" t="s">
        <v>33</v>
      </c>
      <c r="E1846" t="s">
        <v>4103</v>
      </c>
      <c r="F1846" t="s">
        <v>42</v>
      </c>
      <c r="G1846">
        <v>16.2</v>
      </c>
      <c r="H1846">
        <v>59</v>
      </c>
      <c r="I1846" t="s">
        <v>23</v>
      </c>
      <c r="J1846" t="s">
        <v>18</v>
      </c>
      <c r="K1846" t="s">
        <v>38</v>
      </c>
      <c r="L1846">
        <v>239</v>
      </c>
      <c r="M1846" t="str">
        <f t="shared" si="56"/>
        <v>Medium</v>
      </c>
      <c r="N1846" t="str">
        <f t="shared" si="57"/>
        <v>Average</v>
      </c>
    </row>
    <row r="1847" spans="1:14">
      <c r="A1847" t="s">
        <v>12</v>
      </c>
      <c r="B1847">
        <v>2000</v>
      </c>
      <c r="C1847" t="s">
        <v>4104</v>
      </c>
      <c r="D1847" t="s">
        <v>14</v>
      </c>
      <c r="E1847" t="s">
        <v>4105</v>
      </c>
      <c r="F1847" t="s">
        <v>46</v>
      </c>
      <c r="G1847">
        <v>49.91</v>
      </c>
      <c r="H1847">
        <v>65</v>
      </c>
      <c r="I1847" t="s">
        <v>36</v>
      </c>
      <c r="J1847" t="s">
        <v>37</v>
      </c>
      <c r="K1847" t="s">
        <v>2522</v>
      </c>
      <c r="L1847">
        <v>192</v>
      </c>
      <c r="M1847" t="str">
        <f t="shared" si="56"/>
        <v>High</v>
      </c>
      <c r="N1847" t="str">
        <f t="shared" si="57"/>
        <v>Average</v>
      </c>
    </row>
    <row r="1848" spans="1:14">
      <c r="A1848" t="s">
        <v>65</v>
      </c>
      <c r="B1848">
        <v>2025</v>
      </c>
      <c r="C1848" t="s">
        <v>4106</v>
      </c>
      <c r="D1848" t="s">
        <v>14</v>
      </c>
      <c r="E1848" t="s">
        <v>4107</v>
      </c>
      <c r="F1848" t="s">
        <v>35</v>
      </c>
      <c r="G1848">
        <v>4.13</v>
      </c>
      <c r="H1848">
        <v>71</v>
      </c>
      <c r="I1848" t="s">
        <v>23</v>
      </c>
      <c r="J1848" t="s">
        <v>18</v>
      </c>
      <c r="K1848" t="s">
        <v>427</v>
      </c>
      <c r="L1848">
        <v>31</v>
      </c>
      <c r="M1848" t="str">
        <f t="shared" si="56"/>
        <v>Low</v>
      </c>
      <c r="N1848" t="str">
        <f t="shared" si="57"/>
        <v>Average</v>
      </c>
    </row>
    <row r="1849" spans="1:14">
      <c r="A1849" t="s">
        <v>38</v>
      </c>
      <c r="B1849">
        <v>2018</v>
      </c>
      <c r="C1849" t="s">
        <v>4108</v>
      </c>
      <c r="D1849" t="s">
        <v>33</v>
      </c>
      <c r="E1849" t="s">
        <v>1044</v>
      </c>
      <c r="F1849" t="s">
        <v>46</v>
      </c>
      <c r="G1849">
        <v>13.28</v>
      </c>
      <c r="H1849">
        <v>87</v>
      </c>
      <c r="I1849" t="s">
        <v>61</v>
      </c>
      <c r="J1849" t="s">
        <v>18</v>
      </c>
      <c r="K1849" t="s">
        <v>39</v>
      </c>
      <c r="L1849">
        <v>41</v>
      </c>
      <c r="M1849" t="str">
        <f t="shared" si="56"/>
        <v>Low</v>
      </c>
      <c r="N1849" t="str">
        <f t="shared" si="57"/>
        <v>Good</v>
      </c>
    </row>
    <row r="1850" spans="1:14">
      <c r="A1850" t="s">
        <v>38</v>
      </c>
      <c r="B1850">
        <v>2023</v>
      </c>
      <c r="C1850" t="s">
        <v>4109</v>
      </c>
      <c r="D1850" t="s">
        <v>33</v>
      </c>
      <c r="E1850" t="s">
        <v>4110</v>
      </c>
      <c r="F1850" t="s">
        <v>42</v>
      </c>
      <c r="G1850">
        <v>34.99</v>
      </c>
      <c r="H1850">
        <v>82</v>
      </c>
      <c r="I1850" t="s">
        <v>36</v>
      </c>
      <c r="J1850" t="s">
        <v>18</v>
      </c>
      <c r="K1850" t="s">
        <v>1359</v>
      </c>
      <c r="L1850">
        <v>216</v>
      </c>
      <c r="M1850" t="str">
        <f t="shared" si="56"/>
        <v>Medium</v>
      </c>
      <c r="N1850" t="str">
        <f t="shared" si="57"/>
        <v>Good</v>
      </c>
    </row>
    <row r="1851" spans="1:14">
      <c r="A1851" t="s">
        <v>47</v>
      </c>
      <c r="B1851">
        <v>2002</v>
      </c>
      <c r="C1851" t="s">
        <v>4111</v>
      </c>
      <c r="D1851" t="s">
        <v>14</v>
      </c>
      <c r="E1851" t="s">
        <v>4112</v>
      </c>
      <c r="F1851" t="s">
        <v>35</v>
      </c>
      <c r="G1851">
        <v>23.33</v>
      </c>
      <c r="H1851">
        <v>66</v>
      </c>
      <c r="I1851" t="s">
        <v>36</v>
      </c>
      <c r="J1851" t="s">
        <v>37</v>
      </c>
      <c r="K1851" t="s">
        <v>38</v>
      </c>
      <c r="L1851">
        <v>296</v>
      </c>
      <c r="M1851" t="str">
        <f t="shared" si="56"/>
        <v>Medium</v>
      </c>
      <c r="N1851" t="str">
        <f t="shared" si="57"/>
        <v>Average</v>
      </c>
    </row>
    <row r="1852" spans="1:14">
      <c r="A1852" t="s">
        <v>47</v>
      </c>
      <c r="B1852">
        <v>2013</v>
      </c>
      <c r="C1852" t="s">
        <v>4113</v>
      </c>
      <c r="D1852" t="s">
        <v>14</v>
      </c>
      <c r="E1852" t="s">
        <v>4114</v>
      </c>
      <c r="F1852" t="s">
        <v>42</v>
      </c>
      <c r="G1852">
        <v>49.14</v>
      </c>
      <c r="H1852">
        <v>86</v>
      </c>
      <c r="I1852" t="s">
        <v>23</v>
      </c>
      <c r="J1852" t="s">
        <v>18</v>
      </c>
      <c r="K1852" t="s">
        <v>320</v>
      </c>
      <c r="L1852">
        <v>228</v>
      </c>
      <c r="M1852" t="str">
        <f t="shared" si="56"/>
        <v>High</v>
      </c>
      <c r="N1852" t="str">
        <f t="shared" si="57"/>
        <v>Good</v>
      </c>
    </row>
    <row r="1853" spans="1:14">
      <c r="A1853" t="s">
        <v>39</v>
      </c>
      <c r="B1853">
        <v>2023</v>
      </c>
      <c r="C1853" t="s">
        <v>4115</v>
      </c>
      <c r="D1853" t="s">
        <v>33</v>
      </c>
      <c r="E1853" t="s">
        <v>4116</v>
      </c>
      <c r="F1853" t="s">
        <v>42</v>
      </c>
      <c r="G1853">
        <v>22.26</v>
      </c>
      <c r="H1853">
        <v>51</v>
      </c>
      <c r="I1853" t="s">
        <v>23</v>
      </c>
      <c r="J1853" t="s">
        <v>37</v>
      </c>
      <c r="K1853" t="s">
        <v>139</v>
      </c>
      <c r="L1853">
        <v>337</v>
      </c>
      <c r="M1853" t="str">
        <f t="shared" si="56"/>
        <v>Medium</v>
      </c>
      <c r="N1853" t="str">
        <f t="shared" si="57"/>
        <v>Average</v>
      </c>
    </row>
    <row r="1854" spans="1:14">
      <c r="A1854" t="s">
        <v>65</v>
      </c>
      <c r="B1854">
        <v>2001</v>
      </c>
      <c r="C1854" t="s">
        <v>4117</v>
      </c>
      <c r="D1854" t="s">
        <v>14</v>
      </c>
      <c r="E1854" t="s">
        <v>4118</v>
      </c>
      <c r="F1854" t="s">
        <v>16</v>
      </c>
      <c r="G1854">
        <v>47.54</v>
      </c>
      <c r="H1854">
        <v>93</v>
      </c>
      <c r="I1854" t="s">
        <v>29</v>
      </c>
      <c r="J1854" t="s">
        <v>18</v>
      </c>
      <c r="K1854" t="s">
        <v>12</v>
      </c>
      <c r="L1854">
        <v>3</v>
      </c>
      <c r="M1854" t="str">
        <f t="shared" si="56"/>
        <v>High</v>
      </c>
      <c r="N1854" t="str">
        <f t="shared" si="57"/>
        <v>Excellent</v>
      </c>
    </row>
    <row r="1855" spans="1:14">
      <c r="A1855" t="s">
        <v>47</v>
      </c>
      <c r="B1855">
        <v>2006</v>
      </c>
      <c r="C1855" t="s">
        <v>4119</v>
      </c>
      <c r="D1855" t="s">
        <v>33</v>
      </c>
      <c r="E1855" t="s">
        <v>4120</v>
      </c>
      <c r="F1855" t="s">
        <v>35</v>
      </c>
      <c r="G1855">
        <v>11.02</v>
      </c>
      <c r="H1855">
        <v>73</v>
      </c>
      <c r="I1855" t="s">
        <v>17</v>
      </c>
      <c r="J1855" t="s">
        <v>18</v>
      </c>
      <c r="K1855" t="s">
        <v>2100</v>
      </c>
      <c r="L1855">
        <v>235</v>
      </c>
      <c r="M1855" t="str">
        <f t="shared" si="56"/>
        <v>Low</v>
      </c>
      <c r="N1855" t="str">
        <f t="shared" si="57"/>
        <v>Average</v>
      </c>
    </row>
    <row r="1856" spans="1:14">
      <c r="A1856" t="s">
        <v>68</v>
      </c>
      <c r="B1856">
        <v>2011</v>
      </c>
      <c r="C1856" t="s">
        <v>4121</v>
      </c>
      <c r="D1856" t="s">
        <v>33</v>
      </c>
      <c r="E1856" t="s">
        <v>4122</v>
      </c>
      <c r="F1856" t="s">
        <v>16</v>
      </c>
      <c r="G1856">
        <v>38.86</v>
      </c>
      <c r="H1856">
        <v>56</v>
      </c>
      <c r="I1856" t="s">
        <v>61</v>
      </c>
      <c r="J1856" t="s">
        <v>37</v>
      </c>
      <c r="K1856" t="s">
        <v>68</v>
      </c>
      <c r="L1856">
        <v>291</v>
      </c>
      <c r="M1856" t="str">
        <f t="shared" si="56"/>
        <v>High</v>
      </c>
      <c r="N1856" t="str">
        <f t="shared" si="57"/>
        <v>Average</v>
      </c>
    </row>
    <row r="1857" spans="1:14">
      <c r="A1857" t="s">
        <v>68</v>
      </c>
      <c r="B1857">
        <v>2002</v>
      </c>
      <c r="C1857" t="s">
        <v>4123</v>
      </c>
      <c r="D1857" t="s">
        <v>33</v>
      </c>
      <c r="E1857" t="s">
        <v>4124</v>
      </c>
      <c r="F1857" t="s">
        <v>35</v>
      </c>
      <c r="G1857">
        <v>1.1100000000000001</v>
      </c>
      <c r="H1857">
        <v>60</v>
      </c>
      <c r="I1857" t="s">
        <v>23</v>
      </c>
      <c r="J1857" t="s">
        <v>37</v>
      </c>
      <c r="K1857" t="s">
        <v>457</v>
      </c>
      <c r="L1857">
        <v>233</v>
      </c>
      <c r="M1857" t="str">
        <f t="shared" si="56"/>
        <v>Low</v>
      </c>
      <c r="N1857" t="str">
        <f t="shared" si="57"/>
        <v>Average</v>
      </c>
    </row>
    <row r="1858" spans="1:14">
      <c r="A1858" t="s">
        <v>65</v>
      </c>
      <c r="B1858">
        <v>2024</v>
      </c>
      <c r="C1858" t="s">
        <v>4125</v>
      </c>
      <c r="D1858" t="s">
        <v>14</v>
      </c>
      <c r="E1858" t="s">
        <v>4126</v>
      </c>
      <c r="F1858" t="s">
        <v>35</v>
      </c>
      <c r="G1858">
        <v>32.61</v>
      </c>
      <c r="H1858">
        <v>50</v>
      </c>
      <c r="I1858" t="s">
        <v>61</v>
      </c>
      <c r="J1858" t="s">
        <v>24</v>
      </c>
      <c r="K1858" t="s">
        <v>114</v>
      </c>
      <c r="L1858">
        <v>222</v>
      </c>
      <c r="M1858" t="str">
        <f t="shared" si="56"/>
        <v>Medium</v>
      </c>
      <c r="N1858" t="str">
        <f t="shared" si="57"/>
        <v>Average</v>
      </c>
    </row>
    <row r="1859" spans="1:14">
      <c r="A1859" t="s">
        <v>39</v>
      </c>
      <c r="B1859">
        <v>2025</v>
      </c>
      <c r="C1859" t="s">
        <v>4127</v>
      </c>
      <c r="D1859" t="s">
        <v>14</v>
      </c>
      <c r="E1859" t="s">
        <v>2353</v>
      </c>
      <c r="F1859" t="s">
        <v>42</v>
      </c>
      <c r="G1859">
        <v>38.700000000000003</v>
      </c>
      <c r="H1859">
        <v>69</v>
      </c>
      <c r="I1859" t="s">
        <v>17</v>
      </c>
      <c r="J1859" t="s">
        <v>37</v>
      </c>
      <c r="K1859" t="s">
        <v>20</v>
      </c>
      <c r="L1859">
        <v>307</v>
      </c>
      <c r="M1859" t="str">
        <f t="shared" ref="M1859:M1922" si="58">IF(G1859&lt;15,"Low",IF(G1859&lt;35,"Medium","High"))</f>
        <v>High</v>
      </c>
      <c r="N1859" t="str">
        <f t="shared" ref="N1859:N1922" si="59">IF(H1859&gt;=90,"Excellent",IF(H1859&gt;=75,"Good","Average"))</f>
        <v>Average</v>
      </c>
    </row>
    <row r="1860" spans="1:14">
      <c r="A1860" t="s">
        <v>39</v>
      </c>
      <c r="B1860">
        <v>2017</v>
      </c>
      <c r="C1860" t="s">
        <v>4128</v>
      </c>
      <c r="D1860" t="s">
        <v>33</v>
      </c>
      <c r="E1860" t="s">
        <v>4129</v>
      </c>
      <c r="F1860" t="s">
        <v>57</v>
      </c>
      <c r="G1860">
        <v>13.02</v>
      </c>
      <c r="H1860">
        <v>83</v>
      </c>
      <c r="I1860" t="s">
        <v>23</v>
      </c>
      <c r="J1860" t="s">
        <v>18</v>
      </c>
      <c r="K1860" t="s">
        <v>31</v>
      </c>
      <c r="L1860">
        <v>106</v>
      </c>
      <c r="M1860" t="str">
        <f t="shared" si="58"/>
        <v>Low</v>
      </c>
      <c r="N1860" t="str">
        <f t="shared" si="59"/>
        <v>Good</v>
      </c>
    </row>
    <row r="1861" spans="1:14">
      <c r="A1861" t="s">
        <v>47</v>
      </c>
      <c r="B1861">
        <v>2017</v>
      </c>
      <c r="C1861" t="s">
        <v>4130</v>
      </c>
      <c r="D1861" t="s">
        <v>33</v>
      </c>
      <c r="E1861" t="s">
        <v>4131</v>
      </c>
      <c r="F1861" t="s">
        <v>35</v>
      </c>
      <c r="G1861">
        <v>22.53</v>
      </c>
      <c r="H1861">
        <v>84</v>
      </c>
      <c r="I1861" t="s">
        <v>36</v>
      </c>
      <c r="J1861" t="s">
        <v>24</v>
      </c>
      <c r="K1861" t="s">
        <v>38</v>
      </c>
      <c r="L1861">
        <v>56</v>
      </c>
      <c r="M1861" t="str">
        <f t="shared" si="58"/>
        <v>Medium</v>
      </c>
      <c r="N1861" t="str">
        <f t="shared" si="59"/>
        <v>Good</v>
      </c>
    </row>
    <row r="1862" spans="1:14">
      <c r="A1862" t="s">
        <v>12</v>
      </c>
      <c r="B1862">
        <v>2020</v>
      </c>
      <c r="C1862" t="s">
        <v>4132</v>
      </c>
      <c r="D1862" t="s">
        <v>33</v>
      </c>
      <c r="E1862" t="s">
        <v>4133</v>
      </c>
      <c r="F1862" t="s">
        <v>16</v>
      </c>
      <c r="G1862">
        <v>2.5299999999999998</v>
      </c>
      <c r="H1862">
        <v>60</v>
      </c>
      <c r="I1862" t="s">
        <v>36</v>
      </c>
      <c r="J1862" t="s">
        <v>24</v>
      </c>
      <c r="K1862" t="s">
        <v>4134</v>
      </c>
      <c r="L1862">
        <v>88</v>
      </c>
      <c r="M1862" t="str">
        <f t="shared" si="58"/>
        <v>Low</v>
      </c>
      <c r="N1862" t="str">
        <f t="shared" si="59"/>
        <v>Average</v>
      </c>
    </row>
    <row r="1863" spans="1:14">
      <c r="A1863" t="s">
        <v>39</v>
      </c>
      <c r="B1863">
        <v>2010</v>
      </c>
      <c r="C1863" t="s">
        <v>4135</v>
      </c>
      <c r="D1863" t="s">
        <v>33</v>
      </c>
      <c r="E1863" t="s">
        <v>4136</v>
      </c>
      <c r="F1863" t="s">
        <v>46</v>
      </c>
      <c r="G1863">
        <v>30.46</v>
      </c>
      <c r="H1863">
        <v>52</v>
      </c>
      <c r="I1863" t="s">
        <v>61</v>
      </c>
      <c r="J1863" t="s">
        <v>24</v>
      </c>
      <c r="K1863" t="s">
        <v>26</v>
      </c>
      <c r="L1863">
        <v>42</v>
      </c>
      <c r="M1863" t="str">
        <f t="shared" si="58"/>
        <v>Medium</v>
      </c>
      <c r="N1863" t="str">
        <f t="shared" si="59"/>
        <v>Average</v>
      </c>
    </row>
    <row r="1864" spans="1:14">
      <c r="A1864" t="s">
        <v>39</v>
      </c>
      <c r="B1864">
        <v>2004</v>
      </c>
      <c r="C1864" t="s">
        <v>4137</v>
      </c>
      <c r="D1864" t="s">
        <v>14</v>
      </c>
      <c r="E1864" t="s">
        <v>4138</v>
      </c>
      <c r="F1864" t="s">
        <v>35</v>
      </c>
      <c r="G1864">
        <v>45.08</v>
      </c>
      <c r="H1864">
        <v>86</v>
      </c>
      <c r="I1864" t="s">
        <v>17</v>
      </c>
      <c r="J1864" t="s">
        <v>24</v>
      </c>
      <c r="K1864" t="s">
        <v>151</v>
      </c>
      <c r="L1864">
        <v>178</v>
      </c>
      <c r="M1864" t="str">
        <f t="shared" si="58"/>
        <v>High</v>
      </c>
      <c r="N1864" t="str">
        <f t="shared" si="59"/>
        <v>Good</v>
      </c>
    </row>
    <row r="1865" spans="1:14">
      <c r="A1865" t="s">
        <v>20</v>
      </c>
      <c r="B1865">
        <v>2005</v>
      </c>
      <c r="C1865" t="s">
        <v>4139</v>
      </c>
      <c r="D1865" t="s">
        <v>14</v>
      </c>
      <c r="E1865" t="s">
        <v>4140</v>
      </c>
      <c r="F1865" t="s">
        <v>16</v>
      </c>
      <c r="G1865">
        <v>6.35</v>
      </c>
      <c r="H1865">
        <v>50</v>
      </c>
      <c r="I1865" t="s">
        <v>23</v>
      </c>
      <c r="J1865" t="s">
        <v>24</v>
      </c>
      <c r="K1865" t="s">
        <v>4141</v>
      </c>
      <c r="L1865">
        <v>157</v>
      </c>
      <c r="M1865" t="str">
        <f t="shared" si="58"/>
        <v>Low</v>
      </c>
      <c r="N1865" t="str">
        <f t="shared" si="59"/>
        <v>Average</v>
      </c>
    </row>
    <row r="1866" spans="1:14">
      <c r="A1866" t="s">
        <v>47</v>
      </c>
      <c r="B1866">
        <v>2016</v>
      </c>
      <c r="C1866" t="s">
        <v>4142</v>
      </c>
      <c r="D1866" t="s">
        <v>14</v>
      </c>
      <c r="E1866" t="s">
        <v>4143</v>
      </c>
      <c r="F1866" t="s">
        <v>42</v>
      </c>
      <c r="G1866">
        <v>43.73</v>
      </c>
      <c r="H1866">
        <v>83</v>
      </c>
      <c r="I1866" t="s">
        <v>61</v>
      </c>
      <c r="J1866" t="s">
        <v>24</v>
      </c>
      <c r="K1866" t="s">
        <v>47</v>
      </c>
      <c r="L1866">
        <v>241</v>
      </c>
      <c r="M1866" t="str">
        <f t="shared" si="58"/>
        <v>High</v>
      </c>
      <c r="N1866" t="str">
        <f t="shared" si="59"/>
        <v>Good</v>
      </c>
    </row>
    <row r="1867" spans="1:14">
      <c r="A1867" t="s">
        <v>65</v>
      </c>
      <c r="B1867">
        <v>2021</v>
      </c>
      <c r="C1867" t="s">
        <v>4144</v>
      </c>
      <c r="D1867" t="s">
        <v>33</v>
      </c>
      <c r="E1867" t="s">
        <v>4145</v>
      </c>
      <c r="F1867" t="s">
        <v>42</v>
      </c>
      <c r="G1867">
        <v>2.2200000000000002</v>
      </c>
      <c r="H1867">
        <v>73</v>
      </c>
      <c r="I1867" t="s">
        <v>29</v>
      </c>
      <c r="J1867" t="s">
        <v>24</v>
      </c>
      <c r="K1867" t="s">
        <v>64</v>
      </c>
      <c r="L1867">
        <v>65</v>
      </c>
      <c r="M1867" t="str">
        <f t="shared" si="58"/>
        <v>Low</v>
      </c>
      <c r="N1867" t="str">
        <f t="shared" si="59"/>
        <v>Average</v>
      </c>
    </row>
    <row r="1868" spans="1:14">
      <c r="A1868" t="s">
        <v>20</v>
      </c>
      <c r="B1868">
        <v>2011</v>
      </c>
      <c r="C1868" t="s">
        <v>4146</v>
      </c>
      <c r="D1868" t="s">
        <v>14</v>
      </c>
      <c r="E1868" t="s">
        <v>4147</v>
      </c>
      <c r="F1868" t="s">
        <v>16</v>
      </c>
      <c r="G1868">
        <v>28.14</v>
      </c>
      <c r="H1868">
        <v>98</v>
      </c>
      <c r="I1868" t="s">
        <v>61</v>
      </c>
      <c r="J1868" t="s">
        <v>24</v>
      </c>
      <c r="K1868" t="s">
        <v>26</v>
      </c>
      <c r="L1868">
        <v>95</v>
      </c>
      <c r="M1868" t="str">
        <f t="shared" si="58"/>
        <v>Medium</v>
      </c>
      <c r="N1868" t="str">
        <f t="shared" si="59"/>
        <v>Excellent</v>
      </c>
    </row>
    <row r="1869" spans="1:14">
      <c r="A1869" t="s">
        <v>26</v>
      </c>
      <c r="B1869">
        <v>2009</v>
      </c>
      <c r="C1869" t="s">
        <v>4148</v>
      </c>
      <c r="D1869" t="s">
        <v>14</v>
      </c>
      <c r="E1869" t="s">
        <v>4149</v>
      </c>
      <c r="F1869" t="s">
        <v>57</v>
      </c>
      <c r="G1869">
        <v>35.81</v>
      </c>
      <c r="H1869">
        <v>74</v>
      </c>
      <c r="I1869" t="s">
        <v>17</v>
      </c>
      <c r="J1869" t="s">
        <v>18</v>
      </c>
      <c r="K1869" t="s">
        <v>881</v>
      </c>
      <c r="L1869">
        <v>56</v>
      </c>
      <c r="M1869" t="str">
        <f t="shared" si="58"/>
        <v>High</v>
      </c>
      <c r="N1869" t="str">
        <f t="shared" si="59"/>
        <v>Average</v>
      </c>
    </row>
    <row r="1870" spans="1:14">
      <c r="A1870" t="s">
        <v>12</v>
      </c>
      <c r="B1870">
        <v>2001</v>
      </c>
      <c r="C1870" t="s">
        <v>4150</v>
      </c>
      <c r="D1870" t="s">
        <v>33</v>
      </c>
      <c r="E1870" t="s">
        <v>4151</v>
      </c>
      <c r="F1870" t="s">
        <v>57</v>
      </c>
      <c r="G1870">
        <v>3.01</v>
      </c>
      <c r="H1870">
        <v>99</v>
      </c>
      <c r="I1870" t="s">
        <v>29</v>
      </c>
      <c r="J1870" t="s">
        <v>37</v>
      </c>
      <c r="K1870" t="s">
        <v>298</v>
      </c>
      <c r="L1870">
        <v>47</v>
      </c>
      <c r="M1870" t="str">
        <f t="shared" si="58"/>
        <v>Low</v>
      </c>
      <c r="N1870" t="str">
        <f t="shared" si="59"/>
        <v>Excellent</v>
      </c>
    </row>
    <row r="1871" spans="1:14">
      <c r="A1871" t="s">
        <v>12</v>
      </c>
      <c r="B1871">
        <v>2008</v>
      </c>
      <c r="C1871" t="s">
        <v>4152</v>
      </c>
      <c r="D1871" t="s">
        <v>33</v>
      </c>
      <c r="E1871" t="s">
        <v>4153</v>
      </c>
      <c r="F1871" t="s">
        <v>35</v>
      </c>
      <c r="G1871">
        <v>37.590000000000003</v>
      </c>
      <c r="H1871">
        <v>75</v>
      </c>
      <c r="I1871" t="s">
        <v>36</v>
      </c>
      <c r="J1871" t="s">
        <v>37</v>
      </c>
      <c r="K1871" t="s">
        <v>4154</v>
      </c>
      <c r="L1871">
        <v>198</v>
      </c>
      <c r="M1871" t="str">
        <f t="shared" si="58"/>
        <v>High</v>
      </c>
      <c r="N1871" t="str">
        <f t="shared" si="59"/>
        <v>Good</v>
      </c>
    </row>
    <row r="1872" spans="1:14">
      <c r="A1872" t="s">
        <v>31</v>
      </c>
      <c r="B1872">
        <v>2025</v>
      </c>
      <c r="C1872" t="s">
        <v>4155</v>
      </c>
      <c r="D1872" t="s">
        <v>33</v>
      </c>
      <c r="E1872" t="s">
        <v>4156</v>
      </c>
      <c r="F1872" t="s">
        <v>57</v>
      </c>
      <c r="G1872">
        <v>3.32</v>
      </c>
      <c r="H1872">
        <v>72</v>
      </c>
      <c r="I1872" t="s">
        <v>36</v>
      </c>
      <c r="J1872" t="s">
        <v>18</v>
      </c>
      <c r="K1872" t="s">
        <v>4157</v>
      </c>
      <c r="L1872">
        <v>360</v>
      </c>
      <c r="M1872" t="str">
        <f t="shared" si="58"/>
        <v>Low</v>
      </c>
      <c r="N1872" t="str">
        <f t="shared" si="59"/>
        <v>Average</v>
      </c>
    </row>
    <row r="1873" spans="1:14">
      <c r="A1873" t="s">
        <v>31</v>
      </c>
      <c r="B1873">
        <v>2025</v>
      </c>
      <c r="C1873" t="s">
        <v>4158</v>
      </c>
      <c r="D1873" t="s">
        <v>33</v>
      </c>
      <c r="E1873" t="s">
        <v>4159</v>
      </c>
      <c r="F1873" t="s">
        <v>42</v>
      </c>
      <c r="G1873">
        <v>26.9</v>
      </c>
      <c r="H1873">
        <v>78</v>
      </c>
      <c r="I1873" t="s">
        <v>61</v>
      </c>
      <c r="J1873" t="s">
        <v>18</v>
      </c>
      <c r="K1873" t="s">
        <v>4160</v>
      </c>
      <c r="L1873">
        <v>273</v>
      </c>
      <c r="M1873" t="str">
        <f t="shared" si="58"/>
        <v>Medium</v>
      </c>
      <c r="N1873" t="str">
        <f t="shared" si="59"/>
        <v>Good</v>
      </c>
    </row>
    <row r="1874" spans="1:14">
      <c r="A1874" t="s">
        <v>65</v>
      </c>
      <c r="B1874">
        <v>2017</v>
      </c>
      <c r="C1874" t="s">
        <v>4161</v>
      </c>
      <c r="D1874" t="s">
        <v>14</v>
      </c>
      <c r="E1874" t="s">
        <v>4162</v>
      </c>
      <c r="F1874" t="s">
        <v>35</v>
      </c>
      <c r="G1874">
        <v>15.46</v>
      </c>
      <c r="H1874">
        <v>81</v>
      </c>
      <c r="I1874" t="s">
        <v>23</v>
      </c>
      <c r="J1874" t="s">
        <v>18</v>
      </c>
      <c r="K1874" t="s">
        <v>2452</v>
      </c>
      <c r="L1874">
        <v>203</v>
      </c>
      <c r="M1874" t="str">
        <f t="shared" si="58"/>
        <v>Medium</v>
      </c>
      <c r="N1874" t="str">
        <f t="shared" si="59"/>
        <v>Good</v>
      </c>
    </row>
    <row r="1875" spans="1:14">
      <c r="A1875" t="s">
        <v>68</v>
      </c>
      <c r="B1875">
        <v>2017</v>
      </c>
      <c r="C1875" t="s">
        <v>4163</v>
      </c>
      <c r="D1875" t="s">
        <v>14</v>
      </c>
      <c r="E1875" t="s">
        <v>4164</v>
      </c>
      <c r="F1875" t="s">
        <v>46</v>
      </c>
      <c r="G1875">
        <v>40.28</v>
      </c>
      <c r="H1875">
        <v>69</v>
      </c>
      <c r="I1875" t="s">
        <v>36</v>
      </c>
      <c r="J1875" t="s">
        <v>18</v>
      </c>
      <c r="K1875" t="s">
        <v>4165</v>
      </c>
      <c r="L1875">
        <v>256</v>
      </c>
      <c r="M1875" t="str">
        <f t="shared" si="58"/>
        <v>High</v>
      </c>
      <c r="N1875" t="str">
        <f t="shared" si="59"/>
        <v>Average</v>
      </c>
    </row>
    <row r="1876" spans="1:14">
      <c r="A1876" t="s">
        <v>47</v>
      </c>
      <c r="B1876">
        <v>2007</v>
      </c>
      <c r="C1876" t="s">
        <v>4166</v>
      </c>
      <c r="D1876" t="s">
        <v>33</v>
      </c>
      <c r="E1876" t="s">
        <v>2956</v>
      </c>
      <c r="F1876" t="s">
        <v>42</v>
      </c>
      <c r="G1876">
        <v>49.68</v>
      </c>
      <c r="H1876">
        <v>73</v>
      </c>
      <c r="I1876" t="s">
        <v>36</v>
      </c>
      <c r="J1876" t="s">
        <v>24</v>
      </c>
      <c r="K1876" t="s">
        <v>12</v>
      </c>
      <c r="L1876">
        <v>336</v>
      </c>
      <c r="M1876" t="str">
        <f t="shared" si="58"/>
        <v>High</v>
      </c>
      <c r="N1876" t="str">
        <f t="shared" si="59"/>
        <v>Average</v>
      </c>
    </row>
    <row r="1877" spans="1:14">
      <c r="A1877" t="s">
        <v>20</v>
      </c>
      <c r="B1877">
        <v>2005</v>
      </c>
      <c r="C1877" t="s">
        <v>4167</v>
      </c>
      <c r="D1877" t="s">
        <v>33</v>
      </c>
      <c r="E1877" t="s">
        <v>2076</v>
      </c>
      <c r="F1877" t="s">
        <v>57</v>
      </c>
      <c r="G1877">
        <v>42.4</v>
      </c>
      <c r="H1877">
        <v>66</v>
      </c>
      <c r="I1877" t="s">
        <v>36</v>
      </c>
      <c r="J1877" t="s">
        <v>37</v>
      </c>
      <c r="K1877" t="s">
        <v>298</v>
      </c>
      <c r="L1877">
        <v>7</v>
      </c>
      <c r="M1877" t="str">
        <f t="shared" si="58"/>
        <v>High</v>
      </c>
      <c r="N1877" t="str">
        <f t="shared" si="59"/>
        <v>Average</v>
      </c>
    </row>
    <row r="1878" spans="1:14">
      <c r="A1878" t="s">
        <v>26</v>
      </c>
      <c r="B1878">
        <v>2018</v>
      </c>
      <c r="C1878" t="s">
        <v>4168</v>
      </c>
      <c r="D1878" t="s">
        <v>14</v>
      </c>
      <c r="E1878" t="s">
        <v>4169</v>
      </c>
      <c r="F1878" t="s">
        <v>35</v>
      </c>
      <c r="G1878">
        <v>23.07</v>
      </c>
      <c r="H1878">
        <v>88</v>
      </c>
      <c r="I1878" t="s">
        <v>17</v>
      </c>
      <c r="J1878" t="s">
        <v>24</v>
      </c>
      <c r="K1878" t="s">
        <v>47</v>
      </c>
      <c r="L1878">
        <v>36</v>
      </c>
      <c r="M1878" t="str">
        <f t="shared" si="58"/>
        <v>Medium</v>
      </c>
      <c r="N1878" t="str">
        <f t="shared" si="59"/>
        <v>Good</v>
      </c>
    </row>
    <row r="1879" spans="1:14">
      <c r="A1879" t="s">
        <v>12</v>
      </c>
      <c r="B1879">
        <v>2011</v>
      </c>
      <c r="C1879" t="s">
        <v>4170</v>
      </c>
      <c r="D1879" t="s">
        <v>14</v>
      </c>
      <c r="E1879" t="s">
        <v>4171</v>
      </c>
      <c r="F1879" t="s">
        <v>16</v>
      </c>
      <c r="G1879">
        <v>12.15</v>
      </c>
      <c r="H1879">
        <v>94</v>
      </c>
      <c r="I1879" t="s">
        <v>17</v>
      </c>
      <c r="J1879" t="s">
        <v>18</v>
      </c>
      <c r="K1879" t="s">
        <v>2517</v>
      </c>
      <c r="L1879">
        <v>12</v>
      </c>
      <c r="M1879" t="str">
        <f t="shared" si="58"/>
        <v>Low</v>
      </c>
      <c r="N1879" t="str">
        <f t="shared" si="59"/>
        <v>Excellent</v>
      </c>
    </row>
    <row r="1880" spans="1:14">
      <c r="A1880" t="s">
        <v>38</v>
      </c>
      <c r="B1880">
        <v>2011</v>
      </c>
      <c r="C1880" t="s">
        <v>4172</v>
      </c>
      <c r="D1880" t="s">
        <v>33</v>
      </c>
      <c r="E1880" t="s">
        <v>4173</v>
      </c>
      <c r="F1880" t="s">
        <v>42</v>
      </c>
      <c r="G1880">
        <v>11.18</v>
      </c>
      <c r="H1880">
        <v>70</v>
      </c>
      <c r="I1880" t="s">
        <v>17</v>
      </c>
      <c r="J1880" t="s">
        <v>37</v>
      </c>
      <c r="K1880" t="s">
        <v>4174</v>
      </c>
      <c r="L1880">
        <v>173</v>
      </c>
      <c r="M1880" t="str">
        <f t="shared" si="58"/>
        <v>Low</v>
      </c>
      <c r="N1880" t="str">
        <f t="shared" si="59"/>
        <v>Average</v>
      </c>
    </row>
    <row r="1881" spans="1:14">
      <c r="A1881" t="s">
        <v>68</v>
      </c>
      <c r="B1881">
        <v>2002</v>
      </c>
      <c r="C1881" t="s">
        <v>4175</v>
      </c>
      <c r="D1881" t="s">
        <v>14</v>
      </c>
      <c r="E1881" t="s">
        <v>4176</v>
      </c>
      <c r="F1881" t="s">
        <v>46</v>
      </c>
      <c r="G1881">
        <v>22.76</v>
      </c>
      <c r="H1881">
        <v>80</v>
      </c>
      <c r="I1881" t="s">
        <v>36</v>
      </c>
      <c r="J1881" t="s">
        <v>37</v>
      </c>
      <c r="K1881" t="s">
        <v>134</v>
      </c>
      <c r="L1881">
        <v>181</v>
      </c>
      <c r="M1881" t="str">
        <f t="shared" si="58"/>
        <v>Medium</v>
      </c>
      <c r="N1881" t="str">
        <f t="shared" si="59"/>
        <v>Good</v>
      </c>
    </row>
    <row r="1882" spans="1:14">
      <c r="A1882" t="s">
        <v>31</v>
      </c>
      <c r="B1882">
        <v>2002</v>
      </c>
      <c r="C1882" t="s">
        <v>4177</v>
      </c>
      <c r="D1882" t="s">
        <v>33</v>
      </c>
      <c r="E1882" t="s">
        <v>4178</v>
      </c>
      <c r="F1882" t="s">
        <v>46</v>
      </c>
      <c r="G1882">
        <v>40.26</v>
      </c>
      <c r="H1882">
        <v>62</v>
      </c>
      <c r="I1882" t="s">
        <v>36</v>
      </c>
      <c r="J1882" t="s">
        <v>18</v>
      </c>
      <c r="K1882" t="s">
        <v>4179</v>
      </c>
      <c r="L1882">
        <v>15</v>
      </c>
      <c r="M1882" t="str">
        <f t="shared" si="58"/>
        <v>High</v>
      </c>
      <c r="N1882" t="str">
        <f t="shared" si="59"/>
        <v>Average</v>
      </c>
    </row>
    <row r="1883" spans="1:14">
      <c r="A1883" t="s">
        <v>31</v>
      </c>
      <c r="B1883">
        <v>2006</v>
      </c>
      <c r="C1883" t="s">
        <v>4180</v>
      </c>
      <c r="D1883" t="s">
        <v>14</v>
      </c>
      <c r="E1883" t="s">
        <v>4181</v>
      </c>
      <c r="F1883" t="s">
        <v>35</v>
      </c>
      <c r="G1883">
        <v>1.52</v>
      </c>
      <c r="H1883">
        <v>77</v>
      </c>
      <c r="I1883" t="s">
        <v>36</v>
      </c>
      <c r="J1883" t="s">
        <v>37</v>
      </c>
      <c r="K1883" t="s">
        <v>4182</v>
      </c>
      <c r="L1883">
        <v>160</v>
      </c>
      <c r="M1883" t="str">
        <f t="shared" si="58"/>
        <v>Low</v>
      </c>
      <c r="N1883" t="str">
        <f t="shared" si="59"/>
        <v>Good</v>
      </c>
    </row>
    <row r="1884" spans="1:14">
      <c r="A1884" t="s">
        <v>65</v>
      </c>
      <c r="B1884">
        <v>2022</v>
      </c>
      <c r="C1884" t="s">
        <v>4183</v>
      </c>
      <c r="D1884" t="s">
        <v>14</v>
      </c>
      <c r="E1884" t="s">
        <v>4184</v>
      </c>
      <c r="F1884" t="s">
        <v>57</v>
      </c>
      <c r="G1884">
        <v>0.97</v>
      </c>
      <c r="H1884">
        <v>90</v>
      </c>
      <c r="I1884" t="s">
        <v>61</v>
      </c>
      <c r="J1884" t="s">
        <v>24</v>
      </c>
      <c r="K1884" t="s">
        <v>48</v>
      </c>
      <c r="L1884">
        <v>164</v>
      </c>
      <c r="M1884" t="str">
        <f t="shared" si="58"/>
        <v>Low</v>
      </c>
      <c r="N1884" t="str">
        <f t="shared" si="59"/>
        <v>Excellent</v>
      </c>
    </row>
    <row r="1885" spans="1:14">
      <c r="A1885" t="s">
        <v>39</v>
      </c>
      <c r="B1885">
        <v>2023</v>
      </c>
      <c r="C1885" t="s">
        <v>4185</v>
      </c>
      <c r="D1885" t="s">
        <v>14</v>
      </c>
      <c r="E1885" t="s">
        <v>4186</v>
      </c>
      <c r="F1885" t="s">
        <v>46</v>
      </c>
      <c r="G1885">
        <v>25</v>
      </c>
      <c r="H1885">
        <v>81</v>
      </c>
      <c r="I1885" t="s">
        <v>36</v>
      </c>
      <c r="J1885" t="s">
        <v>18</v>
      </c>
      <c r="K1885" t="s">
        <v>4187</v>
      </c>
      <c r="L1885">
        <v>48</v>
      </c>
      <c r="M1885" t="str">
        <f t="shared" si="58"/>
        <v>Medium</v>
      </c>
      <c r="N1885" t="str">
        <f t="shared" si="59"/>
        <v>Good</v>
      </c>
    </row>
    <row r="1886" spans="1:14">
      <c r="A1886" t="s">
        <v>26</v>
      </c>
      <c r="B1886">
        <v>2013</v>
      </c>
      <c r="C1886" t="s">
        <v>4188</v>
      </c>
      <c r="D1886" t="s">
        <v>33</v>
      </c>
      <c r="E1886" t="s">
        <v>3220</v>
      </c>
      <c r="F1886" t="s">
        <v>42</v>
      </c>
      <c r="G1886">
        <v>34.75</v>
      </c>
      <c r="H1886">
        <v>60</v>
      </c>
      <c r="I1886" t="s">
        <v>36</v>
      </c>
      <c r="J1886" t="s">
        <v>18</v>
      </c>
      <c r="K1886" t="s">
        <v>1019</v>
      </c>
      <c r="L1886">
        <v>294</v>
      </c>
      <c r="M1886" t="str">
        <f t="shared" si="58"/>
        <v>Medium</v>
      </c>
      <c r="N1886" t="str">
        <f t="shared" si="59"/>
        <v>Average</v>
      </c>
    </row>
    <row r="1887" spans="1:14">
      <c r="A1887" t="s">
        <v>39</v>
      </c>
      <c r="B1887">
        <v>2009</v>
      </c>
      <c r="C1887" t="s">
        <v>4189</v>
      </c>
      <c r="D1887" t="s">
        <v>33</v>
      </c>
      <c r="E1887" t="s">
        <v>4190</v>
      </c>
      <c r="F1887" t="s">
        <v>46</v>
      </c>
      <c r="G1887">
        <v>11.71</v>
      </c>
      <c r="H1887">
        <v>52</v>
      </c>
      <c r="I1887" t="s">
        <v>29</v>
      </c>
      <c r="J1887" t="s">
        <v>37</v>
      </c>
      <c r="K1887" t="s">
        <v>65</v>
      </c>
      <c r="L1887">
        <v>114</v>
      </c>
      <c r="M1887" t="str">
        <f t="shared" si="58"/>
        <v>Low</v>
      </c>
      <c r="N1887" t="str">
        <f t="shared" si="59"/>
        <v>Average</v>
      </c>
    </row>
    <row r="1888" spans="1:14">
      <c r="A1888" t="s">
        <v>47</v>
      </c>
      <c r="B1888">
        <v>2018</v>
      </c>
      <c r="C1888" t="s">
        <v>4191</v>
      </c>
      <c r="D1888" t="s">
        <v>14</v>
      </c>
      <c r="E1888" t="s">
        <v>4192</v>
      </c>
      <c r="F1888" t="s">
        <v>42</v>
      </c>
      <c r="G1888">
        <v>28.94</v>
      </c>
      <c r="H1888">
        <v>56</v>
      </c>
      <c r="I1888" t="s">
        <v>23</v>
      </c>
      <c r="J1888" t="s">
        <v>18</v>
      </c>
      <c r="K1888" t="s">
        <v>942</v>
      </c>
      <c r="L1888">
        <v>220</v>
      </c>
      <c r="M1888" t="str">
        <f t="shared" si="58"/>
        <v>Medium</v>
      </c>
      <c r="N1888" t="str">
        <f t="shared" si="59"/>
        <v>Average</v>
      </c>
    </row>
    <row r="1889" spans="1:14">
      <c r="A1889" t="s">
        <v>39</v>
      </c>
      <c r="B1889">
        <v>2011</v>
      </c>
      <c r="C1889" t="s">
        <v>4193</v>
      </c>
      <c r="D1889" t="s">
        <v>14</v>
      </c>
      <c r="E1889" t="s">
        <v>4194</v>
      </c>
      <c r="F1889" t="s">
        <v>57</v>
      </c>
      <c r="G1889">
        <v>11.56</v>
      </c>
      <c r="H1889">
        <v>83</v>
      </c>
      <c r="I1889" t="s">
        <v>61</v>
      </c>
      <c r="J1889" t="s">
        <v>18</v>
      </c>
      <c r="K1889" t="s">
        <v>65</v>
      </c>
      <c r="L1889">
        <v>242</v>
      </c>
      <c r="M1889" t="str">
        <f t="shared" si="58"/>
        <v>Low</v>
      </c>
      <c r="N1889" t="str">
        <f t="shared" si="59"/>
        <v>Good</v>
      </c>
    </row>
    <row r="1890" spans="1:14">
      <c r="A1890" t="s">
        <v>48</v>
      </c>
      <c r="B1890">
        <v>2020</v>
      </c>
      <c r="C1890" t="s">
        <v>4195</v>
      </c>
      <c r="D1890" t="s">
        <v>14</v>
      </c>
      <c r="E1890" t="s">
        <v>4196</v>
      </c>
      <c r="F1890" t="s">
        <v>46</v>
      </c>
      <c r="G1890">
        <v>44.89</v>
      </c>
      <c r="H1890">
        <v>97</v>
      </c>
      <c r="I1890" t="s">
        <v>36</v>
      </c>
      <c r="J1890" t="s">
        <v>24</v>
      </c>
      <c r="K1890" t="s">
        <v>20</v>
      </c>
      <c r="L1890">
        <v>31</v>
      </c>
      <c r="M1890" t="str">
        <f t="shared" si="58"/>
        <v>High</v>
      </c>
      <c r="N1890" t="str">
        <f t="shared" si="59"/>
        <v>Excellent</v>
      </c>
    </row>
    <row r="1891" spans="1:14">
      <c r="A1891" t="s">
        <v>26</v>
      </c>
      <c r="B1891">
        <v>2011</v>
      </c>
      <c r="C1891" t="s">
        <v>4197</v>
      </c>
      <c r="D1891" t="s">
        <v>33</v>
      </c>
      <c r="E1891" t="s">
        <v>4198</v>
      </c>
      <c r="F1891" t="s">
        <v>42</v>
      </c>
      <c r="G1891">
        <v>14.95</v>
      </c>
      <c r="H1891">
        <v>60</v>
      </c>
      <c r="I1891" t="s">
        <v>29</v>
      </c>
      <c r="J1891" t="s">
        <v>18</v>
      </c>
      <c r="K1891" t="s">
        <v>1944</v>
      </c>
      <c r="L1891">
        <v>58</v>
      </c>
      <c r="M1891" t="str">
        <f t="shared" si="58"/>
        <v>Low</v>
      </c>
      <c r="N1891" t="str">
        <f t="shared" si="59"/>
        <v>Average</v>
      </c>
    </row>
    <row r="1892" spans="1:14">
      <c r="A1892" t="s">
        <v>26</v>
      </c>
      <c r="B1892">
        <v>2016</v>
      </c>
      <c r="C1892" t="s">
        <v>4199</v>
      </c>
      <c r="D1892" t="s">
        <v>14</v>
      </c>
      <c r="E1892" t="s">
        <v>4200</v>
      </c>
      <c r="F1892" t="s">
        <v>46</v>
      </c>
      <c r="G1892">
        <v>29.59</v>
      </c>
      <c r="H1892">
        <v>91</v>
      </c>
      <c r="I1892" t="s">
        <v>36</v>
      </c>
      <c r="J1892" t="s">
        <v>18</v>
      </c>
      <c r="K1892" t="s">
        <v>254</v>
      </c>
      <c r="L1892">
        <v>234</v>
      </c>
      <c r="M1892" t="str">
        <f t="shared" si="58"/>
        <v>Medium</v>
      </c>
      <c r="N1892" t="str">
        <f t="shared" si="59"/>
        <v>Excellent</v>
      </c>
    </row>
    <row r="1893" spans="1:14">
      <c r="A1893" t="s">
        <v>65</v>
      </c>
      <c r="B1893">
        <v>2013</v>
      </c>
      <c r="C1893" t="s">
        <v>4201</v>
      </c>
      <c r="D1893" t="s">
        <v>14</v>
      </c>
      <c r="E1893" t="s">
        <v>4202</v>
      </c>
      <c r="F1893" t="s">
        <v>42</v>
      </c>
      <c r="G1893">
        <v>1.66</v>
      </c>
      <c r="H1893">
        <v>89</v>
      </c>
      <c r="I1893" t="s">
        <v>29</v>
      </c>
      <c r="J1893" t="s">
        <v>18</v>
      </c>
      <c r="K1893" t="s">
        <v>65</v>
      </c>
      <c r="L1893">
        <v>226</v>
      </c>
      <c r="M1893" t="str">
        <f t="shared" si="58"/>
        <v>Low</v>
      </c>
      <c r="N1893" t="str">
        <f t="shared" si="59"/>
        <v>Good</v>
      </c>
    </row>
    <row r="1894" spans="1:14">
      <c r="A1894" t="s">
        <v>68</v>
      </c>
      <c r="B1894">
        <v>2008</v>
      </c>
      <c r="C1894" t="s">
        <v>4203</v>
      </c>
      <c r="D1894" t="s">
        <v>14</v>
      </c>
      <c r="E1894" t="s">
        <v>4204</v>
      </c>
      <c r="F1894" t="s">
        <v>35</v>
      </c>
      <c r="G1894">
        <v>38.03</v>
      </c>
      <c r="H1894">
        <v>60</v>
      </c>
      <c r="I1894" t="s">
        <v>17</v>
      </c>
      <c r="J1894" t="s">
        <v>24</v>
      </c>
      <c r="K1894" t="s">
        <v>2563</v>
      </c>
      <c r="L1894">
        <v>85</v>
      </c>
      <c r="M1894" t="str">
        <f t="shared" si="58"/>
        <v>High</v>
      </c>
      <c r="N1894" t="str">
        <f t="shared" si="59"/>
        <v>Average</v>
      </c>
    </row>
    <row r="1895" spans="1:14">
      <c r="A1895" t="s">
        <v>12</v>
      </c>
      <c r="B1895">
        <v>2011</v>
      </c>
      <c r="C1895" t="s">
        <v>4205</v>
      </c>
      <c r="D1895" t="s">
        <v>33</v>
      </c>
      <c r="E1895" t="s">
        <v>4206</v>
      </c>
      <c r="F1895" t="s">
        <v>42</v>
      </c>
      <c r="G1895">
        <v>31.16</v>
      </c>
      <c r="H1895">
        <v>91</v>
      </c>
      <c r="I1895" t="s">
        <v>61</v>
      </c>
      <c r="J1895" t="s">
        <v>24</v>
      </c>
      <c r="K1895" t="s">
        <v>65</v>
      </c>
      <c r="L1895">
        <v>176</v>
      </c>
      <c r="M1895" t="str">
        <f t="shared" si="58"/>
        <v>Medium</v>
      </c>
      <c r="N1895" t="str">
        <f t="shared" si="59"/>
        <v>Excellent</v>
      </c>
    </row>
    <row r="1896" spans="1:14">
      <c r="A1896" t="s">
        <v>12</v>
      </c>
      <c r="B1896">
        <v>2000</v>
      </c>
      <c r="C1896" t="s">
        <v>4207</v>
      </c>
      <c r="D1896" t="s">
        <v>14</v>
      </c>
      <c r="E1896" t="s">
        <v>4208</v>
      </c>
      <c r="F1896" t="s">
        <v>16</v>
      </c>
      <c r="G1896">
        <v>18.75</v>
      </c>
      <c r="H1896">
        <v>73</v>
      </c>
      <c r="I1896" t="s">
        <v>23</v>
      </c>
      <c r="J1896" t="s">
        <v>18</v>
      </c>
      <c r="K1896" t="s">
        <v>4160</v>
      </c>
      <c r="L1896">
        <v>296</v>
      </c>
      <c r="M1896" t="str">
        <f t="shared" si="58"/>
        <v>Medium</v>
      </c>
      <c r="N1896" t="str">
        <f t="shared" si="59"/>
        <v>Average</v>
      </c>
    </row>
    <row r="1897" spans="1:14">
      <c r="A1897" t="s">
        <v>47</v>
      </c>
      <c r="B1897">
        <v>2021</v>
      </c>
      <c r="C1897" t="s">
        <v>4209</v>
      </c>
      <c r="D1897" t="s">
        <v>14</v>
      </c>
      <c r="E1897" t="s">
        <v>4210</v>
      </c>
      <c r="F1897" t="s">
        <v>46</v>
      </c>
      <c r="G1897">
        <v>20.36</v>
      </c>
      <c r="H1897">
        <v>53</v>
      </c>
      <c r="I1897" t="s">
        <v>17</v>
      </c>
      <c r="J1897" t="s">
        <v>37</v>
      </c>
      <c r="K1897" t="s">
        <v>97</v>
      </c>
      <c r="L1897">
        <v>165</v>
      </c>
      <c r="M1897" t="str">
        <f t="shared" si="58"/>
        <v>Medium</v>
      </c>
      <c r="N1897" t="str">
        <f t="shared" si="59"/>
        <v>Average</v>
      </c>
    </row>
    <row r="1898" spans="1:14">
      <c r="A1898" t="s">
        <v>48</v>
      </c>
      <c r="B1898">
        <v>2009</v>
      </c>
      <c r="C1898" t="s">
        <v>4211</v>
      </c>
      <c r="D1898" t="s">
        <v>14</v>
      </c>
      <c r="E1898" t="s">
        <v>4212</v>
      </c>
      <c r="F1898" t="s">
        <v>16</v>
      </c>
      <c r="G1898">
        <v>10.38</v>
      </c>
      <c r="H1898">
        <v>69</v>
      </c>
      <c r="I1898" t="s">
        <v>61</v>
      </c>
      <c r="J1898" t="s">
        <v>37</v>
      </c>
      <c r="K1898" t="s">
        <v>48</v>
      </c>
      <c r="L1898">
        <v>329</v>
      </c>
      <c r="M1898" t="str">
        <f t="shared" si="58"/>
        <v>Low</v>
      </c>
      <c r="N1898" t="str">
        <f t="shared" si="59"/>
        <v>Average</v>
      </c>
    </row>
    <row r="1899" spans="1:14">
      <c r="A1899" t="s">
        <v>39</v>
      </c>
      <c r="B1899">
        <v>2009</v>
      </c>
      <c r="C1899" t="s">
        <v>4213</v>
      </c>
      <c r="D1899" t="s">
        <v>33</v>
      </c>
      <c r="E1899" t="s">
        <v>4214</v>
      </c>
      <c r="F1899" t="s">
        <v>16</v>
      </c>
      <c r="G1899">
        <v>44.71</v>
      </c>
      <c r="H1899">
        <v>80</v>
      </c>
      <c r="I1899" t="s">
        <v>36</v>
      </c>
      <c r="J1899" t="s">
        <v>37</v>
      </c>
      <c r="K1899" t="s">
        <v>2215</v>
      </c>
      <c r="L1899">
        <v>344</v>
      </c>
      <c r="M1899" t="str">
        <f t="shared" si="58"/>
        <v>High</v>
      </c>
      <c r="N1899" t="str">
        <f t="shared" si="59"/>
        <v>Good</v>
      </c>
    </row>
    <row r="1900" spans="1:14">
      <c r="A1900" t="s">
        <v>39</v>
      </c>
      <c r="B1900">
        <v>2015</v>
      </c>
      <c r="C1900" t="s">
        <v>4215</v>
      </c>
      <c r="D1900" t="s">
        <v>33</v>
      </c>
      <c r="E1900" t="s">
        <v>4216</v>
      </c>
      <c r="F1900" t="s">
        <v>46</v>
      </c>
      <c r="G1900">
        <v>11.79</v>
      </c>
      <c r="H1900">
        <v>75</v>
      </c>
      <c r="I1900" t="s">
        <v>61</v>
      </c>
      <c r="J1900" t="s">
        <v>18</v>
      </c>
      <c r="K1900" t="s">
        <v>1172</v>
      </c>
      <c r="L1900">
        <v>5</v>
      </c>
      <c r="M1900" t="str">
        <f t="shared" si="58"/>
        <v>Low</v>
      </c>
      <c r="N1900" t="str">
        <f t="shared" si="59"/>
        <v>Good</v>
      </c>
    </row>
    <row r="1901" spans="1:14">
      <c r="A1901" t="s">
        <v>68</v>
      </c>
      <c r="B1901">
        <v>2015</v>
      </c>
      <c r="C1901" t="s">
        <v>4217</v>
      </c>
      <c r="D1901" t="s">
        <v>14</v>
      </c>
      <c r="E1901" t="s">
        <v>4218</v>
      </c>
      <c r="F1901" t="s">
        <v>46</v>
      </c>
      <c r="G1901">
        <v>35.26</v>
      </c>
      <c r="H1901">
        <v>64</v>
      </c>
      <c r="I1901" t="s">
        <v>36</v>
      </c>
      <c r="J1901" t="s">
        <v>18</v>
      </c>
      <c r="K1901" t="s">
        <v>26</v>
      </c>
      <c r="L1901">
        <v>298</v>
      </c>
      <c r="M1901" t="str">
        <f t="shared" si="58"/>
        <v>High</v>
      </c>
      <c r="N1901" t="str">
        <f t="shared" si="59"/>
        <v>Average</v>
      </c>
    </row>
    <row r="1902" spans="1:14">
      <c r="A1902" t="s">
        <v>68</v>
      </c>
      <c r="B1902">
        <v>2021</v>
      </c>
      <c r="C1902" t="s">
        <v>4219</v>
      </c>
      <c r="D1902" t="s">
        <v>14</v>
      </c>
      <c r="E1902" t="s">
        <v>4220</v>
      </c>
      <c r="F1902" t="s">
        <v>16</v>
      </c>
      <c r="G1902">
        <v>2.17</v>
      </c>
      <c r="H1902">
        <v>83</v>
      </c>
      <c r="I1902" t="s">
        <v>29</v>
      </c>
      <c r="J1902" t="s">
        <v>24</v>
      </c>
      <c r="K1902" t="s">
        <v>4221</v>
      </c>
      <c r="L1902">
        <v>190</v>
      </c>
      <c r="M1902" t="str">
        <f t="shared" si="58"/>
        <v>Low</v>
      </c>
      <c r="N1902" t="str">
        <f t="shared" si="59"/>
        <v>Good</v>
      </c>
    </row>
    <row r="1903" spans="1:14">
      <c r="A1903" t="s">
        <v>31</v>
      </c>
      <c r="B1903">
        <v>2016</v>
      </c>
      <c r="C1903" t="s">
        <v>4222</v>
      </c>
      <c r="D1903" t="s">
        <v>33</v>
      </c>
      <c r="E1903" t="s">
        <v>4223</v>
      </c>
      <c r="F1903" t="s">
        <v>35</v>
      </c>
      <c r="G1903">
        <v>20.65</v>
      </c>
      <c r="H1903">
        <v>75</v>
      </c>
      <c r="I1903" t="s">
        <v>29</v>
      </c>
      <c r="J1903" t="s">
        <v>18</v>
      </c>
      <c r="K1903" t="s">
        <v>1312</v>
      </c>
      <c r="L1903">
        <v>23</v>
      </c>
      <c r="M1903" t="str">
        <f t="shared" si="58"/>
        <v>Medium</v>
      </c>
      <c r="N1903" t="str">
        <f t="shared" si="59"/>
        <v>Good</v>
      </c>
    </row>
    <row r="1904" spans="1:14">
      <c r="A1904" t="s">
        <v>68</v>
      </c>
      <c r="B1904">
        <v>2017</v>
      </c>
      <c r="C1904" t="s">
        <v>4224</v>
      </c>
      <c r="D1904" t="s">
        <v>33</v>
      </c>
      <c r="E1904" t="s">
        <v>1381</v>
      </c>
      <c r="F1904" t="s">
        <v>16</v>
      </c>
      <c r="G1904">
        <v>36.49</v>
      </c>
      <c r="H1904">
        <v>72</v>
      </c>
      <c r="I1904" t="s">
        <v>17</v>
      </c>
      <c r="J1904" t="s">
        <v>37</v>
      </c>
      <c r="K1904" t="s">
        <v>2439</v>
      </c>
      <c r="L1904">
        <v>171</v>
      </c>
      <c r="M1904" t="str">
        <f t="shared" si="58"/>
        <v>High</v>
      </c>
      <c r="N1904" t="str">
        <f t="shared" si="59"/>
        <v>Average</v>
      </c>
    </row>
    <row r="1905" spans="1:14">
      <c r="A1905" t="s">
        <v>65</v>
      </c>
      <c r="B1905">
        <v>2000</v>
      </c>
      <c r="C1905" t="s">
        <v>4225</v>
      </c>
      <c r="D1905" t="s">
        <v>33</v>
      </c>
      <c r="E1905" t="s">
        <v>4226</v>
      </c>
      <c r="F1905" t="s">
        <v>16</v>
      </c>
      <c r="G1905">
        <v>6.1</v>
      </c>
      <c r="H1905">
        <v>54</v>
      </c>
      <c r="I1905" t="s">
        <v>29</v>
      </c>
      <c r="J1905" t="s">
        <v>37</v>
      </c>
      <c r="K1905" t="s">
        <v>445</v>
      </c>
      <c r="L1905">
        <v>166</v>
      </c>
      <c r="M1905" t="str">
        <f t="shared" si="58"/>
        <v>Low</v>
      </c>
      <c r="N1905" t="str">
        <f t="shared" si="59"/>
        <v>Average</v>
      </c>
    </row>
    <row r="1906" spans="1:14">
      <c r="A1906" t="s">
        <v>47</v>
      </c>
      <c r="B1906">
        <v>2000</v>
      </c>
      <c r="C1906" t="s">
        <v>4227</v>
      </c>
      <c r="D1906" t="s">
        <v>33</v>
      </c>
      <c r="E1906" t="s">
        <v>4228</v>
      </c>
      <c r="F1906" t="s">
        <v>16</v>
      </c>
      <c r="G1906">
        <v>38.01</v>
      </c>
      <c r="H1906">
        <v>67</v>
      </c>
      <c r="I1906" t="s">
        <v>36</v>
      </c>
      <c r="J1906" t="s">
        <v>37</v>
      </c>
      <c r="K1906" t="s">
        <v>38</v>
      </c>
      <c r="L1906">
        <v>244</v>
      </c>
      <c r="M1906" t="str">
        <f t="shared" si="58"/>
        <v>High</v>
      </c>
      <c r="N1906" t="str">
        <f t="shared" si="59"/>
        <v>Average</v>
      </c>
    </row>
    <row r="1907" spans="1:14">
      <c r="A1907" t="s">
        <v>20</v>
      </c>
      <c r="B1907">
        <v>2013</v>
      </c>
      <c r="C1907" t="s">
        <v>4229</v>
      </c>
      <c r="D1907" t="s">
        <v>33</v>
      </c>
      <c r="E1907" t="s">
        <v>4230</v>
      </c>
      <c r="F1907" t="s">
        <v>16</v>
      </c>
      <c r="G1907">
        <v>41.11</v>
      </c>
      <c r="H1907">
        <v>75</v>
      </c>
      <c r="I1907" t="s">
        <v>17</v>
      </c>
      <c r="J1907" t="s">
        <v>37</v>
      </c>
      <c r="K1907" t="s">
        <v>12</v>
      </c>
      <c r="L1907">
        <v>64</v>
      </c>
      <c r="M1907" t="str">
        <f t="shared" si="58"/>
        <v>High</v>
      </c>
      <c r="N1907" t="str">
        <f t="shared" si="59"/>
        <v>Good</v>
      </c>
    </row>
    <row r="1908" spans="1:14">
      <c r="A1908" t="s">
        <v>12</v>
      </c>
      <c r="B1908">
        <v>2003</v>
      </c>
      <c r="C1908" t="s">
        <v>4231</v>
      </c>
      <c r="D1908" t="s">
        <v>14</v>
      </c>
      <c r="E1908" t="s">
        <v>376</v>
      </c>
      <c r="F1908" t="s">
        <v>57</v>
      </c>
      <c r="G1908">
        <v>28.2</v>
      </c>
      <c r="H1908">
        <v>92</v>
      </c>
      <c r="I1908" t="s">
        <v>61</v>
      </c>
      <c r="J1908" t="s">
        <v>18</v>
      </c>
      <c r="K1908" t="s">
        <v>457</v>
      </c>
      <c r="L1908">
        <v>191</v>
      </c>
      <c r="M1908" t="str">
        <f t="shared" si="58"/>
        <v>Medium</v>
      </c>
      <c r="N1908" t="str">
        <f t="shared" si="59"/>
        <v>Excellent</v>
      </c>
    </row>
    <row r="1909" spans="1:14">
      <c r="A1909" t="s">
        <v>38</v>
      </c>
      <c r="B1909">
        <v>2005</v>
      </c>
      <c r="C1909" t="s">
        <v>4232</v>
      </c>
      <c r="D1909" t="s">
        <v>14</v>
      </c>
      <c r="E1909" t="s">
        <v>1161</v>
      </c>
      <c r="F1909" t="s">
        <v>57</v>
      </c>
      <c r="G1909">
        <v>4.6399999999999997</v>
      </c>
      <c r="H1909">
        <v>79</v>
      </c>
      <c r="I1909" t="s">
        <v>29</v>
      </c>
      <c r="J1909" t="s">
        <v>37</v>
      </c>
      <c r="K1909" t="s">
        <v>68</v>
      </c>
      <c r="L1909">
        <v>25</v>
      </c>
      <c r="M1909" t="str">
        <f t="shared" si="58"/>
        <v>Low</v>
      </c>
      <c r="N1909" t="str">
        <f t="shared" si="59"/>
        <v>Good</v>
      </c>
    </row>
    <row r="1910" spans="1:14">
      <c r="A1910" t="s">
        <v>65</v>
      </c>
      <c r="B1910">
        <v>2002</v>
      </c>
      <c r="C1910" t="s">
        <v>4233</v>
      </c>
      <c r="D1910" t="s">
        <v>14</v>
      </c>
      <c r="E1910" t="s">
        <v>4234</v>
      </c>
      <c r="F1910" t="s">
        <v>57</v>
      </c>
      <c r="G1910">
        <v>36</v>
      </c>
      <c r="H1910">
        <v>87</v>
      </c>
      <c r="I1910" t="s">
        <v>17</v>
      </c>
      <c r="J1910" t="s">
        <v>18</v>
      </c>
      <c r="K1910" t="s">
        <v>4235</v>
      </c>
      <c r="L1910">
        <v>282</v>
      </c>
      <c r="M1910" t="str">
        <f t="shared" si="58"/>
        <v>High</v>
      </c>
      <c r="N1910" t="str">
        <f t="shared" si="59"/>
        <v>Good</v>
      </c>
    </row>
    <row r="1911" spans="1:14">
      <c r="A1911" t="s">
        <v>31</v>
      </c>
      <c r="B1911">
        <v>2019</v>
      </c>
      <c r="C1911" t="s">
        <v>4236</v>
      </c>
      <c r="D1911" t="s">
        <v>33</v>
      </c>
      <c r="E1911" t="s">
        <v>4237</v>
      </c>
      <c r="F1911" t="s">
        <v>35</v>
      </c>
      <c r="G1911">
        <v>28.41</v>
      </c>
      <c r="H1911">
        <v>83</v>
      </c>
      <c r="I1911" t="s">
        <v>61</v>
      </c>
      <c r="J1911" t="s">
        <v>37</v>
      </c>
      <c r="K1911" t="s">
        <v>68</v>
      </c>
      <c r="L1911">
        <v>18</v>
      </c>
      <c r="M1911" t="str">
        <f t="shared" si="58"/>
        <v>Medium</v>
      </c>
      <c r="N1911" t="str">
        <f t="shared" si="59"/>
        <v>Good</v>
      </c>
    </row>
    <row r="1912" spans="1:14">
      <c r="A1912" t="s">
        <v>26</v>
      </c>
      <c r="B1912">
        <v>2014</v>
      </c>
      <c r="C1912" t="s">
        <v>4238</v>
      </c>
      <c r="D1912" t="s">
        <v>33</v>
      </c>
      <c r="E1912" t="s">
        <v>4239</v>
      </c>
      <c r="F1912" t="s">
        <v>57</v>
      </c>
      <c r="G1912">
        <v>37.92</v>
      </c>
      <c r="H1912">
        <v>67</v>
      </c>
      <c r="I1912" t="s">
        <v>29</v>
      </c>
      <c r="J1912" t="s">
        <v>24</v>
      </c>
      <c r="K1912" t="s">
        <v>4240</v>
      </c>
      <c r="L1912">
        <v>187</v>
      </c>
      <c r="M1912" t="str">
        <f t="shared" si="58"/>
        <v>High</v>
      </c>
      <c r="N1912" t="str">
        <f t="shared" si="59"/>
        <v>Average</v>
      </c>
    </row>
    <row r="1913" spans="1:14">
      <c r="A1913" t="s">
        <v>12</v>
      </c>
      <c r="B1913">
        <v>2012</v>
      </c>
      <c r="C1913" t="s">
        <v>4241</v>
      </c>
      <c r="D1913" t="s">
        <v>14</v>
      </c>
      <c r="E1913" t="s">
        <v>4242</v>
      </c>
      <c r="F1913" t="s">
        <v>16</v>
      </c>
      <c r="G1913">
        <v>42.16</v>
      </c>
      <c r="H1913">
        <v>50</v>
      </c>
      <c r="I1913" t="s">
        <v>29</v>
      </c>
      <c r="J1913" t="s">
        <v>37</v>
      </c>
      <c r="K1913" t="s">
        <v>398</v>
      </c>
      <c r="L1913">
        <v>299</v>
      </c>
      <c r="M1913" t="str">
        <f t="shared" si="58"/>
        <v>High</v>
      </c>
      <c r="N1913" t="str">
        <f t="shared" si="59"/>
        <v>Average</v>
      </c>
    </row>
    <row r="1914" spans="1:14">
      <c r="A1914" t="s">
        <v>20</v>
      </c>
      <c r="B1914">
        <v>2000</v>
      </c>
      <c r="C1914" t="s">
        <v>4243</v>
      </c>
      <c r="D1914" t="s">
        <v>14</v>
      </c>
      <c r="E1914" t="s">
        <v>4244</v>
      </c>
      <c r="F1914" t="s">
        <v>57</v>
      </c>
      <c r="G1914">
        <v>10.5</v>
      </c>
      <c r="H1914">
        <v>91</v>
      </c>
      <c r="I1914" t="s">
        <v>29</v>
      </c>
      <c r="J1914" t="s">
        <v>37</v>
      </c>
      <c r="K1914" t="s">
        <v>1320</v>
      </c>
      <c r="L1914">
        <v>2</v>
      </c>
      <c r="M1914" t="str">
        <f t="shared" si="58"/>
        <v>Low</v>
      </c>
      <c r="N1914" t="str">
        <f t="shared" si="59"/>
        <v>Excellent</v>
      </c>
    </row>
    <row r="1915" spans="1:14">
      <c r="A1915" t="s">
        <v>38</v>
      </c>
      <c r="B1915">
        <v>2003</v>
      </c>
      <c r="C1915" t="s">
        <v>4245</v>
      </c>
      <c r="D1915" t="s">
        <v>33</v>
      </c>
      <c r="E1915" t="s">
        <v>4246</v>
      </c>
      <c r="F1915" t="s">
        <v>16</v>
      </c>
      <c r="G1915">
        <v>16.78</v>
      </c>
      <c r="H1915">
        <v>66</v>
      </c>
      <c r="I1915" t="s">
        <v>61</v>
      </c>
      <c r="J1915" t="s">
        <v>24</v>
      </c>
      <c r="K1915" t="s">
        <v>38</v>
      </c>
      <c r="L1915">
        <v>164</v>
      </c>
      <c r="M1915" t="str">
        <f t="shared" si="58"/>
        <v>Medium</v>
      </c>
      <c r="N1915" t="str">
        <f t="shared" si="59"/>
        <v>Average</v>
      </c>
    </row>
    <row r="1916" spans="1:14">
      <c r="A1916" t="s">
        <v>12</v>
      </c>
      <c r="B1916">
        <v>2002</v>
      </c>
      <c r="C1916" t="s">
        <v>4247</v>
      </c>
      <c r="D1916" t="s">
        <v>14</v>
      </c>
      <c r="E1916" t="s">
        <v>4248</v>
      </c>
      <c r="F1916" t="s">
        <v>35</v>
      </c>
      <c r="G1916">
        <v>22.19</v>
      </c>
      <c r="H1916">
        <v>53</v>
      </c>
      <c r="I1916" t="s">
        <v>29</v>
      </c>
      <c r="J1916" t="s">
        <v>24</v>
      </c>
      <c r="K1916" t="s">
        <v>687</v>
      </c>
      <c r="L1916">
        <v>259</v>
      </c>
      <c r="M1916" t="str">
        <f t="shared" si="58"/>
        <v>Medium</v>
      </c>
      <c r="N1916" t="str">
        <f t="shared" si="59"/>
        <v>Average</v>
      </c>
    </row>
    <row r="1917" spans="1:14">
      <c r="A1917" t="s">
        <v>39</v>
      </c>
      <c r="B1917">
        <v>2021</v>
      </c>
      <c r="C1917" t="s">
        <v>4249</v>
      </c>
      <c r="D1917" t="s">
        <v>33</v>
      </c>
      <c r="E1917" t="s">
        <v>4250</v>
      </c>
      <c r="F1917" t="s">
        <v>46</v>
      </c>
      <c r="G1917">
        <v>29.99</v>
      </c>
      <c r="H1917">
        <v>61</v>
      </c>
      <c r="I1917" t="s">
        <v>29</v>
      </c>
      <c r="J1917" t="s">
        <v>18</v>
      </c>
      <c r="K1917" t="s">
        <v>1283</v>
      </c>
      <c r="L1917">
        <v>147</v>
      </c>
      <c r="M1917" t="str">
        <f t="shared" si="58"/>
        <v>Medium</v>
      </c>
      <c r="N1917" t="str">
        <f t="shared" si="59"/>
        <v>Average</v>
      </c>
    </row>
    <row r="1918" spans="1:14">
      <c r="A1918" t="s">
        <v>38</v>
      </c>
      <c r="B1918">
        <v>2014</v>
      </c>
      <c r="C1918" t="s">
        <v>4251</v>
      </c>
      <c r="D1918" t="s">
        <v>14</v>
      </c>
      <c r="E1918" t="s">
        <v>4252</v>
      </c>
      <c r="F1918" t="s">
        <v>46</v>
      </c>
      <c r="G1918">
        <v>46.96</v>
      </c>
      <c r="H1918">
        <v>72</v>
      </c>
      <c r="I1918" t="s">
        <v>36</v>
      </c>
      <c r="J1918" t="s">
        <v>18</v>
      </c>
      <c r="K1918" t="s">
        <v>4253</v>
      </c>
      <c r="L1918">
        <v>203</v>
      </c>
      <c r="M1918" t="str">
        <f t="shared" si="58"/>
        <v>High</v>
      </c>
      <c r="N1918" t="str">
        <f t="shared" si="59"/>
        <v>Average</v>
      </c>
    </row>
    <row r="1919" spans="1:14">
      <c r="A1919" t="s">
        <v>31</v>
      </c>
      <c r="B1919">
        <v>2022</v>
      </c>
      <c r="C1919" t="s">
        <v>4254</v>
      </c>
      <c r="D1919" t="s">
        <v>14</v>
      </c>
      <c r="E1919" t="s">
        <v>4255</v>
      </c>
      <c r="F1919" t="s">
        <v>46</v>
      </c>
      <c r="G1919">
        <v>37.78</v>
      </c>
      <c r="H1919">
        <v>51</v>
      </c>
      <c r="I1919" t="s">
        <v>36</v>
      </c>
      <c r="J1919" t="s">
        <v>37</v>
      </c>
      <c r="K1919" t="s">
        <v>4256</v>
      </c>
      <c r="L1919">
        <v>40</v>
      </c>
      <c r="M1919" t="str">
        <f t="shared" si="58"/>
        <v>High</v>
      </c>
      <c r="N1919" t="str">
        <f t="shared" si="59"/>
        <v>Average</v>
      </c>
    </row>
    <row r="1920" spans="1:14">
      <c r="A1920" t="s">
        <v>47</v>
      </c>
      <c r="B1920">
        <v>2000</v>
      </c>
      <c r="C1920" t="s">
        <v>4257</v>
      </c>
      <c r="D1920" t="s">
        <v>14</v>
      </c>
      <c r="E1920" t="s">
        <v>4258</v>
      </c>
      <c r="F1920" t="s">
        <v>57</v>
      </c>
      <c r="G1920">
        <v>40.82</v>
      </c>
      <c r="H1920">
        <v>92</v>
      </c>
      <c r="I1920" t="s">
        <v>29</v>
      </c>
      <c r="J1920" t="s">
        <v>24</v>
      </c>
      <c r="K1920" t="s">
        <v>323</v>
      </c>
      <c r="L1920">
        <v>170</v>
      </c>
      <c r="M1920" t="str">
        <f t="shared" si="58"/>
        <v>High</v>
      </c>
      <c r="N1920" t="str">
        <f t="shared" si="59"/>
        <v>Excellent</v>
      </c>
    </row>
    <row r="1921" spans="1:14">
      <c r="A1921" t="s">
        <v>38</v>
      </c>
      <c r="B1921">
        <v>2003</v>
      </c>
      <c r="C1921" t="s">
        <v>4259</v>
      </c>
      <c r="D1921" t="s">
        <v>33</v>
      </c>
      <c r="E1921" t="s">
        <v>4260</v>
      </c>
      <c r="F1921" t="s">
        <v>57</v>
      </c>
      <c r="G1921">
        <v>12.84</v>
      </c>
      <c r="H1921">
        <v>96</v>
      </c>
      <c r="I1921" t="s">
        <v>17</v>
      </c>
      <c r="J1921" t="s">
        <v>37</v>
      </c>
      <c r="K1921" t="s">
        <v>524</v>
      </c>
      <c r="L1921">
        <v>219</v>
      </c>
      <c r="M1921" t="str">
        <f t="shared" si="58"/>
        <v>Low</v>
      </c>
      <c r="N1921" t="str">
        <f t="shared" si="59"/>
        <v>Excellent</v>
      </c>
    </row>
    <row r="1922" spans="1:14">
      <c r="A1922" t="s">
        <v>31</v>
      </c>
      <c r="B1922">
        <v>2014</v>
      </c>
      <c r="C1922" t="s">
        <v>4261</v>
      </c>
      <c r="D1922" t="s">
        <v>14</v>
      </c>
      <c r="E1922" t="s">
        <v>4262</v>
      </c>
      <c r="F1922" t="s">
        <v>46</v>
      </c>
      <c r="G1922">
        <v>14.63</v>
      </c>
      <c r="H1922">
        <v>53</v>
      </c>
      <c r="I1922" t="s">
        <v>23</v>
      </c>
      <c r="J1922" t="s">
        <v>37</v>
      </c>
      <c r="K1922" t="s">
        <v>3766</v>
      </c>
      <c r="L1922">
        <v>202</v>
      </c>
      <c r="M1922" t="str">
        <f t="shared" si="58"/>
        <v>Low</v>
      </c>
      <c r="N1922" t="str">
        <f t="shared" si="59"/>
        <v>Average</v>
      </c>
    </row>
    <row r="1923" spans="1:14">
      <c r="A1923" t="s">
        <v>39</v>
      </c>
      <c r="B1923">
        <v>2019</v>
      </c>
      <c r="C1923" t="s">
        <v>4263</v>
      </c>
      <c r="D1923" t="s">
        <v>33</v>
      </c>
      <c r="E1923" t="s">
        <v>4264</v>
      </c>
      <c r="F1923" t="s">
        <v>16</v>
      </c>
      <c r="G1923">
        <v>1.8</v>
      </c>
      <c r="H1923">
        <v>87</v>
      </c>
      <c r="I1923" t="s">
        <v>17</v>
      </c>
      <c r="J1923" t="s">
        <v>37</v>
      </c>
      <c r="K1923" t="s">
        <v>4265</v>
      </c>
      <c r="L1923">
        <v>207</v>
      </c>
      <c r="M1923" t="str">
        <f t="shared" ref="M1923:M1986" si="60">IF(G1923&lt;15,"Low",IF(G1923&lt;35,"Medium","High"))</f>
        <v>Low</v>
      </c>
      <c r="N1923" t="str">
        <f t="shared" ref="N1923:N1986" si="61">IF(H1923&gt;=90,"Excellent",IF(H1923&gt;=75,"Good","Average"))</f>
        <v>Good</v>
      </c>
    </row>
    <row r="1924" spans="1:14">
      <c r="A1924" t="s">
        <v>20</v>
      </c>
      <c r="B1924">
        <v>2004</v>
      </c>
      <c r="C1924" t="s">
        <v>4266</v>
      </c>
      <c r="D1924" t="s">
        <v>33</v>
      </c>
      <c r="E1924" t="s">
        <v>4267</v>
      </c>
      <c r="F1924" t="s">
        <v>42</v>
      </c>
      <c r="G1924">
        <v>9.58</v>
      </c>
      <c r="H1924">
        <v>56</v>
      </c>
      <c r="I1924" t="s">
        <v>17</v>
      </c>
      <c r="J1924" t="s">
        <v>24</v>
      </c>
      <c r="K1924" t="s">
        <v>38</v>
      </c>
      <c r="L1924">
        <v>20</v>
      </c>
      <c r="M1924" t="str">
        <f t="shared" si="60"/>
        <v>Low</v>
      </c>
      <c r="N1924" t="str">
        <f t="shared" si="61"/>
        <v>Average</v>
      </c>
    </row>
    <row r="1925" spans="1:14">
      <c r="A1925" t="s">
        <v>65</v>
      </c>
      <c r="B1925">
        <v>2002</v>
      </c>
      <c r="C1925" t="s">
        <v>4268</v>
      </c>
      <c r="D1925" t="s">
        <v>33</v>
      </c>
      <c r="E1925" t="s">
        <v>4269</v>
      </c>
      <c r="F1925" t="s">
        <v>35</v>
      </c>
      <c r="G1925">
        <v>34.72</v>
      </c>
      <c r="H1925">
        <v>51</v>
      </c>
      <c r="I1925" t="s">
        <v>29</v>
      </c>
      <c r="J1925" t="s">
        <v>24</v>
      </c>
      <c r="K1925" t="s">
        <v>26</v>
      </c>
      <c r="L1925">
        <v>164</v>
      </c>
      <c r="M1925" t="str">
        <f t="shared" si="60"/>
        <v>Medium</v>
      </c>
      <c r="N1925" t="str">
        <f t="shared" si="61"/>
        <v>Average</v>
      </c>
    </row>
    <row r="1926" spans="1:14">
      <c r="A1926" t="s">
        <v>65</v>
      </c>
      <c r="B1926">
        <v>2018</v>
      </c>
      <c r="C1926" t="s">
        <v>4270</v>
      </c>
      <c r="D1926" t="s">
        <v>33</v>
      </c>
      <c r="E1926" t="s">
        <v>4271</v>
      </c>
      <c r="F1926" t="s">
        <v>46</v>
      </c>
      <c r="G1926">
        <v>22.03</v>
      </c>
      <c r="H1926">
        <v>52</v>
      </c>
      <c r="I1926" t="s">
        <v>29</v>
      </c>
      <c r="J1926" t="s">
        <v>18</v>
      </c>
      <c r="K1926" t="s">
        <v>4272</v>
      </c>
      <c r="L1926">
        <v>159</v>
      </c>
      <c r="M1926" t="str">
        <f t="shared" si="60"/>
        <v>Medium</v>
      </c>
      <c r="N1926" t="str">
        <f t="shared" si="61"/>
        <v>Average</v>
      </c>
    </row>
    <row r="1927" spans="1:14">
      <c r="A1927" t="s">
        <v>31</v>
      </c>
      <c r="B1927">
        <v>2010</v>
      </c>
      <c r="C1927" t="s">
        <v>4273</v>
      </c>
      <c r="D1927" t="s">
        <v>33</v>
      </c>
      <c r="E1927" t="s">
        <v>4274</v>
      </c>
      <c r="F1927" t="s">
        <v>16</v>
      </c>
      <c r="G1927">
        <v>46.53</v>
      </c>
      <c r="H1927">
        <v>79</v>
      </c>
      <c r="I1927" t="s">
        <v>29</v>
      </c>
      <c r="J1927" t="s">
        <v>18</v>
      </c>
      <c r="K1927" t="s">
        <v>31</v>
      </c>
      <c r="L1927">
        <v>55</v>
      </c>
      <c r="M1927" t="str">
        <f t="shared" si="60"/>
        <v>High</v>
      </c>
      <c r="N1927" t="str">
        <f t="shared" si="61"/>
        <v>Good</v>
      </c>
    </row>
    <row r="1928" spans="1:14">
      <c r="A1928" t="s">
        <v>26</v>
      </c>
      <c r="B1928">
        <v>2009</v>
      </c>
      <c r="C1928" t="s">
        <v>4275</v>
      </c>
      <c r="D1928" t="s">
        <v>14</v>
      </c>
      <c r="E1928" t="s">
        <v>4276</v>
      </c>
      <c r="F1928" t="s">
        <v>16</v>
      </c>
      <c r="G1928">
        <v>21.05</v>
      </c>
      <c r="H1928">
        <v>90</v>
      </c>
      <c r="I1928" t="s">
        <v>36</v>
      </c>
      <c r="J1928" t="s">
        <v>37</v>
      </c>
      <c r="K1928" t="s">
        <v>3281</v>
      </c>
      <c r="L1928">
        <v>111</v>
      </c>
      <c r="M1928" t="str">
        <f t="shared" si="60"/>
        <v>Medium</v>
      </c>
      <c r="N1928" t="str">
        <f t="shared" si="61"/>
        <v>Excellent</v>
      </c>
    </row>
    <row r="1929" spans="1:14">
      <c r="A1929" t="s">
        <v>26</v>
      </c>
      <c r="B1929">
        <v>2012</v>
      </c>
      <c r="C1929" t="s">
        <v>4277</v>
      </c>
      <c r="D1929" t="s">
        <v>14</v>
      </c>
      <c r="E1929" t="s">
        <v>4278</v>
      </c>
      <c r="F1929" t="s">
        <v>46</v>
      </c>
      <c r="G1929">
        <v>1.61</v>
      </c>
      <c r="H1929">
        <v>57</v>
      </c>
      <c r="I1929" t="s">
        <v>36</v>
      </c>
      <c r="J1929" t="s">
        <v>37</v>
      </c>
      <c r="K1929" t="s">
        <v>48</v>
      </c>
      <c r="L1929">
        <v>254</v>
      </c>
      <c r="M1929" t="str">
        <f t="shared" si="60"/>
        <v>Low</v>
      </c>
      <c r="N1929" t="str">
        <f t="shared" si="61"/>
        <v>Average</v>
      </c>
    </row>
    <row r="1930" spans="1:14">
      <c r="A1930" t="s">
        <v>38</v>
      </c>
      <c r="B1930">
        <v>2022</v>
      </c>
      <c r="C1930" t="s">
        <v>4279</v>
      </c>
      <c r="D1930" t="s">
        <v>33</v>
      </c>
      <c r="E1930" t="s">
        <v>1112</v>
      </c>
      <c r="F1930" t="s">
        <v>46</v>
      </c>
      <c r="G1930">
        <v>20.37</v>
      </c>
      <c r="H1930">
        <v>91</v>
      </c>
      <c r="I1930" t="s">
        <v>36</v>
      </c>
      <c r="J1930" t="s">
        <v>18</v>
      </c>
      <c r="K1930" t="s">
        <v>47</v>
      </c>
      <c r="L1930">
        <v>322</v>
      </c>
      <c r="M1930" t="str">
        <f t="shared" si="60"/>
        <v>Medium</v>
      </c>
      <c r="N1930" t="str">
        <f t="shared" si="61"/>
        <v>Excellent</v>
      </c>
    </row>
    <row r="1931" spans="1:14">
      <c r="A1931" t="s">
        <v>38</v>
      </c>
      <c r="B1931">
        <v>2021</v>
      </c>
      <c r="C1931" t="s">
        <v>4280</v>
      </c>
      <c r="D1931" t="s">
        <v>14</v>
      </c>
      <c r="E1931" t="s">
        <v>4281</v>
      </c>
      <c r="F1931" t="s">
        <v>42</v>
      </c>
      <c r="G1931">
        <v>26.84</v>
      </c>
      <c r="H1931">
        <v>60</v>
      </c>
      <c r="I1931" t="s">
        <v>29</v>
      </c>
      <c r="J1931" t="s">
        <v>18</v>
      </c>
      <c r="K1931" t="s">
        <v>20</v>
      </c>
      <c r="L1931">
        <v>232</v>
      </c>
      <c r="M1931" t="str">
        <f t="shared" si="60"/>
        <v>Medium</v>
      </c>
      <c r="N1931" t="str">
        <f t="shared" si="61"/>
        <v>Average</v>
      </c>
    </row>
    <row r="1932" spans="1:14">
      <c r="A1932" t="s">
        <v>20</v>
      </c>
      <c r="B1932">
        <v>2022</v>
      </c>
      <c r="C1932" t="s">
        <v>4282</v>
      </c>
      <c r="D1932" t="s">
        <v>33</v>
      </c>
      <c r="E1932" t="s">
        <v>4283</v>
      </c>
      <c r="F1932" t="s">
        <v>46</v>
      </c>
      <c r="G1932">
        <v>21.21</v>
      </c>
      <c r="H1932">
        <v>68</v>
      </c>
      <c r="I1932" t="s">
        <v>17</v>
      </c>
      <c r="J1932" t="s">
        <v>37</v>
      </c>
      <c r="K1932" t="s">
        <v>610</v>
      </c>
      <c r="L1932">
        <v>68</v>
      </c>
      <c r="M1932" t="str">
        <f t="shared" si="60"/>
        <v>Medium</v>
      </c>
      <c r="N1932" t="str">
        <f t="shared" si="61"/>
        <v>Average</v>
      </c>
    </row>
    <row r="1933" spans="1:14">
      <c r="A1933" t="s">
        <v>38</v>
      </c>
      <c r="B1933">
        <v>2009</v>
      </c>
      <c r="C1933" t="s">
        <v>4284</v>
      </c>
      <c r="D1933" t="s">
        <v>14</v>
      </c>
      <c r="E1933" t="s">
        <v>4285</v>
      </c>
      <c r="F1933" t="s">
        <v>16</v>
      </c>
      <c r="G1933">
        <v>6.13</v>
      </c>
      <c r="H1933">
        <v>71</v>
      </c>
      <c r="I1933" t="s">
        <v>23</v>
      </c>
      <c r="J1933" t="s">
        <v>18</v>
      </c>
      <c r="K1933" t="s">
        <v>1633</v>
      </c>
      <c r="L1933">
        <v>327</v>
      </c>
      <c r="M1933" t="str">
        <f t="shared" si="60"/>
        <v>Low</v>
      </c>
      <c r="N1933" t="str">
        <f t="shared" si="61"/>
        <v>Average</v>
      </c>
    </row>
    <row r="1934" spans="1:14">
      <c r="A1934" t="s">
        <v>65</v>
      </c>
      <c r="B1934">
        <v>2010</v>
      </c>
      <c r="C1934" t="s">
        <v>4286</v>
      </c>
      <c r="D1934" t="s">
        <v>33</v>
      </c>
      <c r="E1934" t="s">
        <v>1182</v>
      </c>
      <c r="F1934" t="s">
        <v>46</v>
      </c>
      <c r="G1934">
        <v>1.28</v>
      </c>
      <c r="H1934">
        <v>92</v>
      </c>
      <c r="I1934" t="s">
        <v>36</v>
      </c>
      <c r="J1934" t="s">
        <v>18</v>
      </c>
      <c r="K1934" t="s">
        <v>26</v>
      </c>
      <c r="L1934">
        <v>187</v>
      </c>
      <c r="M1934" t="str">
        <f t="shared" si="60"/>
        <v>Low</v>
      </c>
      <c r="N1934" t="str">
        <f t="shared" si="61"/>
        <v>Excellent</v>
      </c>
    </row>
    <row r="1935" spans="1:14">
      <c r="A1935" t="s">
        <v>12</v>
      </c>
      <c r="B1935">
        <v>2017</v>
      </c>
      <c r="C1935" t="s">
        <v>4287</v>
      </c>
      <c r="D1935" t="s">
        <v>14</v>
      </c>
      <c r="E1935" t="s">
        <v>4288</v>
      </c>
      <c r="F1935" t="s">
        <v>57</v>
      </c>
      <c r="G1935">
        <v>28.64</v>
      </c>
      <c r="H1935">
        <v>62</v>
      </c>
      <c r="I1935" t="s">
        <v>17</v>
      </c>
      <c r="J1935" t="s">
        <v>18</v>
      </c>
      <c r="K1935" t="s">
        <v>47</v>
      </c>
      <c r="L1935">
        <v>319</v>
      </c>
      <c r="M1935" t="str">
        <f t="shared" si="60"/>
        <v>Medium</v>
      </c>
      <c r="N1935" t="str">
        <f t="shared" si="61"/>
        <v>Average</v>
      </c>
    </row>
    <row r="1936" spans="1:14">
      <c r="A1936" t="s">
        <v>65</v>
      </c>
      <c r="B1936">
        <v>2000</v>
      </c>
      <c r="C1936" t="s">
        <v>4289</v>
      </c>
      <c r="D1936" t="s">
        <v>14</v>
      </c>
      <c r="E1936" t="s">
        <v>4290</v>
      </c>
      <c r="F1936" t="s">
        <v>35</v>
      </c>
      <c r="G1936">
        <v>3.21</v>
      </c>
      <c r="H1936">
        <v>52</v>
      </c>
      <c r="I1936" t="s">
        <v>36</v>
      </c>
      <c r="J1936" t="s">
        <v>24</v>
      </c>
      <c r="K1936" t="s">
        <v>48</v>
      </c>
      <c r="L1936">
        <v>223</v>
      </c>
      <c r="M1936" t="str">
        <f t="shared" si="60"/>
        <v>Low</v>
      </c>
      <c r="N1936" t="str">
        <f t="shared" si="61"/>
        <v>Average</v>
      </c>
    </row>
    <row r="1937" spans="1:14">
      <c r="A1937" t="s">
        <v>65</v>
      </c>
      <c r="B1937">
        <v>2007</v>
      </c>
      <c r="C1937" t="s">
        <v>4291</v>
      </c>
      <c r="D1937" t="s">
        <v>14</v>
      </c>
      <c r="E1937" t="s">
        <v>4292</v>
      </c>
      <c r="F1937" t="s">
        <v>16</v>
      </c>
      <c r="G1937">
        <v>32.75</v>
      </c>
      <c r="H1937">
        <v>81</v>
      </c>
      <c r="I1937" t="s">
        <v>23</v>
      </c>
      <c r="J1937" t="s">
        <v>24</v>
      </c>
      <c r="K1937" t="s">
        <v>4293</v>
      </c>
      <c r="L1937">
        <v>148</v>
      </c>
      <c r="M1937" t="str">
        <f t="shared" si="60"/>
        <v>Medium</v>
      </c>
      <c r="N1937" t="str">
        <f t="shared" si="61"/>
        <v>Good</v>
      </c>
    </row>
    <row r="1938" spans="1:14">
      <c r="A1938" t="s">
        <v>26</v>
      </c>
      <c r="B1938">
        <v>2024</v>
      </c>
      <c r="C1938" t="s">
        <v>4294</v>
      </c>
      <c r="D1938" t="s">
        <v>33</v>
      </c>
      <c r="E1938" t="s">
        <v>4295</v>
      </c>
      <c r="F1938" t="s">
        <v>46</v>
      </c>
      <c r="G1938">
        <v>9.77</v>
      </c>
      <c r="H1938">
        <v>54</v>
      </c>
      <c r="I1938" t="s">
        <v>36</v>
      </c>
      <c r="J1938" t="s">
        <v>18</v>
      </c>
      <c r="K1938" t="s">
        <v>4296</v>
      </c>
      <c r="L1938">
        <v>37</v>
      </c>
      <c r="M1938" t="str">
        <f t="shared" si="60"/>
        <v>Low</v>
      </c>
      <c r="N1938" t="str">
        <f t="shared" si="61"/>
        <v>Average</v>
      </c>
    </row>
    <row r="1939" spans="1:14">
      <c r="A1939" t="s">
        <v>26</v>
      </c>
      <c r="B1939">
        <v>2003</v>
      </c>
      <c r="C1939" t="s">
        <v>4297</v>
      </c>
      <c r="D1939" t="s">
        <v>14</v>
      </c>
      <c r="E1939" t="s">
        <v>4298</v>
      </c>
      <c r="F1939" t="s">
        <v>35</v>
      </c>
      <c r="G1939">
        <v>15.79</v>
      </c>
      <c r="H1939">
        <v>51</v>
      </c>
      <c r="I1939" t="s">
        <v>61</v>
      </c>
      <c r="J1939" t="s">
        <v>18</v>
      </c>
      <c r="K1939" t="s">
        <v>1537</v>
      </c>
      <c r="L1939">
        <v>99</v>
      </c>
      <c r="M1939" t="str">
        <f t="shared" si="60"/>
        <v>Medium</v>
      </c>
      <c r="N1939" t="str">
        <f t="shared" si="61"/>
        <v>Average</v>
      </c>
    </row>
    <row r="1940" spans="1:14">
      <c r="A1940" t="s">
        <v>68</v>
      </c>
      <c r="B1940">
        <v>2020</v>
      </c>
      <c r="C1940" t="s">
        <v>4299</v>
      </c>
      <c r="D1940" t="s">
        <v>14</v>
      </c>
      <c r="E1940" t="s">
        <v>4300</v>
      </c>
      <c r="F1940" t="s">
        <v>46</v>
      </c>
      <c r="G1940">
        <v>42.23</v>
      </c>
      <c r="H1940">
        <v>70</v>
      </c>
      <c r="I1940" t="s">
        <v>23</v>
      </c>
      <c r="J1940" t="s">
        <v>24</v>
      </c>
      <c r="K1940" t="s">
        <v>48</v>
      </c>
      <c r="L1940">
        <v>274</v>
      </c>
      <c r="M1940" t="str">
        <f t="shared" si="60"/>
        <v>High</v>
      </c>
      <c r="N1940" t="str">
        <f t="shared" si="61"/>
        <v>Average</v>
      </c>
    </row>
    <row r="1941" spans="1:14">
      <c r="A1941" t="s">
        <v>20</v>
      </c>
      <c r="B1941">
        <v>2023</v>
      </c>
      <c r="C1941" t="s">
        <v>4301</v>
      </c>
      <c r="D1941" t="s">
        <v>14</v>
      </c>
      <c r="E1941" t="s">
        <v>4302</v>
      </c>
      <c r="F1941" t="s">
        <v>16</v>
      </c>
      <c r="G1941">
        <v>19.14</v>
      </c>
      <c r="H1941">
        <v>52</v>
      </c>
      <c r="I1941" t="s">
        <v>17</v>
      </c>
      <c r="J1941" t="s">
        <v>24</v>
      </c>
      <c r="K1941" t="s">
        <v>1460</v>
      </c>
      <c r="L1941">
        <v>313</v>
      </c>
      <c r="M1941" t="str">
        <f t="shared" si="60"/>
        <v>Medium</v>
      </c>
      <c r="N1941" t="str">
        <f t="shared" si="61"/>
        <v>Average</v>
      </c>
    </row>
    <row r="1942" spans="1:14">
      <c r="A1942" t="s">
        <v>38</v>
      </c>
      <c r="B1942">
        <v>2015</v>
      </c>
      <c r="C1942" t="s">
        <v>4303</v>
      </c>
      <c r="D1942" t="s">
        <v>14</v>
      </c>
      <c r="E1942" t="s">
        <v>4304</v>
      </c>
      <c r="F1942" t="s">
        <v>16</v>
      </c>
      <c r="G1942">
        <v>45.69</v>
      </c>
      <c r="H1942">
        <v>87</v>
      </c>
      <c r="I1942" t="s">
        <v>23</v>
      </c>
      <c r="J1942" t="s">
        <v>24</v>
      </c>
      <c r="K1942" t="s">
        <v>47</v>
      </c>
      <c r="L1942">
        <v>352</v>
      </c>
      <c r="M1942" t="str">
        <f t="shared" si="60"/>
        <v>High</v>
      </c>
      <c r="N1942" t="str">
        <f t="shared" si="61"/>
        <v>Good</v>
      </c>
    </row>
    <row r="1943" spans="1:14">
      <c r="A1943" t="s">
        <v>26</v>
      </c>
      <c r="B1943">
        <v>2019</v>
      </c>
      <c r="C1943" t="s">
        <v>4305</v>
      </c>
      <c r="D1943" t="s">
        <v>14</v>
      </c>
      <c r="E1943" t="s">
        <v>4306</v>
      </c>
      <c r="F1943" t="s">
        <v>46</v>
      </c>
      <c r="G1943">
        <v>42.81</v>
      </c>
      <c r="H1943">
        <v>67</v>
      </c>
      <c r="I1943" t="s">
        <v>61</v>
      </c>
      <c r="J1943" t="s">
        <v>24</v>
      </c>
      <c r="K1943" t="s">
        <v>2020</v>
      </c>
      <c r="L1943">
        <v>302</v>
      </c>
      <c r="M1943" t="str">
        <f t="shared" si="60"/>
        <v>High</v>
      </c>
      <c r="N1943" t="str">
        <f t="shared" si="61"/>
        <v>Average</v>
      </c>
    </row>
    <row r="1944" spans="1:14">
      <c r="A1944" t="s">
        <v>47</v>
      </c>
      <c r="B1944">
        <v>2009</v>
      </c>
      <c r="C1944" t="s">
        <v>4307</v>
      </c>
      <c r="D1944" t="s">
        <v>33</v>
      </c>
      <c r="E1944" t="s">
        <v>4308</v>
      </c>
      <c r="F1944" t="s">
        <v>46</v>
      </c>
      <c r="G1944">
        <v>42.7</v>
      </c>
      <c r="H1944">
        <v>86</v>
      </c>
      <c r="I1944" t="s">
        <v>36</v>
      </c>
      <c r="J1944" t="s">
        <v>37</v>
      </c>
      <c r="K1944" t="s">
        <v>68</v>
      </c>
      <c r="L1944">
        <v>318</v>
      </c>
      <c r="M1944" t="str">
        <f t="shared" si="60"/>
        <v>High</v>
      </c>
      <c r="N1944" t="str">
        <f t="shared" si="61"/>
        <v>Good</v>
      </c>
    </row>
    <row r="1945" spans="1:14">
      <c r="A1945" t="s">
        <v>12</v>
      </c>
      <c r="B1945">
        <v>2007</v>
      </c>
      <c r="C1945" t="s">
        <v>4309</v>
      </c>
      <c r="D1945" t="s">
        <v>14</v>
      </c>
      <c r="E1945" t="s">
        <v>4310</v>
      </c>
      <c r="F1945" t="s">
        <v>46</v>
      </c>
      <c r="G1945">
        <v>24.66</v>
      </c>
      <c r="H1945">
        <v>81</v>
      </c>
      <c r="I1945" t="s">
        <v>29</v>
      </c>
      <c r="J1945" t="s">
        <v>18</v>
      </c>
      <c r="K1945" t="s">
        <v>2020</v>
      </c>
      <c r="L1945">
        <v>315</v>
      </c>
      <c r="M1945" t="str">
        <f t="shared" si="60"/>
        <v>Medium</v>
      </c>
      <c r="N1945" t="str">
        <f t="shared" si="61"/>
        <v>Good</v>
      </c>
    </row>
    <row r="1946" spans="1:14">
      <c r="A1946" t="s">
        <v>68</v>
      </c>
      <c r="B1946">
        <v>2012</v>
      </c>
      <c r="C1946" t="s">
        <v>4311</v>
      </c>
      <c r="D1946" t="s">
        <v>33</v>
      </c>
      <c r="E1946" t="s">
        <v>4312</v>
      </c>
      <c r="F1946" t="s">
        <v>57</v>
      </c>
      <c r="G1946">
        <v>44.77</v>
      </c>
      <c r="H1946">
        <v>74</v>
      </c>
      <c r="I1946" t="s">
        <v>23</v>
      </c>
      <c r="J1946" t="s">
        <v>24</v>
      </c>
      <c r="K1946" t="s">
        <v>4313</v>
      </c>
      <c r="L1946">
        <v>250</v>
      </c>
      <c r="M1946" t="str">
        <f t="shared" si="60"/>
        <v>High</v>
      </c>
      <c r="N1946" t="str">
        <f t="shared" si="61"/>
        <v>Average</v>
      </c>
    </row>
    <row r="1947" spans="1:14">
      <c r="A1947" t="s">
        <v>20</v>
      </c>
      <c r="B1947">
        <v>2023</v>
      </c>
      <c r="C1947" t="s">
        <v>4314</v>
      </c>
      <c r="D1947" t="s">
        <v>14</v>
      </c>
      <c r="E1947" t="s">
        <v>4315</v>
      </c>
      <c r="F1947" t="s">
        <v>16</v>
      </c>
      <c r="G1947">
        <v>35.61</v>
      </c>
      <c r="H1947">
        <v>53</v>
      </c>
      <c r="I1947" t="s">
        <v>61</v>
      </c>
      <c r="J1947" t="s">
        <v>18</v>
      </c>
      <c r="K1947" t="s">
        <v>81</v>
      </c>
      <c r="L1947">
        <v>87</v>
      </c>
      <c r="M1947" t="str">
        <f t="shared" si="60"/>
        <v>High</v>
      </c>
      <c r="N1947" t="str">
        <f t="shared" si="61"/>
        <v>Average</v>
      </c>
    </row>
    <row r="1948" spans="1:14">
      <c r="A1948" t="s">
        <v>48</v>
      </c>
      <c r="B1948">
        <v>2014</v>
      </c>
      <c r="C1948" t="s">
        <v>4316</v>
      </c>
      <c r="D1948" t="s">
        <v>14</v>
      </c>
      <c r="E1948" t="s">
        <v>4317</v>
      </c>
      <c r="F1948" t="s">
        <v>42</v>
      </c>
      <c r="G1948">
        <v>5.61</v>
      </c>
      <c r="H1948">
        <v>82</v>
      </c>
      <c r="I1948" t="s">
        <v>61</v>
      </c>
      <c r="J1948" t="s">
        <v>24</v>
      </c>
      <c r="K1948" t="s">
        <v>4318</v>
      </c>
      <c r="L1948">
        <v>203</v>
      </c>
      <c r="M1948" t="str">
        <f t="shared" si="60"/>
        <v>Low</v>
      </c>
      <c r="N1948" t="str">
        <f t="shared" si="61"/>
        <v>Good</v>
      </c>
    </row>
    <row r="1949" spans="1:14">
      <c r="A1949" t="s">
        <v>39</v>
      </c>
      <c r="B1949">
        <v>2014</v>
      </c>
      <c r="C1949" t="s">
        <v>4319</v>
      </c>
      <c r="D1949" t="s">
        <v>33</v>
      </c>
      <c r="E1949" t="s">
        <v>4320</v>
      </c>
      <c r="F1949" t="s">
        <v>46</v>
      </c>
      <c r="G1949">
        <v>21.19</v>
      </c>
      <c r="H1949">
        <v>91</v>
      </c>
      <c r="I1949" t="s">
        <v>29</v>
      </c>
      <c r="J1949" t="s">
        <v>37</v>
      </c>
      <c r="K1949" t="s">
        <v>4321</v>
      </c>
      <c r="L1949">
        <v>220</v>
      </c>
      <c r="M1949" t="str">
        <f t="shared" si="60"/>
        <v>Medium</v>
      </c>
      <c r="N1949" t="str">
        <f t="shared" si="61"/>
        <v>Excellent</v>
      </c>
    </row>
    <row r="1950" spans="1:14">
      <c r="A1950" t="s">
        <v>47</v>
      </c>
      <c r="B1950">
        <v>2009</v>
      </c>
      <c r="C1950" t="s">
        <v>4322</v>
      </c>
      <c r="D1950" t="s">
        <v>14</v>
      </c>
      <c r="E1950" t="s">
        <v>4323</v>
      </c>
      <c r="F1950" t="s">
        <v>46</v>
      </c>
      <c r="G1950">
        <v>32.86</v>
      </c>
      <c r="H1950">
        <v>77</v>
      </c>
      <c r="I1950" t="s">
        <v>29</v>
      </c>
      <c r="J1950" t="s">
        <v>18</v>
      </c>
      <c r="K1950" t="s">
        <v>398</v>
      </c>
      <c r="L1950">
        <v>107</v>
      </c>
      <c r="M1950" t="str">
        <f t="shared" si="60"/>
        <v>Medium</v>
      </c>
      <c r="N1950" t="str">
        <f t="shared" si="61"/>
        <v>Good</v>
      </c>
    </row>
    <row r="1951" spans="1:14">
      <c r="A1951" t="s">
        <v>65</v>
      </c>
      <c r="B1951">
        <v>2002</v>
      </c>
      <c r="C1951" t="s">
        <v>4324</v>
      </c>
      <c r="D1951" t="s">
        <v>14</v>
      </c>
      <c r="E1951" t="s">
        <v>4325</v>
      </c>
      <c r="F1951" t="s">
        <v>57</v>
      </c>
      <c r="G1951">
        <v>24.52</v>
      </c>
      <c r="H1951">
        <v>77</v>
      </c>
      <c r="I1951" t="s">
        <v>17</v>
      </c>
      <c r="J1951" t="s">
        <v>37</v>
      </c>
      <c r="K1951" t="s">
        <v>12</v>
      </c>
      <c r="L1951">
        <v>70</v>
      </c>
      <c r="M1951" t="str">
        <f t="shared" si="60"/>
        <v>Medium</v>
      </c>
      <c r="N1951" t="str">
        <f t="shared" si="61"/>
        <v>Good</v>
      </c>
    </row>
    <row r="1952" spans="1:14">
      <c r="A1952" t="s">
        <v>39</v>
      </c>
      <c r="B1952">
        <v>2025</v>
      </c>
      <c r="C1952" t="s">
        <v>4326</v>
      </c>
      <c r="D1952" t="s">
        <v>33</v>
      </c>
      <c r="E1952" t="s">
        <v>4327</v>
      </c>
      <c r="F1952" t="s">
        <v>16</v>
      </c>
      <c r="G1952">
        <v>22.89</v>
      </c>
      <c r="H1952">
        <v>55</v>
      </c>
      <c r="I1952" t="s">
        <v>29</v>
      </c>
      <c r="J1952" t="s">
        <v>18</v>
      </c>
      <c r="K1952" t="s">
        <v>1537</v>
      </c>
      <c r="L1952">
        <v>122</v>
      </c>
      <c r="M1952" t="str">
        <f t="shared" si="60"/>
        <v>Medium</v>
      </c>
      <c r="N1952" t="str">
        <f t="shared" si="61"/>
        <v>Average</v>
      </c>
    </row>
    <row r="1953" spans="1:14">
      <c r="A1953" t="s">
        <v>65</v>
      </c>
      <c r="B1953">
        <v>2011</v>
      </c>
      <c r="C1953" t="s">
        <v>4328</v>
      </c>
      <c r="D1953" t="s">
        <v>14</v>
      </c>
      <c r="E1953" t="s">
        <v>4329</v>
      </c>
      <c r="F1953" t="s">
        <v>46</v>
      </c>
      <c r="G1953">
        <v>25.63</v>
      </c>
      <c r="H1953">
        <v>93</v>
      </c>
      <c r="I1953" t="s">
        <v>17</v>
      </c>
      <c r="J1953" t="s">
        <v>24</v>
      </c>
      <c r="K1953" t="s">
        <v>12</v>
      </c>
      <c r="L1953">
        <v>232</v>
      </c>
      <c r="M1953" t="str">
        <f t="shared" si="60"/>
        <v>Medium</v>
      </c>
      <c r="N1953" t="str">
        <f t="shared" si="61"/>
        <v>Excellent</v>
      </c>
    </row>
    <row r="1954" spans="1:14">
      <c r="A1954" t="s">
        <v>68</v>
      </c>
      <c r="B1954">
        <v>2020</v>
      </c>
      <c r="C1954" t="s">
        <v>4330</v>
      </c>
      <c r="D1954" t="s">
        <v>14</v>
      </c>
      <c r="E1954" t="s">
        <v>4331</v>
      </c>
      <c r="F1954" t="s">
        <v>46</v>
      </c>
      <c r="G1954">
        <v>47.4</v>
      </c>
      <c r="H1954">
        <v>85</v>
      </c>
      <c r="I1954" t="s">
        <v>17</v>
      </c>
      <c r="J1954" t="s">
        <v>37</v>
      </c>
      <c r="K1954" t="s">
        <v>831</v>
      </c>
      <c r="L1954">
        <v>270</v>
      </c>
      <c r="M1954" t="str">
        <f t="shared" si="60"/>
        <v>High</v>
      </c>
      <c r="N1954" t="str">
        <f t="shared" si="61"/>
        <v>Good</v>
      </c>
    </row>
    <row r="1955" spans="1:14">
      <c r="A1955" t="s">
        <v>68</v>
      </c>
      <c r="B1955">
        <v>2017</v>
      </c>
      <c r="C1955" t="s">
        <v>4332</v>
      </c>
      <c r="D1955" t="s">
        <v>14</v>
      </c>
      <c r="E1955" t="s">
        <v>2684</v>
      </c>
      <c r="F1955" t="s">
        <v>57</v>
      </c>
      <c r="G1955">
        <v>33.49</v>
      </c>
      <c r="H1955">
        <v>92</v>
      </c>
      <c r="I1955" t="s">
        <v>61</v>
      </c>
      <c r="J1955" t="s">
        <v>24</v>
      </c>
      <c r="K1955" t="s">
        <v>39</v>
      </c>
      <c r="L1955">
        <v>92</v>
      </c>
      <c r="M1955" t="str">
        <f t="shared" si="60"/>
        <v>Medium</v>
      </c>
      <c r="N1955" t="str">
        <f t="shared" si="61"/>
        <v>Excellent</v>
      </c>
    </row>
    <row r="1956" spans="1:14">
      <c r="A1956" t="s">
        <v>39</v>
      </c>
      <c r="B1956">
        <v>2011</v>
      </c>
      <c r="C1956" t="s">
        <v>4333</v>
      </c>
      <c r="D1956" t="s">
        <v>14</v>
      </c>
      <c r="E1956" t="s">
        <v>4334</v>
      </c>
      <c r="F1956" t="s">
        <v>57</v>
      </c>
      <c r="G1956">
        <v>29.07</v>
      </c>
      <c r="H1956">
        <v>61</v>
      </c>
      <c r="I1956" t="s">
        <v>23</v>
      </c>
      <c r="J1956" t="s">
        <v>18</v>
      </c>
      <c r="K1956" t="s">
        <v>38</v>
      </c>
      <c r="L1956">
        <v>117</v>
      </c>
      <c r="M1956" t="str">
        <f t="shared" si="60"/>
        <v>Medium</v>
      </c>
      <c r="N1956" t="str">
        <f t="shared" si="61"/>
        <v>Average</v>
      </c>
    </row>
    <row r="1957" spans="1:14">
      <c r="A1957" t="s">
        <v>48</v>
      </c>
      <c r="B1957">
        <v>2019</v>
      </c>
      <c r="C1957" t="s">
        <v>4335</v>
      </c>
      <c r="D1957" t="s">
        <v>14</v>
      </c>
      <c r="E1957" t="s">
        <v>4336</v>
      </c>
      <c r="F1957" t="s">
        <v>42</v>
      </c>
      <c r="G1957">
        <v>14.68</v>
      </c>
      <c r="H1957">
        <v>52</v>
      </c>
      <c r="I1957" t="s">
        <v>17</v>
      </c>
      <c r="J1957" t="s">
        <v>24</v>
      </c>
      <c r="K1957" t="s">
        <v>157</v>
      </c>
      <c r="L1957">
        <v>201</v>
      </c>
      <c r="M1957" t="str">
        <f t="shared" si="60"/>
        <v>Low</v>
      </c>
      <c r="N1957" t="str">
        <f t="shared" si="61"/>
        <v>Average</v>
      </c>
    </row>
    <row r="1958" spans="1:14">
      <c r="A1958" t="s">
        <v>68</v>
      </c>
      <c r="B1958">
        <v>2015</v>
      </c>
      <c r="C1958" t="s">
        <v>4337</v>
      </c>
      <c r="D1958" t="s">
        <v>33</v>
      </c>
      <c r="E1958" t="s">
        <v>4338</v>
      </c>
      <c r="F1958" t="s">
        <v>16</v>
      </c>
      <c r="G1958">
        <v>7.06</v>
      </c>
      <c r="H1958">
        <v>68</v>
      </c>
      <c r="I1958" t="s">
        <v>17</v>
      </c>
      <c r="J1958" t="s">
        <v>37</v>
      </c>
      <c r="K1958" t="s">
        <v>348</v>
      </c>
      <c r="L1958">
        <v>227</v>
      </c>
      <c r="M1958" t="str">
        <f t="shared" si="60"/>
        <v>Low</v>
      </c>
      <c r="N1958" t="str">
        <f t="shared" si="61"/>
        <v>Average</v>
      </c>
    </row>
    <row r="1959" spans="1:14">
      <c r="A1959" t="s">
        <v>20</v>
      </c>
      <c r="B1959">
        <v>2002</v>
      </c>
      <c r="C1959" t="s">
        <v>4339</v>
      </c>
      <c r="D1959" t="s">
        <v>33</v>
      </c>
      <c r="E1959" t="s">
        <v>4340</v>
      </c>
      <c r="F1959" t="s">
        <v>57</v>
      </c>
      <c r="G1959">
        <v>43.5</v>
      </c>
      <c r="H1959">
        <v>67</v>
      </c>
      <c r="I1959" t="s">
        <v>29</v>
      </c>
      <c r="J1959" t="s">
        <v>24</v>
      </c>
      <c r="K1959" t="s">
        <v>2439</v>
      </c>
      <c r="L1959">
        <v>200</v>
      </c>
      <c r="M1959" t="str">
        <f t="shared" si="60"/>
        <v>High</v>
      </c>
      <c r="N1959" t="str">
        <f t="shared" si="61"/>
        <v>Average</v>
      </c>
    </row>
    <row r="1960" spans="1:14">
      <c r="A1960" t="s">
        <v>12</v>
      </c>
      <c r="B1960">
        <v>2014</v>
      </c>
      <c r="C1960" t="s">
        <v>4341</v>
      </c>
      <c r="D1960" t="s">
        <v>33</v>
      </c>
      <c r="E1960" t="s">
        <v>4342</v>
      </c>
      <c r="F1960" t="s">
        <v>42</v>
      </c>
      <c r="G1960">
        <v>6.22</v>
      </c>
      <c r="H1960">
        <v>86</v>
      </c>
      <c r="I1960" t="s">
        <v>17</v>
      </c>
      <c r="J1960" t="s">
        <v>24</v>
      </c>
      <c r="K1960" t="s">
        <v>1292</v>
      </c>
      <c r="L1960">
        <v>189</v>
      </c>
      <c r="M1960" t="str">
        <f t="shared" si="60"/>
        <v>Low</v>
      </c>
      <c r="N1960" t="str">
        <f t="shared" si="61"/>
        <v>Good</v>
      </c>
    </row>
    <row r="1961" spans="1:14">
      <c r="A1961" t="s">
        <v>48</v>
      </c>
      <c r="B1961">
        <v>2016</v>
      </c>
      <c r="C1961" t="s">
        <v>4343</v>
      </c>
      <c r="D1961" t="s">
        <v>14</v>
      </c>
      <c r="E1961" t="s">
        <v>4344</v>
      </c>
      <c r="F1961" t="s">
        <v>57</v>
      </c>
      <c r="G1961">
        <v>27.93</v>
      </c>
      <c r="H1961">
        <v>96</v>
      </c>
      <c r="I1961" t="s">
        <v>17</v>
      </c>
      <c r="J1961" t="s">
        <v>18</v>
      </c>
      <c r="K1961" t="s">
        <v>39</v>
      </c>
      <c r="L1961">
        <v>365</v>
      </c>
      <c r="M1961" t="str">
        <f t="shared" si="60"/>
        <v>Medium</v>
      </c>
      <c r="N1961" t="str">
        <f t="shared" si="61"/>
        <v>Excellent</v>
      </c>
    </row>
    <row r="1962" spans="1:14">
      <c r="A1962" t="s">
        <v>68</v>
      </c>
      <c r="B1962">
        <v>2020</v>
      </c>
      <c r="C1962" t="s">
        <v>4345</v>
      </c>
      <c r="D1962" t="s">
        <v>33</v>
      </c>
      <c r="E1962" t="s">
        <v>4346</v>
      </c>
      <c r="F1962" t="s">
        <v>16</v>
      </c>
      <c r="G1962">
        <v>8.8800000000000008</v>
      </c>
      <c r="H1962">
        <v>52</v>
      </c>
      <c r="I1962" t="s">
        <v>17</v>
      </c>
      <c r="J1962" t="s">
        <v>24</v>
      </c>
      <c r="K1962" t="s">
        <v>39</v>
      </c>
      <c r="L1962">
        <v>229</v>
      </c>
      <c r="M1962" t="str">
        <f t="shared" si="60"/>
        <v>Low</v>
      </c>
      <c r="N1962" t="str">
        <f t="shared" si="61"/>
        <v>Average</v>
      </c>
    </row>
    <row r="1963" spans="1:14">
      <c r="A1963" t="s">
        <v>48</v>
      </c>
      <c r="B1963">
        <v>2009</v>
      </c>
      <c r="C1963" t="s">
        <v>4347</v>
      </c>
      <c r="D1963" t="s">
        <v>14</v>
      </c>
      <c r="E1963" t="s">
        <v>4348</v>
      </c>
      <c r="F1963" t="s">
        <v>42</v>
      </c>
      <c r="G1963">
        <v>18.600000000000001</v>
      </c>
      <c r="H1963">
        <v>96</v>
      </c>
      <c r="I1963" t="s">
        <v>36</v>
      </c>
      <c r="J1963" t="s">
        <v>18</v>
      </c>
      <c r="K1963" t="s">
        <v>12</v>
      </c>
      <c r="L1963">
        <v>216</v>
      </c>
      <c r="M1963" t="str">
        <f t="shared" si="60"/>
        <v>Medium</v>
      </c>
      <c r="N1963" t="str">
        <f t="shared" si="61"/>
        <v>Excellent</v>
      </c>
    </row>
    <row r="1964" spans="1:14">
      <c r="A1964" t="s">
        <v>47</v>
      </c>
      <c r="B1964">
        <v>2018</v>
      </c>
      <c r="C1964" t="s">
        <v>4349</v>
      </c>
      <c r="D1964" t="s">
        <v>14</v>
      </c>
      <c r="E1964" t="s">
        <v>4350</v>
      </c>
      <c r="F1964" t="s">
        <v>16</v>
      </c>
      <c r="G1964">
        <v>16.93</v>
      </c>
      <c r="H1964">
        <v>100</v>
      </c>
      <c r="I1964" t="s">
        <v>36</v>
      </c>
      <c r="J1964" t="s">
        <v>24</v>
      </c>
      <c r="K1964" t="s">
        <v>4351</v>
      </c>
      <c r="L1964">
        <v>208</v>
      </c>
      <c r="M1964" t="str">
        <f t="shared" si="60"/>
        <v>Medium</v>
      </c>
      <c r="N1964" t="str">
        <f t="shared" si="61"/>
        <v>Excellent</v>
      </c>
    </row>
    <row r="1965" spans="1:14">
      <c r="A1965" t="s">
        <v>68</v>
      </c>
      <c r="B1965">
        <v>2012</v>
      </c>
      <c r="C1965" t="s">
        <v>4352</v>
      </c>
      <c r="D1965" t="s">
        <v>14</v>
      </c>
      <c r="E1965" t="s">
        <v>4353</v>
      </c>
      <c r="F1965" t="s">
        <v>46</v>
      </c>
      <c r="G1965">
        <v>5.97</v>
      </c>
      <c r="H1965">
        <v>90</v>
      </c>
      <c r="I1965" t="s">
        <v>17</v>
      </c>
      <c r="J1965" t="s">
        <v>24</v>
      </c>
      <c r="K1965" t="s">
        <v>1944</v>
      </c>
      <c r="L1965">
        <v>346</v>
      </c>
      <c r="M1965" t="str">
        <f t="shared" si="60"/>
        <v>Low</v>
      </c>
      <c r="N1965" t="str">
        <f t="shared" si="61"/>
        <v>Excellent</v>
      </c>
    </row>
    <row r="1966" spans="1:14">
      <c r="A1966" t="s">
        <v>47</v>
      </c>
      <c r="B1966">
        <v>2013</v>
      </c>
      <c r="C1966" t="s">
        <v>4354</v>
      </c>
      <c r="D1966" t="s">
        <v>14</v>
      </c>
      <c r="E1966" t="s">
        <v>4355</v>
      </c>
      <c r="F1966" t="s">
        <v>42</v>
      </c>
      <c r="G1966">
        <v>23.59</v>
      </c>
      <c r="H1966">
        <v>100</v>
      </c>
      <c r="I1966" t="s">
        <v>36</v>
      </c>
      <c r="J1966" t="s">
        <v>37</v>
      </c>
      <c r="K1966" t="s">
        <v>4356</v>
      </c>
      <c r="L1966">
        <v>325</v>
      </c>
      <c r="M1966" t="str">
        <f t="shared" si="60"/>
        <v>Medium</v>
      </c>
      <c r="N1966" t="str">
        <f t="shared" si="61"/>
        <v>Excellent</v>
      </c>
    </row>
    <row r="1967" spans="1:14">
      <c r="A1967" t="s">
        <v>68</v>
      </c>
      <c r="B1967">
        <v>2015</v>
      </c>
      <c r="C1967" t="s">
        <v>4357</v>
      </c>
      <c r="D1967" t="s">
        <v>14</v>
      </c>
      <c r="E1967" t="s">
        <v>4283</v>
      </c>
      <c r="F1967" t="s">
        <v>42</v>
      </c>
      <c r="G1967">
        <v>43.1</v>
      </c>
      <c r="H1967">
        <v>94</v>
      </c>
      <c r="I1967" t="s">
        <v>61</v>
      </c>
      <c r="J1967" t="s">
        <v>37</v>
      </c>
      <c r="K1967" t="s">
        <v>1019</v>
      </c>
      <c r="L1967">
        <v>225</v>
      </c>
      <c r="M1967" t="str">
        <f t="shared" si="60"/>
        <v>High</v>
      </c>
      <c r="N1967" t="str">
        <f t="shared" si="61"/>
        <v>Excellent</v>
      </c>
    </row>
    <row r="1968" spans="1:14">
      <c r="A1968" t="s">
        <v>48</v>
      </c>
      <c r="B1968">
        <v>2018</v>
      </c>
      <c r="C1968" t="s">
        <v>4358</v>
      </c>
      <c r="D1968" t="s">
        <v>14</v>
      </c>
      <c r="E1968" t="s">
        <v>4359</v>
      </c>
      <c r="F1968" t="s">
        <v>57</v>
      </c>
      <c r="G1968">
        <v>27.93</v>
      </c>
      <c r="H1968">
        <v>50</v>
      </c>
      <c r="I1968" t="s">
        <v>29</v>
      </c>
      <c r="J1968" t="s">
        <v>24</v>
      </c>
      <c r="K1968" t="s">
        <v>48</v>
      </c>
      <c r="L1968">
        <v>353</v>
      </c>
      <c r="M1968" t="str">
        <f t="shared" si="60"/>
        <v>Medium</v>
      </c>
      <c r="N1968" t="str">
        <f t="shared" si="61"/>
        <v>Average</v>
      </c>
    </row>
    <row r="1969" spans="1:14">
      <c r="A1969" t="s">
        <v>31</v>
      </c>
      <c r="B1969">
        <v>2002</v>
      </c>
      <c r="C1969" t="s">
        <v>4360</v>
      </c>
      <c r="D1969" t="s">
        <v>33</v>
      </c>
      <c r="E1969" t="s">
        <v>4361</v>
      </c>
      <c r="F1969" t="s">
        <v>42</v>
      </c>
      <c r="G1969">
        <v>18.28</v>
      </c>
      <c r="H1969">
        <v>50</v>
      </c>
      <c r="I1969" t="s">
        <v>36</v>
      </c>
      <c r="J1969" t="s">
        <v>37</v>
      </c>
      <c r="K1969" t="s">
        <v>4362</v>
      </c>
      <c r="L1969">
        <v>169</v>
      </c>
      <c r="M1969" t="str">
        <f t="shared" si="60"/>
        <v>Medium</v>
      </c>
      <c r="N1969" t="str">
        <f t="shared" si="61"/>
        <v>Average</v>
      </c>
    </row>
    <row r="1970" spans="1:14">
      <c r="A1970" t="s">
        <v>39</v>
      </c>
      <c r="B1970">
        <v>2015</v>
      </c>
      <c r="C1970" t="s">
        <v>4363</v>
      </c>
      <c r="D1970" t="s">
        <v>33</v>
      </c>
      <c r="E1970" t="s">
        <v>4364</v>
      </c>
      <c r="F1970" t="s">
        <v>46</v>
      </c>
      <c r="G1970">
        <v>13.63</v>
      </c>
      <c r="H1970">
        <v>87</v>
      </c>
      <c r="I1970" t="s">
        <v>23</v>
      </c>
      <c r="J1970" t="s">
        <v>37</v>
      </c>
      <c r="K1970" t="s">
        <v>2358</v>
      </c>
      <c r="L1970">
        <v>100</v>
      </c>
      <c r="M1970" t="str">
        <f t="shared" si="60"/>
        <v>Low</v>
      </c>
      <c r="N1970" t="str">
        <f t="shared" si="61"/>
        <v>Good</v>
      </c>
    </row>
    <row r="1971" spans="1:14">
      <c r="A1971" t="s">
        <v>31</v>
      </c>
      <c r="B1971">
        <v>2000</v>
      </c>
      <c r="C1971" t="s">
        <v>4365</v>
      </c>
      <c r="D1971" t="s">
        <v>33</v>
      </c>
      <c r="E1971" t="s">
        <v>564</v>
      </c>
      <c r="F1971" t="s">
        <v>35</v>
      </c>
      <c r="G1971">
        <v>18.5</v>
      </c>
      <c r="H1971">
        <v>68</v>
      </c>
      <c r="I1971" t="s">
        <v>29</v>
      </c>
      <c r="J1971" t="s">
        <v>18</v>
      </c>
      <c r="K1971" t="s">
        <v>26</v>
      </c>
      <c r="L1971">
        <v>288</v>
      </c>
      <c r="M1971" t="str">
        <f t="shared" si="60"/>
        <v>Medium</v>
      </c>
      <c r="N1971" t="str">
        <f t="shared" si="61"/>
        <v>Average</v>
      </c>
    </row>
    <row r="1972" spans="1:14">
      <c r="A1972" t="s">
        <v>47</v>
      </c>
      <c r="B1972">
        <v>2024</v>
      </c>
      <c r="C1972" t="s">
        <v>4366</v>
      </c>
      <c r="D1972" t="s">
        <v>14</v>
      </c>
      <c r="E1972" t="s">
        <v>4367</v>
      </c>
      <c r="F1972" t="s">
        <v>42</v>
      </c>
      <c r="G1972">
        <v>27.79</v>
      </c>
      <c r="H1972">
        <v>80</v>
      </c>
      <c r="I1972" t="s">
        <v>29</v>
      </c>
      <c r="J1972" t="s">
        <v>37</v>
      </c>
      <c r="K1972" t="s">
        <v>2539</v>
      </c>
      <c r="L1972">
        <v>307</v>
      </c>
      <c r="M1972" t="str">
        <f t="shared" si="60"/>
        <v>Medium</v>
      </c>
      <c r="N1972" t="str">
        <f t="shared" si="61"/>
        <v>Good</v>
      </c>
    </row>
    <row r="1973" spans="1:14">
      <c r="A1973" t="s">
        <v>38</v>
      </c>
      <c r="B1973">
        <v>2024</v>
      </c>
      <c r="C1973" t="s">
        <v>4368</v>
      </c>
      <c r="D1973" t="s">
        <v>14</v>
      </c>
      <c r="E1973" t="s">
        <v>4369</v>
      </c>
      <c r="F1973" t="s">
        <v>16</v>
      </c>
      <c r="G1973">
        <v>2.72</v>
      </c>
      <c r="H1973">
        <v>73</v>
      </c>
      <c r="I1973" t="s">
        <v>23</v>
      </c>
      <c r="J1973" t="s">
        <v>37</v>
      </c>
      <c r="K1973" t="s">
        <v>68</v>
      </c>
      <c r="L1973">
        <v>37</v>
      </c>
      <c r="M1973" t="str">
        <f t="shared" si="60"/>
        <v>Low</v>
      </c>
      <c r="N1973" t="str">
        <f t="shared" si="61"/>
        <v>Average</v>
      </c>
    </row>
    <row r="1974" spans="1:14">
      <c r="A1974" t="s">
        <v>65</v>
      </c>
      <c r="B1974">
        <v>2012</v>
      </c>
      <c r="C1974" t="s">
        <v>4370</v>
      </c>
      <c r="D1974" t="s">
        <v>14</v>
      </c>
      <c r="E1974" t="s">
        <v>4371</v>
      </c>
      <c r="F1974" t="s">
        <v>46</v>
      </c>
      <c r="G1974">
        <v>13.91</v>
      </c>
      <c r="H1974">
        <v>78</v>
      </c>
      <c r="I1974" t="s">
        <v>36</v>
      </c>
      <c r="J1974" t="s">
        <v>37</v>
      </c>
      <c r="K1974" t="s">
        <v>78</v>
      </c>
      <c r="L1974">
        <v>322</v>
      </c>
      <c r="M1974" t="str">
        <f t="shared" si="60"/>
        <v>Low</v>
      </c>
      <c r="N1974" t="str">
        <f t="shared" si="61"/>
        <v>Good</v>
      </c>
    </row>
    <row r="1975" spans="1:14">
      <c r="A1975" t="s">
        <v>65</v>
      </c>
      <c r="B1975">
        <v>2003</v>
      </c>
      <c r="C1975" t="s">
        <v>4372</v>
      </c>
      <c r="D1975" t="s">
        <v>33</v>
      </c>
      <c r="E1975" t="s">
        <v>4373</v>
      </c>
      <c r="F1975" t="s">
        <v>42</v>
      </c>
      <c r="G1975">
        <v>43.3</v>
      </c>
      <c r="H1975">
        <v>50</v>
      </c>
      <c r="I1975" t="s">
        <v>17</v>
      </c>
      <c r="J1975" t="s">
        <v>18</v>
      </c>
      <c r="K1975" t="s">
        <v>1597</v>
      </c>
      <c r="L1975">
        <v>22</v>
      </c>
      <c r="M1975" t="str">
        <f t="shared" si="60"/>
        <v>High</v>
      </c>
      <c r="N1975" t="str">
        <f t="shared" si="61"/>
        <v>Average</v>
      </c>
    </row>
    <row r="1976" spans="1:14">
      <c r="A1976" t="s">
        <v>65</v>
      </c>
      <c r="B1976">
        <v>2019</v>
      </c>
      <c r="C1976" t="s">
        <v>4374</v>
      </c>
      <c r="D1976" t="s">
        <v>14</v>
      </c>
      <c r="E1976" t="s">
        <v>4375</v>
      </c>
      <c r="F1976" t="s">
        <v>42</v>
      </c>
      <c r="G1976">
        <v>42.35</v>
      </c>
      <c r="H1976">
        <v>78</v>
      </c>
      <c r="I1976" t="s">
        <v>36</v>
      </c>
      <c r="J1976" t="s">
        <v>18</v>
      </c>
      <c r="K1976" t="s">
        <v>1361</v>
      </c>
      <c r="L1976">
        <v>306</v>
      </c>
      <c r="M1976" t="str">
        <f t="shared" si="60"/>
        <v>High</v>
      </c>
      <c r="N1976" t="str">
        <f t="shared" si="61"/>
        <v>Good</v>
      </c>
    </row>
    <row r="1977" spans="1:14">
      <c r="A1977" t="s">
        <v>31</v>
      </c>
      <c r="B1977">
        <v>2008</v>
      </c>
      <c r="C1977" t="s">
        <v>4376</v>
      </c>
      <c r="D1977" t="s">
        <v>33</v>
      </c>
      <c r="E1977" t="s">
        <v>4377</v>
      </c>
      <c r="F1977" t="s">
        <v>42</v>
      </c>
      <c r="G1977">
        <v>33.47</v>
      </c>
      <c r="H1977">
        <v>80</v>
      </c>
      <c r="I1977" t="s">
        <v>23</v>
      </c>
      <c r="J1977" t="s">
        <v>37</v>
      </c>
      <c r="K1977" t="s">
        <v>1131</v>
      </c>
      <c r="L1977">
        <v>334</v>
      </c>
      <c r="M1977" t="str">
        <f t="shared" si="60"/>
        <v>Medium</v>
      </c>
      <c r="N1977" t="str">
        <f t="shared" si="61"/>
        <v>Good</v>
      </c>
    </row>
    <row r="1978" spans="1:14">
      <c r="A1978" t="s">
        <v>47</v>
      </c>
      <c r="B1978">
        <v>2004</v>
      </c>
      <c r="C1978" t="s">
        <v>4378</v>
      </c>
      <c r="D1978" t="s">
        <v>14</v>
      </c>
      <c r="E1978" t="s">
        <v>3820</v>
      </c>
      <c r="F1978" t="s">
        <v>16</v>
      </c>
      <c r="G1978">
        <v>37.76</v>
      </c>
      <c r="H1978">
        <v>66</v>
      </c>
      <c r="I1978" t="s">
        <v>17</v>
      </c>
      <c r="J1978" t="s">
        <v>37</v>
      </c>
      <c r="K1978" t="s">
        <v>48</v>
      </c>
      <c r="L1978">
        <v>73</v>
      </c>
      <c r="M1978" t="str">
        <f t="shared" si="60"/>
        <v>High</v>
      </c>
      <c r="N1978" t="str">
        <f t="shared" si="61"/>
        <v>Average</v>
      </c>
    </row>
    <row r="1979" spans="1:14">
      <c r="A1979" t="s">
        <v>47</v>
      </c>
      <c r="B1979">
        <v>2016</v>
      </c>
      <c r="C1979" t="s">
        <v>4379</v>
      </c>
      <c r="D1979" t="s">
        <v>33</v>
      </c>
      <c r="E1979" t="s">
        <v>4380</v>
      </c>
      <c r="F1979" t="s">
        <v>35</v>
      </c>
      <c r="G1979">
        <v>34.65</v>
      </c>
      <c r="H1979">
        <v>72</v>
      </c>
      <c r="I1979" t="s">
        <v>61</v>
      </c>
      <c r="J1979" t="s">
        <v>37</v>
      </c>
      <c r="K1979" t="s">
        <v>38</v>
      </c>
      <c r="L1979">
        <v>63</v>
      </c>
      <c r="M1979" t="str">
        <f t="shared" si="60"/>
        <v>Medium</v>
      </c>
      <c r="N1979" t="str">
        <f t="shared" si="61"/>
        <v>Average</v>
      </c>
    </row>
    <row r="1980" spans="1:14">
      <c r="A1980" t="s">
        <v>12</v>
      </c>
      <c r="B1980">
        <v>2002</v>
      </c>
      <c r="C1980" t="s">
        <v>4381</v>
      </c>
      <c r="D1980" t="s">
        <v>14</v>
      </c>
      <c r="E1980" t="s">
        <v>4382</v>
      </c>
      <c r="F1980" t="s">
        <v>42</v>
      </c>
      <c r="G1980">
        <v>12.56</v>
      </c>
      <c r="H1980">
        <v>87</v>
      </c>
      <c r="I1980" t="s">
        <v>23</v>
      </c>
      <c r="J1980" t="s">
        <v>24</v>
      </c>
      <c r="K1980" t="s">
        <v>2066</v>
      </c>
      <c r="L1980">
        <v>69</v>
      </c>
      <c r="M1980" t="str">
        <f t="shared" si="60"/>
        <v>Low</v>
      </c>
      <c r="N1980" t="str">
        <f t="shared" si="61"/>
        <v>Good</v>
      </c>
    </row>
    <row r="1981" spans="1:14">
      <c r="A1981" t="s">
        <v>47</v>
      </c>
      <c r="B1981">
        <v>2010</v>
      </c>
      <c r="C1981" t="s">
        <v>4383</v>
      </c>
      <c r="D1981" t="s">
        <v>14</v>
      </c>
      <c r="E1981" t="s">
        <v>2038</v>
      </c>
      <c r="F1981" t="s">
        <v>35</v>
      </c>
      <c r="G1981">
        <v>1.46</v>
      </c>
      <c r="H1981">
        <v>60</v>
      </c>
      <c r="I1981" t="s">
        <v>23</v>
      </c>
      <c r="J1981" t="s">
        <v>37</v>
      </c>
      <c r="K1981" t="s">
        <v>508</v>
      </c>
      <c r="L1981">
        <v>240</v>
      </c>
      <c r="M1981" t="str">
        <f t="shared" si="60"/>
        <v>Low</v>
      </c>
      <c r="N1981" t="str">
        <f t="shared" si="61"/>
        <v>Average</v>
      </c>
    </row>
    <row r="1982" spans="1:14">
      <c r="A1982" t="s">
        <v>65</v>
      </c>
      <c r="B1982">
        <v>2001</v>
      </c>
      <c r="C1982" t="s">
        <v>4384</v>
      </c>
      <c r="D1982" t="s">
        <v>33</v>
      </c>
      <c r="E1982" t="s">
        <v>4385</v>
      </c>
      <c r="F1982" t="s">
        <v>42</v>
      </c>
      <c r="G1982">
        <v>12.93</v>
      </c>
      <c r="H1982">
        <v>54</v>
      </c>
      <c r="I1982" t="s">
        <v>36</v>
      </c>
      <c r="J1982" t="s">
        <v>37</v>
      </c>
      <c r="K1982" t="s">
        <v>610</v>
      </c>
      <c r="L1982">
        <v>5</v>
      </c>
      <c r="M1982" t="str">
        <f t="shared" si="60"/>
        <v>Low</v>
      </c>
      <c r="N1982" t="str">
        <f t="shared" si="61"/>
        <v>Average</v>
      </c>
    </row>
    <row r="1983" spans="1:14">
      <c r="A1983" t="s">
        <v>12</v>
      </c>
      <c r="B1983">
        <v>2001</v>
      </c>
      <c r="C1983" t="s">
        <v>4386</v>
      </c>
      <c r="D1983" t="s">
        <v>33</v>
      </c>
      <c r="E1983" t="s">
        <v>4387</v>
      </c>
      <c r="F1983" t="s">
        <v>16</v>
      </c>
      <c r="G1983">
        <v>18.13</v>
      </c>
      <c r="H1983">
        <v>58</v>
      </c>
      <c r="I1983" t="s">
        <v>61</v>
      </c>
      <c r="J1983" t="s">
        <v>18</v>
      </c>
      <c r="K1983" t="s">
        <v>335</v>
      </c>
      <c r="L1983">
        <v>40</v>
      </c>
      <c r="M1983" t="str">
        <f t="shared" si="60"/>
        <v>Medium</v>
      </c>
      <c r="N1983" t="str">
        <f t="shared" si="61"/>
        <v>Average</v>
      </c>
    </row>
    <row r="1984" spans="1:14">
      <c r="A1984" t="s">
        <v>48</v>
      </c>
      <c r="B1984">
        <v>2003</v>
      </c>
      <c r="C1984" t="s">
        <v>4388</v>
      </c>
      <c r="D1984" t="s">
        <v>14</v>
      </c>
      <c r="E1984" t="s">
        <v>4389</v>
      </c>
      <c r="F1984" t="s">
        <v>35</v>
      </c>
      <c r="G1984">
        <v>29.86</v>
      </c>
      <c r="H1984">
        <v>71</v>
      </c>
      <c r="I1984" t="s">
        <v>36</v>
      </c>
      <c r="J1984" t="s">
        <v>24</v>
      </c>
      <c r="K1984" t="s">
        <v>4390</v>
      </c>
      <c r="L1984">
        <v>181</v>
      </c>
      <c r="M1984" t="str">
        <f t="shared" si="60"/>
        <v>Medium</v>
      </c>
      <c r="N1984" t="str">
        <f t="shared" si="61"/>
        <v>Average</v>
      </c>
    </row>
    <row r="1985" spans="1:14">
      <c r="A1985" t="s">
        <v>39</v>
      </c>
      <c r="B1985">
        <v>2002</v>
      </c>
      <c r="C1985" t="s">
        <v>4391</v>
      </c>
      <c r="D1985" t="s">
        <v>33</v>
      </c>
      <c r="E1985" t="s">
        <v>4392</v>
      </c>
      <c r="F1985" t="s">
        <v>57</v>
      </c>
      <c r="G1985">
        <v>45.34</v>
      </c>
      <c r="H1985">
        <v>66</v>
      </c>
      <c r="I1985" t="s">
        <v>17</v>
      </c>
      <c r="J1985" t="s">
        <v>18</v>
      </c>
      <c r="K1985" t="s">
        <v>1653</v>
      </c>
      <c r="L1985">
        <v>70</v>
      </c>
      <c r="M1985" t="str">
        <f t="shared" si="60"/>
        <v>High</v>
      </c>
      <c r="N1985" t="str">
        <f t="shared" si="61"/>
        <v>Average</v>
      </c>
    </row>
    <row r="1986" spans="1:14">
      <c r="A1986" t="s">
        <v>48</v>
      </c>
      <c r="B1986">
        <v>2024</v>
      </c>
      <c r="C1986" t="s">
        <v>4393</v>
      </c>
      <c r="D1986" t="s">
        <v>14</v>
      </c>
      <c r="E1986" t="s">
        <v>4394</v>
      </c>
      <c r="F1986" t="s">
        <v>42</v>
      </c>
      <c r="G1986">
        <v>11.81</v>
      </c>
      <c r="H1986">
        <v>65</v>
      </c>
      <c r="I1986" t="s">
        <v>23</v>
      </c>
      <c r="J1986" t="s">
        <v>18</v>
      </c>
      <c r="K1986" t="s">
        <v>513</v>
      </c>
      <c r="L1986">
        <v>250</v>
      </c>
      <c r="M1986" t="str">
        <f t="shared" si="60"/>
        <v>Low</v>
      </c>
      <c r="N1986" t="str">
        <f t="shared" si="61"/>
        <v>Average</v>
      </c>
    </row>
    <row r="1987" spans="1:14">
      <c r="A1987" t="s">
        <v>48</v>
      </c>
      <c r="B1987">
        <v>2016</v>
      </c>
      <c r="C1987" t="s">
        <v>4395</v>
      </c>
      <c r="D1987" t="s">
        <v>14</v>
      </c>
      <c r="E1987" t="s">
        <v>4396</v>
      </c>
      <c r="F1987" t="s">
        <v>46</v>
      </c>
      <c r="G1987">
        <v>4.3899999999999997</v>
      </c>
      <c r="H1987">
        <v>73</v>
      </c>
      <c r="I1987" t="s">
        <v>61</v>
      </c>
      <c r="J1987" t="s">
        <v>24</v>
      </c>
      <c r="K1987" t="s">
        <v>31</v>
      </c>
      <c r="L1987">
        <v>158</v>
      </c>
      <c r="M1987" t="str">
        <f t="shared" ref="M1987:M2050" si="62">IF(G1987&lt;15,"Low",IF(G1987&lt;35,"Medium","High"))</f>
        <v>Low</v>
      </c>
      <c r="N1987" t="str">
        <f t="shared" ref="N1987:N2050" si="63">IF(H1987&gt;=90,"Excellent",IF(H1987&gt;=75,"Good","Average"))</f>
        <v>Average</v>
      </c>
    </row>
    <row r="1988" spans="1:14">
      <c r="A1988" t="s">
        <v>38</v>
      </c>
      <c r="B1988">
        <v>2004</v>
      </c>
      <c r="C1988" t="s">
        <v>4397</v>
      </c>
      <c r="D1988" t="s">
        <v>14</v>
      </c>
      <c r="E1988" t="s">
        <v>4398</v>
      </c>
      <c r="F1988" t="s">
        <v>57</v>
      </c>
      <c r="G1988">
        <v>11.71</v>
      </c>
      <c r="H1988">
        <v>100</v>
      </c>
      <c r="I1988" t="s">
        <v>23</v>
      </c>
      <c r="J1988" t="s">
        <v>37</v>
      </c>
      <c r="K1988" t="s">
        <v>956</v>
      </c>
      <c r="L1988">
        <v>61</v>
      </c>
      <c r="M1988" t="str">
        <f t="shared" si="62"/>
        <v>Low</v>
      </c>
      <c r="N1988" t="str">
        <f t="shared" si="63"/>
        <v>Excellent</v>
      </c>
    </row>
    <row r="1989" spans="1:14">
      <c r="A1989" t="s">
        <v>26</v>
      </c>
      <c r="B1989">
        <v>2007</v>
      </c>
      <c r="C1989" t="s">
        <v>4399</v>
      </c>
      <c r="D1989" t="s">
        <v>14</v>
      </c>
      <c r="E1989" t="s">
        <v>4400</v>
      </c>
      <c r="F1989" t="s">
        <v>46</v>
      </c>
      <c r="G1989">
        <v>35.229999999999997</v>
      </c>
      <c r="H1989">
        <v>50</v>
      </c>
      <c r="I1989" t="s">
        <v>23</v>
      </c>
      <c r="J1989" t="s">
        <v>37</v>
      </c>
      <c r="K1989" t="s">
        <v>254</v>
      </c>
      <c r="L1989">
        <v>238</v>
      </c>
      <c r="M1989" t="str">
        <f t="shared" si="62"/>
        <v>High</v>
      </c>
      <c r="N1989" t="str">
        <f t="shared" si="63"/>
        <v>Average</v>
      </c>
    </row>
    <row r="1990" spans="1:14">
      <c r="A1990" t="s">
        <v>65</v>
      </c>
      <c r="B1990">
        <v>2004</v>
      </c>
      <c r="C1990" t="s">
        <v>4401</v>
      </c>
      <c r="D1990" t="s">
        <v>14</v>
      </c>
      <c r="E1990" t="s">
        <v>4402</v>
      </c>
      <c r="F1990" t="s">
        <v>42</v>
      </c>
      <c r="G1990">
        <v>31.04</v>
      </c>
      <c r="H1990">
        <v>78</v>
      </c>
      <c r="I1990" t="s">
        <v>23</v>
      </c>
      <c r="J1990" t="s">
        <v>18</v>
      </c>
      <c r="K1990" t="s">
        <v>78</v>
      </c>
      <c r="L1990">
        <v>81</v>
      </c>
      <c r="M1990" t="str">
        <f t="shared" si="62"/>
        <v>Medium</v>
      </c>
      <c r="N1990" t="str">
        <f t="shared" si="63"/>
        <v>Good</v>
      </c>
    </row>
    <row r="1991" spans="1:14">
      <c r="A1991" t="s">
        <v>12</v>
      </c>
      <c r="B1991">
        <v>2005</v>
      </c>
      <c r="C1991" t="s">
        <v>4403</v>
      </c>
      <c r="D1991" t="s">
        <v>14</v>
      </c>
      <c r="E1991" t="s">
        <v>4404</v>
      </c>
      <c r="F1991" t="s">
        <v>46</v>
      </c>
      <c r="G1991">
        <v>2.1</v>
      </c>
      <c r="H1991">
        <v>86</v>
      </c>
      <c r="I1991" t="s">
        <v>17</v>
      </c>
      <c r="J1991" t="s">
        <v>37</v>
      </c>
      <c r="K1991" t="s">
        <v>64</v>
      </c>
      <c r="L1991">
        <v>80</v>
      </c>
      <c r="M1991" t="str">
        <f t="shared" si="62"/>
        <v>Low</v>
      </c>
      <c r="N1991" t="str">
        <f t="shared" si="63"/>
        <v>Good</v>
      </c>
    </row>
    <row r="1992" spans="1:14">
      <c r="A1992" t="s">
        <v>38</v>
      </c>
      <c r="B1992">
        <v>2017</v>
      </c>
      <c r="C1992" t="s">
        <v>4405</v>
      </c>
      <c r="D1992" t="s">
        <v>33</v>
      </c>
      <c r="E1992" t="s">
        <v>4406</v>
      </c>
      <c r="F1992" t="s">
        <v>35</v>
      </c>
      <c r="G1992">
        <v>24.63</v>
      </c>
      <c r="H1992">
        <v>87</v>
      </c>
      <c r="I1992" t="s">
        <v>29</v>
      </c>
      <c r="J1992" t="s">
        <v>37</v>
      </c>
      <c r="K1992" t="s">
        <v>4407</v>
      </c>
      <c r="L1992">
        <v>330</v>
      </c>
      <c r="M1992" t="str">
        <f t="shared" si="62"/>
        <v>Medium</v>
      </c>
      <c r="N1992" t="str">
        <f t="shared" si="63"/>
        <v>Good</v>
      </c>
    </row>
    <row r="1993" spans="1:14">
      <c r="A1993" t="s">
        <v>48</v>
      </c>
      <c r="B1993">
        <v>2019</v>
      </c>
      <c r="C1993" t="s">
        <v>4408</v>
      </c>
      <c r="D1993" t="s">
        <v>14</v>
      </c>
      <c r="E1993" t="s">
        <v>4409</v>
      </c>
      <c r="F1993" t="s">
        <v>42</v>
      </c>
      <c r="G1993">
        <v>46.2</v>
      </c>
      <c r="H1993">
        <v>94</v>
      </c>
      <c r="I1993" t="s">
        <v>36</v>
      </c>
      <c r="J1993" t="s">
        <v>18</v>
      </c>
      <c r="K1993" t="s">
        <v>1873</v>
      </c>
      <c r="L1993">
        <v>249</v>
      </c>
      <c r="M1993" t="str">
        <f t="shared" si="62"/>
        <v>High</v>
      </c>
      <c r="N1993" t="str">
        <f t="shared" si="63"/>
        <v>Excellent</v>
      </c>
    </row>
    <row r="1994" spans="1:14">
      <c r="A1994" t="s">
        <v>12</v>
      </c>
      <c r="B1994">
        <v>2009</v>
      </c>
      <c r="C1994" t="s">
        <v>4410</v>
      </c>
      <c r="D1994" t="s">
        <v>33</v>
      </c>
      <c r="E1994" t="s">
        <v>1025</v>
      </c>
      <c r="F1994" t="s">
        <v>16</v>
      </c>
      <c r="G1994">
        <v>10.18</v>
      </c>
      <c r="H1994">
        <v>79</v>
      </c>
      <c r="I1994" t="s">
        <v>61</v>
      </c>
      <c r="J1994" t="s">
        <v>37</v>
      </c>
      <c r="K1994" t="s">
        <v>4411</v>
      </c>
      <c r="L1994">
        <v>1</v>
      </c>
      <c r="M1994" t="str">
        <f t="shared" si="62"/>
        <v>Low</v>
      </c>
      <c r="N1994" t="str">
        <f t="shared" si="63"/>
        <v>Good</v>
      </c>
    </row>
    <row r="1995" spans="1:14">
      <c r="A1995" t="s">
        <v>38</v>
      </c>
      <c r="B1995">
        <v>2000</v>
      </c>
      <c r="C1995" t="s">
        <v>4412</v>
      </c>
      <c r="D1995" t="s">
        <v>33</v>
      </c>
      <c r="E1995" t="s">
        <v>4413</v>
      </c>
      <c r="F1995" t="s">
        <v>35</v>
      </c>
      <c r="G1995">
        <v>25.22</v>
      </c>
      <c r="H1995">
        <v>92</v>
      </c>
      <c r="I1995" t="s">
        <v>17</v>
      </c>
      <c r="J1995" t="s">
        <v>37</v>
      </c>
      <c r="K1995" t="s">
        <v>38</v>
      </c>
      <c r="L1995">
        <v>25</v>
      </c>
      <c r="M1995" t="str">
        <f t="shared" si="62"/>
        <v>Medium</v>
      </c>
      <c r="N1995" t="str">
        <f t="shared" si="63"/>
        <v>Excellent</v>
      </c>
    </row>
    <row r="1996" spans="1:14">
      <c r="A1996" t="s">
        <v>20</v>
      </c>
      <c r="B1996">
        <v>2023</v>
      </c>
      <c r="C1996" t="s">
        <v>4414</v>
      </c>
      <c r="D1996" t="s">
        <v>14</v>
      </c>
      <c r="E1996" t="s">
        <v>4415</v>
      </c>
      <c r="F1996" t="s">
        <v>16</v>
      </c>
      <c r="G1996">
        <v>46.08</v>
      </c>
      <c r="H1996">
        <v>60</v>
      </c>
      <c r="I1996" t="s">
        <v>36</v>
      </c>
      <c r="J1996" t="s">
        <v>18</v>
      </c>
      <c r="K1996" t="s">
        <v>4416</v>
      </c>
      <c r="L1996">
        <v>320</v>
      </c>
      <c r="M1996" t="str">
        <f t="shared" si="62"/>
        <v>High</v>
      </c>
      <c r="N1996" t="str">
        <f t="shared" si="63"/>
        <v>Average</v>
      </c>
    </row>
    <row r="1997" spans="1:14">
      <c r="A1997" t="s">
        <v>39</v>
      </c>
      <c r="B1997">
        <v>2015</v>
      </c>
      <c r="C1997" t="s">
        <v>4417</v>
      </c>
      <c r="D1997" t="s">
        <v>33</v>
      </c>
      <c r="E1997" t="s">
        <v>3611</v>
      </c>
      <c r="F1997" t="s">
        <v>46</v>
      </c>
      <c r="G1997">
        <v>25.09</v>
      </c>
      <c r="H1997">
        <v>76</v>
      </c>
      <c r="I1997" t="s">
        <v>23</v>
      </c>
      <c r="J1997" t="s">
        <v>24</v>
      </c>
      <c r="K1997" t="s">
        <v>398</v>
      </c>
      <c r="L1997">
        <v>56</v>
      </c>
      <c r="M1997" t="str">
        <f t="shared" si="62"/>
        <v>Medium</v>
      </c>
      <c r="N1997" t="str">
        <f t="shared" si="63"/>
        <v>Good</v>
      </c>
    </row>
    <row r="1998" spans="1:14">
      <c r="A1998" t="s">
        <v>68</v>
      </c>
      <c r="B1998">
        <v>2013</v>
      </c>
      <c r="C1998" t="s">
        <v>4418</v>
      </c>
      <c r="D1998" t="s">
        <v>33</v>
      </c>
      <c r="E1998" t="s">
        <v>3042</v>
      </c>
      <c r="F1998" t="s">
        <v>42</v>
      </c>
      <c r="G1998">
        <v>1.73</v>
      </c>
      <c r="H1998">
        <v>78</v>
      </c>
      <c r="I1998" t="s">
        <v>61</v>
      </c>
      <c r="J1998" t="s">
        <v>18</v>
      </c>
      <c r="K1998" t="s">
        <v>949</v>
      </c>
      <c r="L1998">
        <v>243</v>
      </c>
      <c r="M1998" t="str">
        <f t="shared" si="62"/>
        <v>Low</v>
      </c>
      <c r="N1998" t="str">
        <f t="shared" si="63"/>
        <v>Good</v>
      </c>
    </row>
    <row r="1999" spans="1:14">
      <c r="A1999" t="s">
        <v>26</v>
      </c>
      <c r="B1999">
        <v>2025</v>
      </c>
      <c r="C1999" t="s">
        <v>4419</v>
      </c>
      <c r="D1999" t="s">
        <v>14</v>
      </c>
      <c r="E1999" t="s">
        <v>4420</v>
      </c>
      <c r="F1999" t="s">
        <v>42</v>
      </c>
      <c r="G1999">
        <v>43.28</v>
      </c>
      <c r="H1999">
        <v>80</v>
      </c>
      <c r="I1999" t="s">
        <v>29</v>
      </c>
      <c r="J1999" t="s">
        <v>24</v>
      </c>
      <c r="K1999" t="s">
        <v>2299</v>
      </c>
      <c r="L1999">
        <v>240</v>
      </c>
      <c r="M1999" t="str">
        <f t="shared" si="62"/>
        <v>High</v>
      </c>
      <c r="N1999" t="str">
        <f t="shared" si="63"/>
        <v>Good</v>
      </c>
    </row>
    <row r="2000" spans="1:14">
      <c r="A2000" t="s">
        <v>48</v>
      </c>
      <c r="B2000">
        <v>2023</v>
      </c>
      <c r="C2000" t="s">
        <v>4421</v>
      </c>
      <c r="D2000" t="s">
        <v>14</v>
      </c>
      <c r="E2000" t="s">
        <v>355</v>
      </c>
      <c r="F2000" t="s">
        <v>16</v>
      </c>
      <c r="G2000">
        <v>4.67</v>
      </c>
      <c r="H2000">
        <v>57</v>
      </c>
      <c r="I2000" t="s">
        <v>17</v>
      </c>
      <c r="J2000" t="s">
        <v>24</v>
      </c>
      <c r="K2000" t="s">
        <v>1064</v>
      </c>
      <c r="L2000">
        <v>239</v>
      </c>
      <c r="M2000" t="str">
        <f t="shared" si="62"/>
        <v>Low</v>
      </c>
      <c r="N2000" t="str">
        <f t="shared" si="63"/>
        <v>Average</v>
      </c>
    </row>
    <row r="2001" spans="1:14">
      <c r="A2001" t="s">
        <v>48</v>
      </c>
      <c r="B2001">
        <v>2011</v>
      </c>
      <c r="C2001" t="s">
        <v>4422</v>
      </c>
      <c r="D2001" t="s">
        <v>14</v>
      </c>
      <c r="E2001" t="s">
        <v>4423</v>
      </c>
      <c r="F2001" t="s">
        <v>57</v>
      </c>
      <c r="G2001">
        <v>9.7200000000000006</v>
      </c>
      <c r="H2001">
        <v>84</v>
      </c>
      <c r="I2001" t="s">
        <v>36</v>
      </c>
      <c r="J2001" t="s">
        <v>18</v>
      </c>
      <c r="K2001" t="s">
        <v>68</v>
      </c>
      <c r="L2001">
        <v>212</v>
      </c>
      <c r="M2001" t="str">
        <f t="shared" si="62"/>
        <v>Low</v>
      </c>
      <c r="N2001" t="str">
        <f t="shared" si="63"/>
        <v>Good</v>
      </c>
    </row>
    <row r="2002" spans="1:14">
      <c r="A2002" t="s">
        <v>38</v>
      </c>
      <c r="B2002">
        <v>2021</v>
      </c>
      <c r="C2002" t="s">
        <v>4424</v>
      </c>
      <c r="D2002" t="s">
        <v>14</v>
      </c>
      <c r="E2002" t="s">
        <v>4425</v>
      </c>
      <c r="F2002" t="s">
        <v>42</v>
      </c>
      <c r="G2002">
        <v>9.43</v>
      </c>
      <c r="H2002">
        <v>71</v>
      </c>
      <c r="I2002" t="s">
        <v>36</v>
      </c>
      <c r="J2002" t="s">
        <v>24</v>
      </c>
      <c r="K2002" t="s">
        <v>47</v>
      </c>
      <c r="L2002">
        <v>132</v>
      </c>
      <c r="M2002" t="str">
        <f t="shared" si="62"/>
        <v>Low</v>
      </c>
      <c r="N2002" t="str">
        <f t="shared" si="63"/>
        <v>Average</v>
      </c>
    </row>
    <row r="2003" spans="1:14">
      <c r="A2003" t="s">
        <v>65</v>
      </c>
      <c r="B2003">
        <v>2020</v>
      </c>
      <c r="C2003" t="s">
        <v>4426</v>
      </c>
      <c r="D2003" t="s">
        <v>14</v>
      </c>
      <c r="E2003" t="s">
        <v>3667</v>
      </c>
      <c r="F2003" t="s">
        <v>35</v>
      </c>
      <c r="G2003">
        <v>49.5</v>
      </c>
      <c r="H2003">
        <v>93</v>
      </c>
      <c r="I2003" t="s">
        <v>36</v>
      </c>
      <c r="J2003" t="s">
        <v>18</v>
      </c>
      <c r="K2003" t="s">
        <v>31</v>
      </c>
      <c r="L2003">
        <v>197</v>
      </c>
      <c r="M2003" t="str">
        <f t="shared" si="62"/>
        <v>High</v>
      </c>
      <c r="N2003" t="str">
        <f t="shared" si="63"/>
        <v>Excellent</v>
      </c>
    </row>
    <row r="2004" spans="1:14">
      <c r="A2004" t="s">
        <v>48</v>
      </c>
      <c r="B2004">
        <v>2020</v>
      </c>
      <c r="C2004" t="s">
        <v>4427</v>
      </c>
      <c r="D2004" t="s">
        <v>33</v>
      </c>
      <c r="E2004" t="s">
        <v>4428</v>
      </c>
      <c r="F2004" t="s">
        <v>57</v>
      </c>
      <c r="G2004">
        <v>21.2</v>
      </c>
      <c r="H2004">
        <v>56</v>
      </c>
      <c r="I2004" t="s">
        <v>61</v>
      </c>
      <c r="J2004" t="s">
        <v>24</v>
      </c>
      <c r="K2004" t="s">
        <v>39</v>
      </c>
      <c r="L2004">
        <v>14</v>
      </c>
      <c r="M2004" t="str">
        <f t="shared" si="62"/>
        <v>Medium</v>
      </c>
      <c r="N2004" t="str">
        <f t="shared" si="63"/>
        <v>Average</v>
      </c>
    </row>
    <row r="2005" spans="1:14">
      <c r="A2005" t="s">
        <v>48</v>
      </c>
      <c r="B2005">
        <v>2007</v>
      </c>
      <c r="C2005" t="s">
        <v>4429</v>
      </c>
      <c r="D2005" t="s">
        <v>14</v>
      </c>
      <c r="E2005" t="s">
        <v>4430</v>
      </c>
      <c r="F2005" t="s">
        <v>42</v>
      </c>
      <c r="G2005">
        <v>3.75</v>
      </c>
      <c r="H2005">
        <v>83</v>
      </c>
      <c r="I2005" t="s">
        <v>36</v>
      </c>
      <c r="J2005" t="s">
        <v>37</v>
      </c>
      <c r="K2005" t="s">
        <v>4431</v>
      </c>
      <c r="L2005">
        <v>17</v>
      </c>
      <c r="M2005" t="str">
        <f t="shared" si="62"/>
        <v>Low</v>
      </c>
      <c r="N2005" t="str">
        <f t="shared" si="63"/>
        <v>Good</v>
      </c>
    </row>
    <row r="2006" spans="1:14">
      <c r="A2006" t="s">
        <v>31</v>
      </c>
      <c r="B2006">
        <v>2024</v>
      </c>
      <c r="C2006" t="s">
        <v>4432</v>
      </c>
      <c r="D2006" t="s">
        <v>14</v>
      </c>
      <c r="E2006" t="s">
        <v>4433</v>
      </c>
      <c r="F2006" t="s">
        <v>42</v>
      </c>
      <c r="G2006">
        <v>18.8</v>
      </c>
      <c r="H2006">
        <v>68</v>
      </c>
      <c r="I2006" t="s">
        <v>29</v>
      </c>
      <c r="J2006" t="s">
        <v>24</v>
      </c>
      <c r="K2006" t="s">
        <v>4434</v>
      </c>
      <c r="L2006">
        <v>59</v>
      </c>
      <c r="M2006" t="str">
        <f t="shared" si="62"/>
        <v>Medium</v>
      </c>
      <c r="N2006" t="str">
        <f t="shared" si="63"/>
        <v>Average</v>
      </c>
    </row>
    <row r="2007" spans="1:14">
      <c r="A2007" t="s">
        <v>68</v>
      </c>
      <c r="B2007">
        <v>2015</v>
      </c>
      <c r="C2007" t="s">
        <v>4435</v>
      </c>
      <c r="D2007" t="s">
        <v>14</v>
      </c>
      <c r="E2007" t="s">
        <v>771</v>
      </c>
      <c r="F2007" t="s">
        <v>46</v>
      </c>
      <c r="G2007">
        <v>15.27</v>
      </c>
      <c r="H2007">
        <v>70</v>
      </c>
      <c r="I2007" t="s">
        <v>36</v>
      </c>
      <c r="J2007" t="s">
        <v>24</v>
      </c>
      <c r="K2007" t="s">
        <v>4436</v>
      </c>
      <c r="L2007">
        <v>310</v>
      </c>
      <c r="M2007" t="str">
        <f t="shared" si="62"/>
        <v>Medium</v>
      </c>
      <c r="N2007" t="str">
        <f t="shared" si="63"/>
        <v>Average</v>
      </c>
    </row>
    <row r="2008" spans="1:14">
      <c r="A2008" t="s">
        <v>12</v>
      </c>
      <c r="B2008">
        <v>2019</v>
      </c>
      <c r="C2008" t="s">
        <v>4437</v>
      </c>
      <c r="D2008" t="s">
        <v>33</v>
      </c>
      <c r="E2008" t="s">
        <v>4438</v>
      </c>
      <c r="F2008" t="s">
        <v>42</v>
      </c>
      <c r="G2008">
        <v>42.33</v>
      </c>
      <c r="H2008">
        <v>53</v>
      </c>
      <c r="I2008" t="s">
        <v>17</v>
      </c>
      <c r="J2008" t="s">
        <v>37</v>
      </c>
      <c r="K2008" t="s">
        <v>39</v>
      </c>
      <c r="L2008">
        <v>180</v>
      </c>
      <c r="M2008" t="str">
        <f t="shared" si="62"/>
        <v>High</v>
      </c>
      <c r="N2008" t="str">
        <f t="shared" si="63"/>
        <v>Average</v>
      </c>
    </row>
    <row r="2009" spans="1:14">
      <c r="A2009" t="s">
        <v>31</v>
      </c>
      <c r="B2009">
        <v>2018</v>
      </c>
      <c r="C2009" t="s">
        <v>4439</v>
      </c>
      <c r="D2009" t="s">
        <v>33</v>
      </c>
      <c r="E2009" t="s">
        <v>1759</v>
      </c>
      <c r="F2009" t="s">
        <v>35</v>
      </c>
      <c r="G2009">
        <v>34.979999999999997</v>
      </c>
      <c r="H2009">
        <v>59</v>
      </c>
      <c r="I2009" t="s">
        <v>17</v>
      </c>
      <c r="J2009" t="s">
        <v>37</v>
      </c>
      <c r="K2009" t="s">
        <v>986</v>
      </c>
      <c r="L2009">
        <v>22</v>
      </c>
      <c r="M2009" t="str">
        <f t="shared" si="62"/>
        <v>Medium</v>
      </c>
      <c r="N2009" t="str">
        <f t="shared" si="63"/>
        <v>Average</v>
      </c>
    </row>
    <row r="2010" spans="1:14">
      <c r="A2010" t="s">
        <v>31</v>
      </c>
      <c r="B2010">
        <v>2011</v>
      </c>
      <c r="C2010" t="s">
        <v>4440</v>
      </c>
      <c r="D2010" t="s">
        <v>33</v>
      </c>
      <c r="E2010" t="s">
        <v>4441</v>
      </c>
      <c r="F2010" t="s">
        <v>16</v>
      </c>
      <c r="G2010">
        <v>7.34</v>
      </c>
      <c r="H2010">
        <v>96</v>
      </c>
      <c r="I2010" t="s">
        <v>23</v>
      </c>
      <c r="J2010" t="s">
        <v>24</v>
      </c>
      <c r="K2010" t="s">
        <v>4442</v>
      </c>
      <c r="L2010">
        <v>44</v>
      </c>
      <c r="M2010" t="str">
        <f t="shared" si="62"/>
        <v>Low</v>
      </c>
      <c r="N2010" t="str">
        <f t="shared" si="63"/>
        <v>Excellent</v>
      </c>
    </row>
    <row r="2011" spans="1:14">
      <c r="A2011" t="s">
        <v>39</v>
      </c>
      <c r="B2011">
        <v>2016</v>
      </c>
      <c r="C2011" t="s">
        <v>4443</v>
      </c>
      <c r="D2011" t="s">
        <v>33</v>
      </c>
      <c r="E2011" t="s">
        <v>4444</v>
      </c>
      <c r="F2011" t="s">
        <v>46</v>
      </c>
      <c r="G2011">
        <v>42.6</v>
      </c>
      <c r="H2011">
        <v>81</v>
      </c>
      <c r="I2011" t="s">
        <v>29</v>
      </c>
      <c r="J2011" t="s">
        <v>37</v>
      </c>
      <c r="K2011" t="s">
        <v>47</v>
      </c>
      <c r="L2011">
        <v>304</v>
      </c>
      <c r="M2011" t="str">
        <f t="shared" si="62"/>
        <v>High</v>
      </c>
      <c r="N2011" t="str">
        <f t="shared" si="63"/>
        <v>Good</v>
      </c>
    </row>
    <row r="2012" spans="1:14">
      <c r="A2012" t="s">
        <v>31</v>
      </c>
      <c r="B2012">
        <v>2004</v>
      </c>
      <c r="C2012" t="s">
        <v>4445</v>
      </c>
      <c r="D2012" t="s">
        <v>14</v>
      </c>
      <c r="E2012" t="s">
        <v>4446</v>
      </c>
      <c r="F2012" t="s">
        <v>16</v>
      </c>
      <c r="G2012">
        <v>24.05</v>
      </c>
      <c r="H2012">
        <v>100</v>
      </c>
      <c r="I2012" t="s">
        <v>17</v>
      </c>
      <c r="J2012" t="s">
        <v>37</v>
      </c>
      <c r="K2012" t="s">
        <v>65</v>
      </c>
      <c r="L2012">
        <v>311</v>
      </c>
      <c r="M2012" t="str">
        <f t="shared" si="62"/>
        <v>Medium</v>
      </c>
      <c r="N2012" t="str">
        <f t="shared" si="63"/>
        <v>Excellent</v>
      </c>
    </row>
    <row r="2013" spans="1:14">
      <c r="A2013" t="s">
        <v>47</v>
      </c>
      <c r="B2013">
        <v>2013</v>
      </c>
      <c r="C2013" t="s">
        <v>4447</v>
      </c>
      <c r="D2013" t="s">
        <v>33</v>
      </c>
      <c r="E2013" t="s">
        <v>4448</v>
      </c>
      <c r="F2013" t="s">
        <v>35</v>
      </c>
      <c r="G2013">
        <v>45.1</v>
      </c>
      <c r="H2013">
        <v>81</v>
      </c>
      <c r="I2013" t="s">
        <v>23</v>
      </c>
      <c r="J2013" t="s">
        <v>18</v>
      </c>
      <c r="K2013" t="s">
        <v>1377</v>
      </c>
      <c r="L2013">
        <v>355</v>
      </c>
      <c r="M2013" t="str">
        <f t="shared" si="62"/>
        <v>High</v>
      </c>
      <c r="N2013" t="str">
        <f t="shared" si="63"/>
        <v>Good</v>
      </c>
    </row>
    <row r="2014" spans="1:14">
      <c r="A2014" t="s">
        <v>39</v>
      </c>
      <c r="B2014">
        <v>2013</v>
      </c>
      <c r="C2014" t="s">
        <v>4449</v>
      </c>
      <c r="D2014" t="s">
        <v>14</v>
      </c>
      <c r="E2014" t="s">
        <v>4450</v>
      </c>
      <c r="F2014" t="s">
        <v>16</v>
      </c>
      <c r="G2014">
        <v>19.78</v>
      </c>
      <c r="H2014">
        <v>96</v>
      </c>
      <c r="I2014" t="s">
        <v>36</v>
      </c>
      <c r="J2014" t="s">
        <v>18</v>
      </c>
      <c r="K2014" t="s">
        <v>493</v>
      </c>
      <c r="L2014">
        <v>308</v>
      </c>
      <c r="M2014" t="str">
        <f t="shared" si="62"/>
        <v>Medium</v>
      </c>
      <c r="N2014" t="str">
        <f t="shared" si="63"/>
        <v>Excellent</v>
      </c>
    </row>
    <row r="2015" spans="1:14">
      <c r="A2015" t="s">
        <v>48</v>
      </c>
      <c r="B2015">
        <v>2012</v>
      </c>
      <c r="C2015" t="s">
        <v>4451</v>
      </c>
      <c r="D2015" t="s">
        <v>14</v>
      </c>
      <c r="E2015" t="s">
        <v>4452</v>
      </c>
      <c r="F2015" t="s">
        <v>16</v>
      </c>
      <c r="G2015">
        <v>17.329999999999998</v>
      </c>
      <c r="H2015">
        <v>68</v>
      </c>
      <c r="I2015" t="s">
        <v>23</v>
      </c>
      <c r="J2015" t="s">
        <v>18</v>
      </c>
      <c r="K2015" t="s">
        <v>254</v>
      </c>
      <c r="L2015">
        <v>323</v>
      </c>
      <c r="M2015" t="str">
        <f t="shared" si="62"/>
        <v>Medium</v>
      </c>
      <c r="N2015" t="str">
        <f t="shared" si="63"/>
        <v>Average</v>
      </c>
    </row>
    <row r="2016" spans="1:14">
      <c r="A2016" t="s">
        <v>68</v>
      </c>
      <c r="B2016">
        <v>2014</v>
      </c>
      <c r="C2016" t="s">
        <v>4453</v>
      </c>
      <c r="D2016" t="s">
        <v>33</v>
      </c>
      <c r="E2016" t="s">
        <v>4454</v>
      </c>
      <c r="F2016" t="s">
        <v>16</v>
      </c>
      <c r="G2016">
        <v>38.94</v>
      </c>
      <c r="H2016">
        <v>63</v>
      </c>
      <c r="I2016" t="s">
        <v>17</v>
      </c>
      <c r="J2016" t="s">
        <v>24</v>
      </c>
      <c r="K2016" t="s">
        <v>4455</v>
      </c>
      <c r="L2016">
        <v>76</v>
      </c>
      <c r="M2016" t="str">
        <f t="shared" si="62"/>
        <v>High</v>
      </c>
      <c r="N2016" t="str">
        <f t="shared" si="63"/>
        <v>Average</v>
      </c>
    </row>
    <row r="2017" spans="1:14">
      <c r="A2017" t="s">
        <v>65</v>
      </c>
      <c r="B2017">
        <v>2006</v>
      </c>
      <c r="C2017" t="s">
        <v>4456</v>
      </c>
      <c r="D2017" t="s">
        <v>33</v>
      </c>
      <c r="E2017" t="s">
        <v>4457</v>
      </c>
      <c r="F2017" t="s">
        <v>46</v>
      </c>
      <c r="G2017">
        <v>18.03</v>
      </c>
      <c r="H2017">
        <v>81</v>
      </c>
      <c r="I2017" t="s">
        <v>17</v>
      </c>
      <c r="J2017" t="s">
        <v>37</v>
      </c>
      <c r="K2017" t="s">
        <v>12</v>
      </c>
      <c r="L2017">
        <v>188</v>
      </c>
      <c r="M2017" t="str">
        <f t="shared" si="62"/>
        <v>Medium</v>
      </c>
      <c r="N2017" t="str">
        <f t="shared" si="63"/>
        <v>Good</v>
      </c>
    </row>
    <row r="2018" spans="1:14">
      <c r="A2018" t="s">
        <v>26</v>
      </c>
      <c r="B2018">
        <v>2003</v>
      </c>
      <c r="C2018" t="s">
        <v>4458</v>
      </c>
      <c r="D2018" t="s">
        <v>14</v>
      </c>
      <c r="E2018" t="s">
        <v>4459</v>
      </c>
      <c r="F2018" t="s">
        <v>35</v>
      </c>
      <c r="G2018">
        <v>16.98</v>
      </c>
      <c r="H2018">
        <v>72</v>
      </c>
      <c r="I2018" t="s">
        <v>61</v>
      </c>
      <c r="J2018" t="s">
        <v>37</v>
      </c>
      <c r="K2018" t="s">
        <v>47</v>
      </c>
      <c r="L2018">
        <v>237</v>
      </c>
      <c r="M2018" t="str">
        <f t="shared" si="62"/>
        <v>Medium</v>
      </c>
      <c r="N2018" t="str">
        <f t="shared" si="63"/>
        <v>Average</v>
      </c>
    </row>
    <row r="2019" spans="1:14">
      <c r="A2019" t="s">
        <v>26</v>
      </c>
      <c r="B2019">
        <v>2005</v>
      </c>
      <c r="C2019" t="s">
        <v>4460</v>
      </c>
      <c r="D2019" t="s">
        <v>14</v>
      </c>
      <c r="E2019" t="s">
        <v>4461</v>
      </c>
      <c r="F2019" t="s">
        <v>16</v>
      </c>
      <c r="G2019">
        <v>12.94</v>
      </c>
      <c r="H2019">
        <v>83</v>
      </c>
      <c r="I2019" t="s">
        <v>29</v>
      </c>
      <c r="J2019" t="s">
        <v>24</v>
      </c>
      <c r="K2019" t="s">
        <v>615</v>
      </c>
      <c r="L2019">
        <v>249</v>
      </c>
      <c r="M2019" t="str">
        <f t="shared" si="62"/>
        <v>Low</v>
      </c>
      <c r="N2019" t="str">
        <f t="shared" si="63"/>
        <v>Good</v>
      </c>
    </row>
    <row r="2020" spans="1:14">
      <c r="A2020" t="s">
        <v>20</v>
      </c>
      <c r="B2020">
        <v>2013</v>
      </c>
      <c r="C2020" t="s">
        <v>4462</v>
      </c>
      <c r="D2020" t="s">
        <v>33</v>
      </c>
      <c r="E2020" t="s">
        <v>4463</v>
      </c>
      <c r="F2020" t="s">
        <v>46</v>
      </c>
      <c r="G2020">
        <v>45.63</v>
      </c>
      <c r="H2020">
        <v>91</v>
      </c>
      <c r="I2020" t="s">
        <v>61</v>
      </c>
      <c r="J2020" t="s">
        <v>18</v>
      </c>
      <c r="K2020" t="s">
        <v>84</v>
      </c>
      <c r="L2020">
        <v>205</v>
      </c>
      <c r="M2020" t="str">
        <f t="shared" si="62"/>
        <v>High</v>
      </c>
      <c r="N2020" t="str">
        <f t="shared" si="63"/>
        <v>Excellent</v>
      </c>
    </row>
    <row r="2021" spans="1:14">
      <c r="A2021" t="s">
        <v>48</v>
      </c>
      <c r="B2021">
        <v>2021</v>
      </c>
      <c r="C2021" t="s">
        <v>4464</v>
      </c>
      <c r="D2021" t="s">
        <v>33</v>
      </c>
      <c r="E2021" t="s">
        <v>4465</v>
      </c>
      <c r="F2021" t="s">
        <v>57</v>
      </c>
      <c r="G2021">
        <v>24.42</v>
      </c>
      <c r="H2021">
        <v>61</v>
      </c>
      <c r="I2021" t="s">
        <v>23</v>
      </c>
      <c r="J2021" t="s">
        <v>24</v>
      </c>
      <c r="K2021" t="s">
        <v>20</v>
      </c>
      <c r="L2021">
        <v>288</v>
      </c>
      <c r="M2021" t="str">
        <f t="shared" si="62"/>
        <v>Medium</v>
      </c>
      <c r="N2021" t="str">
        <f t="shared" si="63"/>
        <v>Average</v>
      </c>
    </row>
    <row r="2022" spans="1:14">
      <c r="A2022" t="s">
        <v>65</v>
      </c>
      <c r="B2022">
        <v>2009</v>
      </c>
      <c r="C2022" t="s">
        <v>4466</v>
      </c>
      <c r="D2022" t="s">
        <v>14</v>
      </c>
      <c r="E2022" t="s">
        <v>564</v>
      </c>
      <c r="F2022" t="s">
        <v>35</v>
      </c>
      <c r="G2022">
        <v>4.0199999999999996</v>
      </c>
      <c r="H2022">
        <v>98</v>
      </c>
      <c r="I2022" t="s">
        <v>61</v>
      </c>
      <c r="J2022" t="s">
        <v>37</v>
      </c>
      <c r="K2022" t="s">
        <v>12</v>
      </c>
      <c r="L2022">
        <v>236</v>
      </c>
      <c r="M2022" t="str">
        <f t="shared" si="62"/>
        <v>Low</v>
      </c>
      <c r="N2022" t="str">
        <f t="shared" si="63"/>
        <v>Excellent</v>
      </c>
    </row>
    <row r="2023" spans="1:14">
      <c r="A2023" t="s">
        <v>31</v>
      </c>
      <c r="B2023">
        <v>2014</v>
      </c>
      <c r="C2023" t="s">
        <v>4467</v>
      </c>
      <c r="D2023" t="s">
        <v>33</v>
      </c>
      <c r="E2023" t="s">
        <v>4258</v>
      </c>
      <c r="F2023" t="s">
        <v>46</v>
      </c>
      <c r="G2023">
        <v>49.1</v>
      </c>
      <c r="H2023">
        <v>57</v>
      </c>
      <c r="I2023" t="s">
        <v>36</v>
      </c>
      <c r="J2023" t="s">
        <v>37</v>
      </c>
      <c r="K2023" t="s">
        <v>39</v>
      </c>
      <c r="L2023">
        <v>330</v>
      </c>
      <c r="M2023" t="str">
        <f t="shared" si="62"/>
        <v>High</v>
      </c>
      <c r="N2023" t="str">
        <f t="shared" si="63"/>
        <v>Average</v>
      </c>
    </row>
    <row r="2024" spans="1:14">
      <c r="A2024" t="s">
        <v>47</v>
      </c>
      <c r="B2024">
        <v>2003</v>
      </c>
      <c r="C2024" t="s">
        <v>4468</v>
      </c>
      <c r="D2024" t="s">
        <v>14</v>
      </c>
      <c r="E2024" t="s">
        <v>4469</v>
      </c>
      <c r="F2024" t="s">
        <v>35</v>
      </c>
      <c r="G2024">
        <v>44.64</v>
      </c>
      <c r="H2024">
        <v>100</v>
      </c>
      <c r="I2024" t="s">
        <v>17</v>
      </c>
      <c r="J2024" t="s">
        <v>24</v>
      </c>
      <c r="K2024" t="s">
        <v>1809</v>
      </c>
      <c r="L2024">
        <v>305</v>
      </c>
      <c r="M2024" t="str">
        <f t="shared" si="62"/>
        <v>High</v>
      </c>
      <c r="N2024" t="str">
        <f t="shared" si="63"/>
        <v>Excellent</v>
      </c>
    </row>
    <row r="2025" spans="1:14">
      <c r="A2025" t="s">
        <v>65</v>
      </c>
      <c r="B2025">
        <v>2017</v>
      </c>
      <c r="C2025" t="s">
        <v>4470</v>
      </c>
      <c r="D2025" t="s">
        <v>14</v>
      </c>
      <c r="E2025" t="s">
        <v>4471</v>
      </c>
      <c r="F2025" t="s">
        <v>57</v>
      </c>
      <c r="G2025">
        <v>45.65</v>
      </c>
      <c r="H2025">
        <v>97</v>
      </c>
      <c r="I2025" t="s">
        <v>23</v>
      </c>
      <c r="J2025" t="s">
        <v>24</v>
      </c>
      <c r="K2025" t="s">
        <v>97</v>
      </c>
      <c r="L2025">
        <v>121</v>
      </c>
      <c r="M2025" t="str">
        <f t="shared" si="62"/>
        <v>High</v>
      </c>
      <c r="N2025" t="str">
        <f t="shared" si="63"/>
        <v>Excellent</v>
      </c>
    </row>
    <row r="2026" spans="1:14">
      <c r="A2026" t="s">
        <v>68</v>
      </c>
      <c r="B2026">
        <v>2023</v>
      </c>
      <c r="C2026" t="s">
        <v>4472</v>
      </c>
      <c r="D2026" t="s">
        <v>33</v>
      </c>
      <c r="E2026" t="s">
        <v>4473</v>
      </c>
      <c r="F2026" t="s">
        <v>46</v>
      </c>
      <c r="G2026">
        <v>11.82</v>
      </c>
      <c r="H2026">
        <v>54</v>
      </c>
      <c r="I2026" t="s">
        <v>61</v>
      </c>
      <c r="J2026" t="s">
        <v>24</v>
      </c>
      <c r="K2026" t="s">
        <v>12</v>
      </c>
      <c r="L2026">
        <v>364</v>
      </c>
      <c r="M2026" t="str">
        <f t="shared" si="62"/>
        <v>Low</v>
      </c>
      <c r="N2026" t="str">
        <f t="shared" si="63"/>
        <v>Average</v>
      </c>
    </row>
    <row r="2027" spans="1:14">
      <c r="A2027" t="s">
        <v>39</v>
      </c>
      <c r="B2027">
        <v>2011</v>
      </c>
      <c r="C2027" t="s">
        <v>4474</v>
      </c>
      <c r="D2027" t="s">
        <v>14</v>
      </c>
      <c r="E2027" t="s">
        <v>4475</v>
      </c>
      <c r="F2027" t="s">
        <v>57</v>
      </c>
      <c r="G2027">
        <v>21.67</v>
      </c>
      <c r="H2027">
        <v>94</v>
      </c>
      <c r="I2027" t="s">
        <v>29</v>
      </c>
      <c r="J2027" t="s">
        <v>18</v>
      </c>
      <c r="K2027" t="s">
        <v>4476</v>
      </c>
      <c r="L2027">
        <v>311</v>
      </c>
      <c r="M2027" t="str">
        <f t="shared" si="62"/>
        <v>Medium</v>
      </c>
      <c r="N2027" t="str">
        <f t="shared" si="63"/>
        <v>Excellent</v>
      </c>
    </row>
    <row r="2028" spans="1:14">
      <c r="A2028" t="s">
        <v>38</v>
      </c>
      <c r="B2028">
        <v>2022</v>
      </c>
      <c r="C2028" t="s">
        <v>4477</v>
      </c>
      <c r="D2028" t="s">
        <v>33</v>
      </c>
      <c r="E2028" t="s">
        <v>4478</v>
      </c>
      <c r="F2028" t="s">
        <v>57</v>
      </c>
      <c r="G2028">
        <v>47.53</v>
      </c>
      <c r="H2028">
        <v>71</v>
      </c>
      <c r="I2028" t="s">
        <v>23</v>
      </c>
      <c r="J2028" t="s">
        <v>24</v>
      </c>
      <c r="K2028" t="s">
        <v>912</v>
      </c>
      <c r="L2028">
        <v>345</v>
      </c>
      <c r="M2028" t="str">
        <f t="shared" si="62"/>
        <v>High</v>
      </c>
      <c r="N2028" t="str">
        <f t="shared" si="63"/>
        <v>Average</v>
      </c>
    </row>
    <row r="2029" spans="1:14">
      <c r="A2029" t="s">
        <v>65</v>
      </c>
      <c r="B2029">
        <v>2000</v>
      </c>
      <c r="C2029" t="s">
        <v>4479</v>
      </c>
      <c r="D2029" t="s">
        <v>14</v>
      </c>
      <c r="E2029" t="s">
        <v>4480</v>
      </c>
      <c r="F2029" t="s">
        <v>46</v>
      </c>
      <c r="G2029">
        <v>10.99</v>
      </c>
      <c r="H2029">
        <v>68</v>
      </c>
      <c r="I2029" t="s">
        <v>61</v>
      </c>
      <c r="J2029" t="s">
        <v>37</v>
      </c>
      <c r="K2029" t="s">
        <v>4481</v>
      </c>
      <c r="L2029">
        <v>84</v>
      </c>
      <c r="M2029" t="str">
        <f t="shared" si="62"/>
        <v>Low</v>
      </c>
      <c r="N2029" t="str">
        <f t="shared" si="63"/>
        <v>Average</v>
      </c>
    </row>
    <row r="2030" spans="1:14">
      <c r="A2030" t="s">
        <v>26</v>
      </c>
      <c r="B2030">
        <v>2023</v>
      </c>
      <c r="C2030" t="s">
        <v>4482</v>
      </c>
      <c r="D2030" t="s">
        <v>33</v>
      </c>
      <c r="E2030" t="s">
        <v>4483</v>
      </c>
      <c r="F2030" t="s">
        <v>46</v>
      </c>
      <c r="G2030">
        <v>16.260000000000002</v>
      </c>
      <c r="H2030">
        <v>71</v>
      </c>
      <c r="I2030" t="s">
        <v>23</v>
      </c>
      <c r="J2030" t="s">
        <v>37</v>
      </c>
      <c r="K2030" t="s">
        <v>279</v>
      </c>
      <c r="L2030">
        <v>167</v>
      </c>
      <c r="M2030" t="str">
        <f t="shared" si="62"/>
        <v>Medium</v>
      </c>
      <c r="N2030" t="str">
        <f t="shared" si="63"/>
        <v>Average</v>
      </c>
    </row>
    <row r="2031" spans="1:14">
      <c r="A2031" t="s">
        <v>12</v>
      </c>
      <c r="B2031">
        <v>2019</v>
      </c>
      <c r="C2031" t="s">
        <v>4484</v>
      </c>
      <c r="D2031" t="s">
        <v>14</v>
      </c>
      <c r="E2031" t="s">
        <v>4485</v>
      </c>
      <c r="F2031" t="s">
        <v>46</v>
      </c>
      <c r="G2031">
        <v>7.5</v>
      </c>
      <c r="H2031">
        <v>99</v>
      </c>
      <c r="I2031" t="s">
        <v>17</v>
      </c>
      <c r="J2031" t="s">
        <v>24</v>
      </c>
      <c r="K2031" t="s">
        <v>1032</v>
      </c>
      <c r="L2031">
        <v>130</v>
      </c>
      <c r="M2031" t="str">
        <f t="shared" si="62"/>
        <v>Low</v>
      </c>
      <c r="N2031" t="str">
        <f t="shared" si="63"/>
        <v>Excellent</v>
      </c>
    </row>
    <row r="2032" spans="1:14">
      <c r="A2032" t="s">
        <v>38</v>
      </c>
      <c r="B2032">
        <v>2006</v>
      </c>
      <c r="C2032" t="s">
        <v>4486</v>
      </c>
      <c r="D2032" t="s">
        <v>33</v>
      </c>
      <c r="E2032" t="s">
        <v>4487</v>
      </c>
      <c r="F2032" t="s">
        <v>42</v>
      </c>
      <c r="G2032">
        <v>5.93</v>
      </c>
      <c r="H2032">
        <v>58</v>
      </c>
      <c r="I2032" t="s">
        <v>29</v>
      </c>
      <c r="J2032" t="s">
        <v>37</v>
      </c>
      <c r="K2032" t="s">
        <v>4488</v>
      </c>
      <c r="L2032">
        <v>111</v>
      </c>
      <c r="M2032" t="str">
        <f t="shared" si="62"/>
        <v>Low</v>
      </c>
      <c r="N2032" t="str">
        <f t="shared" si="63"/>
        <v>Average</v>
      </c>
    </row>
    <row r="2033" spans="1:14">
      <c r="A2033" t="s">
        <v>31</v>
      </c>
      <c r="B2033">
        <v>2025</v>
      </c>
      <c r="C2033" t="s">
        <v>4489</v>
      </c>
      <c r="D2033" t="s">
        <v>33</v>
      </c>
      <c r="E2033" t="s">
        <v>4490</v>
      </c>
      <c r="F2033" t="s">
        <v>42</v>
      </c>
      <c r="G2033">
        <v>16.510000000000002</v>
      </c>
      <c r="H2033">
        <v>69</v>
      </c>
      <c r="I2033" t="s">
        <v>23</v>
      </c>
      <c r="J2033" t="s">
        <v>18</v>
      </c>
      <c r="K2033" t="s">
        <v>2110</v>
      </c>
      <c r="L2033">
        <v>347</v>
      </c>
      <c r="M2033" t="str">
        <f t="shared" si="62"/>
        <v>Medium</v>
      </c>
      <c r="N2033" t="str">
        <f t="shared" si="63"/>
        <v>Average</v>
      </c>
    </row>
    <row r="2034" spans="1:14">
      <c r="A2034" t="s">
        <v>39</v>
      </c>
      <c r="B2034">
        <v>2010</v>
      </c>
      <c r="C2034" t="s">
        <v>4491</v>
      </c>
      <c r="D2034" t="s">
        <v>14</v>
      </c>
      <c r="E2034" t="s">
        <v>4492</v>
      </c>
      <c r="F2034" t="s">
        <v>57</v>
      </c>
      <c r="G2034">
        <v>37.71</v>
      </c>
      <c r="H2034">
        <v>61</v>
      </c>
      <c r="I2034" t="s">
        <v>36</v>
      </c>
      <c r="J2034" t="s">
        <v>18</v>
      </c>
      <c r="K2034" t="s">
        <v>1377</v>
      </c>
      <c r="L2034">
        <v>45</v>
      </c>
      <c r="M2034" t="str">
        <f t="shared" si="62"/>
        <v>High</v>
      </c>
      <c r="N2034" t="str">
        <f t="shared" si="63"/>
        <v>Average</v>
      </c>
    </row>
    <row r="2035" spans="1:14">
      <c r="A2035" t="s">
        <v>47</v>
      </c>
      <c r="B2035">
        <v>2019</v>
      </c>
      <c r="C2035" t="s">
        <v>4493</v>
      </c>
      <c r="D2035" t="s">
        <v>14</v>
      </c>
      <c r="E2035" t="s">
        <v>4494</v>
      </c>
      <c r="F2035" t="s">
        <v>16</v>
      </c>
      <c r="G2035">
        <v>5.56</v>
      </c>
      <c r="H2035">
        <v>54</v>
      </c>
      <c r="I2035" t="s">
        <v>61</v>
      </c>
      <c r="J2035" t="s">
        <v>24</v>
      </c>
      <c r="K2035" t="s">
        <v>4455</v>
      </c>
      <c r="L2035">
        <v>343</v>
      </c>
      <c r="M2035" t="str">
        <f t="shared" si="62"/>
        <v>Low</v>
      </c>
      <c r="N2035" t="str">
        <f t="shared" si="63"/>
        <v>Average</v>
      </c>
    </row>
    <row r="2036" spans="1:14">
      <c r="A2036" t="s">
        <v>12</v>
      </c>
      <c r="B2036">
        <v>2002</v>
      </c>
      <c r="C2036" t="s">
        <v>4495</v>
      </c>
      <c r="D2036" t="s">
        <v>33</v>
      </c>
      <c r="E2036" t="s">
        <v>4496</v>
      </c>
      <c r="F2036" t="s">
        <v>42</v>
      </c>
      <c r="G2036">
        <v>45.58</v>
      </c>
      <c r="H2036">
        <v>67</v>
      </c>
      <c r="I2036" t="s">
        <v>23</v>
      </c>
      <c r="J2036" t="s">
        <v>37</v>
      </c>
      <c r="K2036" t="s">
        <v>54</v>
      </c>
      <c r="L2036">
        <v>262</v>
      </c>
      <c r="M2036" t="str">
        <f t="shared" si="62"/>
        <v>High</v>
      </c>
      <c r="N2036" t="str">
        <f t="shared" si="63"/>
        <v>Average</v>
      </c>
    </row>
    <row r="2037" spans="1:14">
      <c r="A2037" t="s">
        <v>38</v>
      </c>
      <c r="B2037">
        <v>2010</v>
      </c>
      <c r="C2037" t="s">
        <v>4497</v>
      </c>
      <c r="D2037" t="s">
        <v>14</v>
      </c>
      <c r="E2037" t="s">
        <v>4498</v>
      </c>
      <c r="F2037" t="s">
        <v>35</v>
      </c>
      <c r="G2037">
        <v>14.86</v>
      </c>
      <c r="H2037">
        <v>70</v>
      </c>
      <c r="I2037" t="s">
        <v>17</v>
      </c>
      <c r="J2037" t="s">
        <v>24</v>
      </c>
      <c r="K2037" t="s">
        <v>39</v>
      </c>
      <c r="L2037">
        <v>365</v>
      </c>
      <c r="M2037" t="str">
        <f t="shared" si="62"/>
        <v>Low</v>
      </c>
      <c r="N2037" t="str">
        <f t="shared" si="63"/>
        <v>Average</v>
      </c>
    </row>
    <row r="2038" spans="1:14">
      <c r="A2038" t="s">
        <v>65</v>
      </c>
      <c r="B2038">
        <v>2015</v>
      </c>
      <c r="C2038" t="s">
        <v>4499</v>
      </c>
      <c r="D2038" t="s">
        <v>33</v>
      </c>
      <c r="E2038" t="s">
        <v>4500</v>
      </c>
      <c r="F2038" t="s">
        <v>42</v>
      </c>
      <c r="G2038">
        <v>45.47</v>
      </c>
      <c r="H2038">
        <v>58</v>
      </c>
      <c r="I2038" t="s">
        <v>61</v>
      </c>
      <c r="J2038" t="s">
        <v>18</v>
      </c>
      <c r="K2038" t="s">
        <v>1189</v>
      </c>
      <c r="L2038">
        <v>274</v>
      </c>
      <c r="M2038" t="str">
        <f t="shared" si="62"/>
        <v>High</v>
      </c>
      <c r="N2038" t="str">
        <f t="shared" si="63"/>
        <v>Average</v>
      </c>
    </row>
    <row r="2039" spans="1:14">
      <c r="A2039" t="s">
        <v>12</v>
      </c>
      <c r="B2039">
        <v>2012</v>
      </c>
      <c r="C2039" t="s">
        <v>4501</v>
      </c>
      <c r="D2039" t="s">
        <v>14</v>
      </c>
      <c r="E2039" t="s">
        <v>4502</v>
      </c>
      <c r="F2039" t="s">
        <v>57</v>
      </c>
      <c r="G2039">
        <v>44.64</v>
      </c>
      <c r="H2039">
        <v>95</v>
      </c>
      <c r="I2039" t="s">
        <v>23</v>
      </c>
      <c r="J2039" t="s">
        <v>37</v>
      </c>
      <c r="K2039" t="s">
        <v>1159</v>
      </c>
      <c r="L2039">
        <v>221</v>
      </c>
      <c r="M2039" t="str">
        <f t="shared" si="62"/>
        <v>High</v>
      </c>
      <c r="N2039" t="str">
        <f t="shared" si="63"/>
        <v>Excellent</v>
      </c>
    </row>
    <row r="2040" spans="1:14">
      <c r="A2040" t="s">
        <v>47</v>
      </c>
      <c r="B2040">
        <v>2012</v>
      </c>
      <c r="C2040" t="s">
        <v>4503</v>
      </c>
      <c r="D2040" t="s">
        <v>14</v>
      </c>
      <c r="E2040" t="s">
        <v>4504</v>
      </c>
      <c r="F2040" t="s">
        <v>57</v>
      </c>
      <c r="G2040">
        <v>25.79</v>
      </c>
      <c r="H2040">
        <v>91</v>
      </c>
      <c r="I2040" t="s">
        <v>17</v>
      </c>
      <c r="J2040" t="s">
        <v>24</v>
      </c>
      <c r="K2040" t="s">
        <v>173</v>
      </c>
      <c r="L2040">
        <v>251</v>
      </c>
      <c r="M2040" t="str">
        <f t="shared" si="62"/>
        <v>Medium</v>
      </c>
      <c r="N2040" t="str">
        <f t="shared" si="63"/>
        <v>Excellent</v>
      </c>
    </row>
    <row r="2041" spans="1:14">
      <c r="A2041" t="s">
        <v>12</v>
      </c>
      <c r="B2041">
        <v>2016</v>
      </c>
      <c r="C2041" t="s">
        <v>4505</v>
      </c>
      <c r="D2041" t="s">
        <v>14</v>
      </c>
      <c r="E2041" t="s">
        <v>4506</v>
      </c>
      <c r="F2041" t="s">
        <v>42</v>
      </c>
      <c r="G2041">
        <v>31.97</v>
      </c>
      <c r="H2041">
        <v>69</v>
      </c>
      <c r="I2041" t="s">
        <v>36</v>
      </c>
      <c r="J2041" t="s">
        <v>18</v>
      </c>
      <c r="K2041" t="s">
        <v>831</v>
      </c>
      <c r="L2041">
        <v>206</v>
      </c>
      <c r="M2041" t="str">
        <f t="shared" si="62"/>
        <v>Medium</v>
      </c>
      <c r="N2041" t="str">
        <f t="shared" si="63"/>
        <v>Average</v>
      </c>
    </row>
    <row r="2042" spans="1:14">
      <c r="A2042" t="s">
        <v>65</v>
      </c>
      <c r="B2042">
        <v>2013</v>
      </c>
      <c r="C2042" t="s">
        <v>4507</v>
      </c>
      <c r="D2042" t="s">
        <v>33</v>
      </c>
      <c r="E2042" t="s">
        <v>4508</v>
      </c>
      <c r="F2042" t="s">
        <v>46</v>
      </c>
      <c r="G2042">
        <v>23.78</v>
      </c>
      <c r="H2042">
        <v>54</v>
      </c>
      <c r="I2042" t="s">
        <v>36</v>
      </c>
      <c r="J2042" t="s">
        <v>18</v>
      </c>
      <c r="K2042" t="s">
        <v>20</v>
      </c>
      <c r="L2042">
        <v>59</v>
      </c>
      <c r="M2042" t="str">
        <f t="shared" si="62"/>
        <v>Medium</v>
      </c>
      <c r="N2042" t="str">
        <f t="shared" si="63"/>
        <v>Average</v>
      </c>
    </row>
    <row r="2043" spans="1:14">
      <c r="A2043" t="s">
        <v>48</v>
      </c>
      <c r="B2043">
        <v>2008</v>
      </c>
      <c r="C2043" t="s">
        <v>4509</v>
      </c>
      <c r="D2043" t="s">
        <v>33</v>
      </c>
      <c r="E2043" t="s">
        <v>4510</v>
      </c>
      <c r="F2043" t="s">
        <v>46</v>
      </c>
      <c r="G2043">
        <v>30.96</v>
      </c>
      <c r="H2043">
        <v>76</v>
      </c>
      <c r="I2043" t="s">
        <v>61</v>
      </c>
      <c r="J2043" t="s">
        <v>24</v>
      </c>
      <c r="K2043" t="s">
        <v>20</v>
      </c>
      <c r="L2043">
        <v>212</v>
      </c>
      <c r="M2043" t="str">
        <f t="shared" si="62"/>
        <v>Medium</v>
      </c>
      <c r="N2043" t="str">
        <f t="shared" si="63"/>
        <v>Good</v>
      </c>
    </row>
    <row r="2044" spans="1:14">
      <c r="A2044" t="s">
        <v>39</v>
      </c>
      <c r="B2044">
        <v>2021</v>
      </c>
      <c r="C2044" t="s">
        <v>4511</v>
      </c>
      <c r="D2044" t="s">
        <v>33</v>
      </c>
      <c r="E2044" t="s">
        <v>4512</v>
      </c>
      <c r="F2044" t="s">
        <v>57</v>
      </c>
      <c r="G2044">
        <v>30.85</v>
      </c>
      <c r="H2044">
        <v>89</v>
      </c>
      <c r="I2044" t="s">
        <v>29</v>
      </c>
      <c r="J2044" t="s">
        <v>24</v>
      </c>
      <c r="K2044" t="s">
        <v>20</v>
      </c>
      <c r="L2044">
        <v>332</v>
      </c>
      <c r="M2044" t="str">
        <f t="shared" si="62"/>
        <v>Medium</v>
      </c>
      <c r="N2044" t="str">
        <f t="shared" si="63"/>
        <v>Good</v>
      </c>
    </row>
    <row r="2045" spans="1:14">
      <c r="A2045" t="s">
        <v>47</v>
      </c>
      <c r="B2045">
        <v>2005</v>
      </c>
      <c r="C2045" t="s">
        <v>4513</v>
      </c>
      <c r="D2045" t="s">
        <v>33</v>
      </c>
      <c r="E2045" t="s">
        <v>4514</v>
      </c>
      <c r="F2045" t="s">
        <v>35</v>
      </c>
      <c r="G2045">
        <v>8.9600000000000009</v>
      </c>
      <c r="H2045">
        <v>73</v>
      </c>
      <c r="I2045" t="s">
        <v>17</v>
      </c>
      <c r="J2045" t="s">
        <v>37</v>
      </c>
      <c r="K2045" t="s">
        <v>39</v>
      </c>
      <c r="L2045">
        <v>280</v>
      </c>
      <c r="M2045" t="str">
        <f t="shared" si="62"/>
        <v>Low</v>
      </c>
      <c r="N2045" t="str">
        <f t="shared" si="63"/>
        <v>Average</v>
      </c>
    </row>
    <row r="2046" spans="1:14">
      <c r="A2046" t="s">
        <v>12</v>
      </c>
      <c r="B2046">
        <v>2008</v>
      </c>
      <c r="C2046" t="s">
        <v>4515</v>
      </c>
      <c r="D2046" t="s">
        <v>33</v>
      </c>
      <c r="E2046" t="s">
        <v>4516</v>
      </c>
      <c r="F2046" t="s">
        <v>16</v>
      </c>
      <c r="G2046">
        <v>8.86</v>
      </c>
      <c r="H2046">
        <v>57</v>
      </c>
      <c r="I2046" t="s">
        <v>17</v>
      </c>
      <c r="J2046" t="s">
        <v>24</v>
      </c>
      <c r="K2046" t="s">
        <v>4407</v>
      </c>
      <c r="L2046">
        <v>110</v>
      </c>
      <c r="M2046" t="str">
        <f t="shared" si="62"/>
        <v>Low</v>
      </c>
      <c r="N2046" t="str">
        <f t="shared" si="63"/>
        <v>Average</v>
      </c>
    </row>
    <row r="2047" spans="1:14">
      <c r="A2047" t="s">
        <v>39</v>
      </c>
      <c r="B2047">
        <v>2016</v>
      </c>
      <c r="C2047" t="s">
        <v>4517</v>
      </c>
      <c r="D2047" t="s">
        <v>14</v>
      </c>
      <c r="E2047" t="s">
        <v>4518</v>
      </c>
      <c r="F2047" t="s">
        <v>42</v>
      </c>
      <c r="G2047">
        <v>28.27</v>
      </c>
      <c r="H2047">
        <v>70</v>
      </c>
      <c r="I2047" t="s">
        <v>61</v>
      </c>
      <c r="J2047" t="s">
        <v>37</v>
      </c>
      <c r="K2047" t="s">
        <v>4519</v>
      </c>
      <c r="L2047">
        <v>78</v>
      </c>
      <c r="M2047" t="str">
        <f t="shared" si="62"/>
        <v>Medium</v>
      </c>
      <c r="N2047" t="str">
        <f t="shared" si="63"/>
        <v>Average</v>
      </c>
    </row>
    <row r="2048" spans="1:14">
      <c r="A2048" t="s">
        <v>12</v>
      </c>
      <c r="B2048">
        <v>2024</v>
      </c>
      <c r="C2048" t="s">
        <v>4520</v>
      </c>
      <c r="D2048" t="s">
        <v>33</v>
      </c>
      <c r="E2048" t="s">
        <v>4521</v>
      </c>
      <c r="F2048" t="s">
        <v>16</v>
      </c>
      <c r="G2048">
        <v>42.48</v>
      </c>
      <c r="H2048">
        <v>81</v>
      </c>
      <c r="I2048" t="s">
        <v>29</v>
      </c>
      <c r="J2048" t="s">
        <v>24</v>
      </c>
      <c r="K2048" t="s">
        <v>4522</v>
      </c>
      <c r="L2048">
        <v>339</v>
      </c>
      <c r="M2048" t="str">
        <f t="shared" si="62"/>
        <v>High</v>
      </c>
      <c r="N2048" t="str">
        <f t="shared" si="63"/>
        <v>Good</v>
      </c>
    </row>
    <row r="2049" spans="1:14">
      <c r="A2049" t="s">
        <v>47</v>
      </c>
      <c r="B2049">
        <v>2019</v>
      </c>
      <c r="C2049" t="s">
        <v>4523</v>
      </c>
      <c r="D2049" t="s">
        <v>33</v>
      </c>
      <c r="E2049" t="s">
        <v>4524</v>
      </c>
      <c r="F2049" t="s">
        <v>16</v>
      </c>
      <c r="G2049">
        <v>11.14</v>
      </c>
      <c r="H2049">
        <v>62</v>
      </c>
      <c r="I2049" t="s">
        <v>23</v>
      </c>
      <c r="J2049" t="s">
        <v>18</v>
      </c>
      <c r="K2049" t="s">
        <v>48</v>
      </c>
      <c r="L2049">
        <v>61</v>
      </c>
      <c r="M2049" t="str">
        <f t="shared" si="62"/>
        <v>Low</v>
      </c>
      <c r="N2049" t="str">
        <f t="shared" si="63"/>
        <v>Average</v>
      </c>
    </row>
    <row r="2050" spans="1:14">
      <c r="A2050" t="s">
        <v>68</v>
      </c>
      <c r="B2050">
        <v>2007</v>
      </c>
      <c r="C2050" t="s">
        <v>4525</v>
      </c>
      <c r="D2050" t="s">
        <v>14</v>
      </c>
      <c r="E2050" t="s">
        <v>4526</v>
      </c>
      <c r="F2050" t="s">
        <v>16</v>
      </c>
      <c r="G2050">
        <v>7.45</v>
      </c>
      <c r="H2050">
        <v>56</v>
      </c>
      <c r="I2050" t="s">
        <v>61</v>
      </c>
      <c r="J2050" t="s">
        <v>37</v>
      </c>
      <c r="K2050" t="s">
        <v>68</v>
      </c>
      <c r="L2050">
        <v>287</v>
      </c>
      <c r="M2050" t="str">
        <f t="shared" si="62"/>
        <v>Low</v>
      </c>
      <c r="N2050" t="str">
        <f t="shared" si="63"/>
        <v>Average</v>
      </c>
    </row>
    <row r="2051" spans="1:14">
      <c r="A2051" t="s">
        <v>39</v>
      </c>
      <c r="B2051">
        <v>2015</v>
      </c>
      <c r="C2051" t="s">
        <v>4527</v>
      </c>
      <c r="D2051" t="s">
        <v>33</v>
      </c>
      <c r="E2051" t="s">
        <v>4528</v>
      </c>
      <c r="F2051" t="s">
        <v>46</v>
      </c>
      <c r="G2051">
        <v>32.19</v>
      </c>
      <c r="H2051">
        <v>59</v>
      </c>
      <c r="I2051" t="s">
        <v>17</v>
      </c>
      <c r="J2051" t="s">
        <v>37</v>
      </c>
      <c r="K2051" t="s">
        <v>4529</v>
      </c>
      <c r="L2051">
        <v>31</v>
      </c>
      <c r="M2051" t="str">
        <f t="shared" ref="M2051:M2114" si="64">IF(G2051&lt;15,"Low",IF(G2051&lt;35,"Medium","High"))</f>
        <v>Medium</v>
      </c>
      <c r="N2051" t="str">
        <f t="shared" ref="N2051:N2114" si="65">IF(H2051&gt;=90,"Excellent",IF(H2051&gt;=75,"Good","Average"))</f>
        <v>Average</v>
      </c>
    </row>
    <row r="2052" spans="1:14">
      <c r="A2052" t="s">
        <v>31</v>
      </c>
      <c r="B2052">
        <v>2011</v>
      </c>
      <c r="C2052" t="s">
        <v>4530</v>
      </c>
      <c r="D2052" t="s">
        <v>14</v>
      </c>
      <c r="E2052" t="s">
        <v>4531</v>
      </c>
      <c r="F2052" t="s">
        <v>42</v>
      </c>
      <c r="G2052">
        <v>16.010000000000002</v>
      </c>
      <c r="H2052">
        <v>79</v>
      </c>
      <c r="I2052" t="s">
        <v>36</v>
      </c>
      <c r="J2052" t="s">
        <v>18</v>
      </c>
      <c r="K2052" t="s">
        <v>31</v>
      </c>
      <c r="L2052">
        <v>47</v>
      </c>
      <c r="M2052" t="str">
        <f t="shared" si="64"/>
        <v>Medium</v>
      </c>
      <c r="N2052" t="str">
        <f t="shared" si="65"/>
        <v>Good</v>
      </c>
    </row>
    <row r="2053" spans="1:14">
      <c r="A2053" t="s">
        <v>12</v>
      </c>
      <c r="B2053">
        <v>2010</v>
      </c>
      <c r="C2053" t="s">
        <v>4532</v>
      </c>
      <c r="D2053" t="s">
        <v>14</v>
      </c>
      <c r="E2053" t="s">
        <v>4533</v>
      </c>
      <c r="F2053" t="s">
        <v>42</v>
      </c>
      <c r="G2053">
        <v>32.67</v>
      </c>
      <c r="H2053">
        <v>61</v>
      </c>
      <c r="I2053" t="s">
        <v>61</v>
      </c>
      <c r="J2053" t="s">
        <v>24</v>
      </c>
      <c r="K2053" t="s">
        <v>48</v>
      </c>
      <c r="L2053">
        <v>137</v>
      </c>
      <c r="M2053" t="str">
        <f t="shared" si="64"/>
        <v>Medium</v>
      </c>
      <c r="N2053" t="str">
        <f t="shared" si="65"/>
        <v>Average</v>
      </c>
    </row>
    <row r="2054" spans="1:14">
      <c r="A2054" t="s">
        <v>12</v>
      </c>
      <c r="B2054">
        <v>2022</v>
      </c>
      <c r="C2054" t="s">
        <v>4534</v>
      </c>
      <c r="D2054" t="s">
        <v>14</v>
      </c>
      <c r="E2054" t="s">
        <v>4535</v>
      </c>
      <c r="F2054" t="s">
        <v>16</v>
      </c>
      <c r="G2054">
        <v>26.76</v>
      </c>
      <c r="H2054">
        <v>75</v>
      </c>
      <c r="I2054" t="s">
        <v>36</v>
      </c>
      <c r="J2054" t="s">
        <v>24</v>
      </c>
      <c r="K2054" t="s">
        <v>31</v>
      </c>
      <c r="L2054">
        <v>136</v>
      </c>
      <c r="M2054" t="str">
        <f t="shared" si="64"/>
        <v>Medium</v>
      </c>
      <c r="N2054" t="str">
        <f t="shared" si="65"/>
        <v>Good</v>
      </c>
    </row>
    <row r="2055" spans="1:14">
      <c r="A2055" t="s">
        <v>31</v>
      </c>
      <c r="B2055">
        <v>2020</v>
      </c>
      <c r="C2055" t="s">
        <v>4536</v>
      </c>
      <c r="D2055" t="s">
        <v>14</v>
      </c>
      <c r="E2055" t="s">
        <v>4537</v>
      </c>
      <c r="F2055" t="s">
        <v>35</v>
      </c>
      <c r="G2055">
        <v>44.34</v>
      </c>
      <c r="H2055">
        <v>50</v>
      </c>
      <c r="I2055" t="s">
        <v>36</v>
      </c>
      <c r="J2055" t="s">
        <v>24</v>
      </c>
      <c r="K2055" t="s">
        <v>513</v>
      </c>
      <c r="L2055">
        <v>101</v>
      </c>
      <c r="M2055" t="str">
        <f t="shared" si="64"/>
        <v>High</v>
      </c>
      <c r="N2055" t="str">
        <f t="shared" si="65"/>
        <v>Average</v>
      </c>
    </row>
    <row r="2056" spans="1:14">
      <c r="A2056" t="s">
        <v>20</v>
      </c>
      <c r="B2056">
        <v>2024</v>
      </c>
      <c r="C2056" t="s">
        <v>4538</v>
      </c>
      <c r="D2056" t="s">
        <v>14</v>
      </c>
      <c r="E2056" t="s">
        <v>1844</v>
      </c>
      <c r="F2056" t="s">
        <v>35</v>
      </c>
      <c r="G2056">
        <v>45.07</v>
      </c>
      <c r="H2056">
        <v>78</v>
      </c>
      <c r="I2056" t="s">
        <v>23</v>
      </c>
      <c r="J2056" t="s">
        <v>18</v>
      </c>
      <c r="K2056" t="s">
        <v>39</v>
      </c>
      <c r="L2056">
        <v>297</v>
      </c>
      <c r="M2056" t="str">
        <f t="shared" si="64"/>
        <v>High</v>
      </c>
      <c r="N2056" t="str">
        <f t="shared" si="65"/>
        <v>Good</v>
      </c>
    </row>
    <row r="2057" spans="1:14">
      <c r="A2057" t="s">
        <v>12</v>
      </c>
      <c r="B2057">
        <v>2009</v>
      </c>
      <c r="C2057" t="s">
        <v>4539</v>
      </c>
      <c r="D2057" t="s">
        <v>14</v>
      </c>
      <c r="E2057" t="s">
        <v>4540</v>
      </c>
      <c r="F2057" t="s">
        <v>42</v>
      </c>
      <c r="G2057">
        <v>2.48</v>
      </c>
      <c r="H2057">
        <v>72</v>
      </c>
      <c r="I2057" t="s">
        <v>36</v>
      </c>
      <c r="J2057" t="s">
        <v>18</v>
      </c>
      <c r="K2057" t="s">
        <v>68</v>
      </c>
      <c r="L2057">
        <v>364</v>
      </c>
      <c r="M2057" t="str">
        <f t="shared" si="64"/>
        <v>Low</v>
      </c>
      <c r="N2057" t="str">
        <f t="shared" si="65"/>
        <v>Average</v>
      </c>
    </row>
    <row r="2058" spans="1:14">
      <c r="A2058" t="s">
        <v>12</v>
      </c>
      <c r="B2058">
        <v>2009</v>
      </c>
      <c r="C2058" t="s">
        <v>4541</v>
      </c>
      <c r="D2058" t="s">
        <v>14</v>
      </c>
      <c r="E2058" t="s">
        <v>4542</v>
      </c>
      <c r="F2058" t="s">
        <v>16</v>
      </c>
      <c r="G2058">
        <v>29.2</v>
      </c>
      <c r="H2058">
        <v>92</v>
      </c>
      <c r="I2058" t="s">
        <v>61</v>
      </c>
      <c r="J2058" t="s">
        <v>37</v>
      </c>
      <c r="K2058" t="s">
        <v>4543</v>
      </c>
      <c r="L2058">
        <v>225</v>
      </c>
      <c r="M2058" t="str">
        <f t="shared" si="64"/>
        <v>Medium</v>
      </c>
      <c r="N2058" t="str">
        <f t="shared" si="65"/>
        <v>Excellent</v>
      </c>
    </row>
    <row r="2059" spans="1:14">
      <c r="A2059" t="s">
        <v>47</v>
      </c>
      <c r="B2059">
        <v>2023</v>
      </c>
      <c r="C2059" t="s">
        <v>4544</v>
      </c>
      <c r="D2059" t="s">
        <v>14</v>
      </c>
      <c r="E2059" t="s">
        <v>4545</v>
      </c>
      <c r="F2059" t="s">
        <v>46</v>
      </c>
      <c r="G2059">
        <v>34.17</v>
      </c>
      <c r="H2059">
        <v>63</v>
      </c>
      <c r="I2059" t="s">
        <v>36</v>
      </c>
      <c r="J2059" t="s">
        <v>24</v>
      </c>
      <c r="K2059" t="s">
        <v>1537</v>
      </c>
      <c r="L2059">
        <v>125</v>
      </c>
      <c r="M2059" t="str">
        <f t="shared" si="64"/>
        <v>Medium</v>
      </c>
      <c r="N2059" t="str">
        <f t="shared" si="65"/>
        <v>Average</v>
      </c>
    </row>
    <row r="2060" spans="1:14">
      <c r="A2060" t="s">
        <v>68</v>
      </c>
      <c r="B2060">
        <v>2022</v>
      </c>
      <c r="C2060" t="s">
        <v>4546</v>
      </c>
      <c r="D2060" t="s">
        <v>33</v>
      </c>
      <c r="E2060" t="s">
        <v>4547</v>
      </c>
      <c r="F2060" t="s">
        <v>16</v>
      </c>
      <c r="G2060">
        <v>9.2100000000000009</v>
      </c>
      <c r="H2060">
        <v>67</v>
      </c>
      <c r="I2060" t="s">
        <v>61</v>
      </c>
      <c r="J2060" t="s">
        <v>37</v>
      </c>
      <c r="K2060" t="s">
        <v>31</v>
      </c>
      <c r="L2060">
        <v>247</v>
      </c>
      <c r="M2060" t="str">
        <f t="shared" si="64"/>
        <v>Low</v>
      </c>
      <c r="N2060" t="str">
        <f t="shared" si="65"/>
        <v>Average</v>
      </c>
    </row>
    <row r="2061" spans="1:14">
      <c r="A2061" t="s">
        <v>20</v>
      </c>
      <c r="B2061">
        <v>2017</v>
      </c>
      <c r="C2061" t="s">
        <v>4548</v>
      </c>
      <c r="D2061" t="s">
        <v>33</v>
      </c>
      <c r="E2061" t="s">
        <v>4549</v>
      </c>
      <c r="F2061" t="s">
        <v>57</v>
      </c>
      <c r="G2061">
        <v>30.28</v>
      </c>
      <c r="H2061">
        <v>52</v>
      </c>
      <c r="I2061" t="s">
        <v>17</v>
      </c>
      <c r="J2061" t="s">
        <v>18</v>
      </c>
      <c r="K2061" t="s">
        <v>3650</v>
      </c>
      <c r="L2061">
        <v>246</v>
      </c>
      <c r="M2061" t="str">
        <f t="shared" si="64"/>
        <v>Medium</v>
      </c>
      <c r="N2061" t="str">
        <f t="shared" si="65"/>
        <v>Average</v>
      </c>
    </row>
    <row r="2062" spans="1:14">
      <c r="A2062" t="s">
        <v>26</v>
      </c>
      <c r="B2062">
        <v>2011</v>
      </c>
      <c r="C2062" t="s">
        <v>4550</v>
      </c>
      <c r="D2062" t="s">
        <v>14</v>
      </c>
      <c r="E2062" t="s">
        <v>4551</v>
      </c>
      <c r="F2062" t="s">
        <v>16</v>
      </c>
      <c r="G2062">
        <v>35.630000000000003</v>
      </c>
      <c r="H2062">
        <v>72</v>
      </c>
      <c r="I2062" t="s">
        <v>17</v>
      </c>
      <c r="J2062" t="s">
        <v>24</v>
      </c>
      <c r="K2062" t="s">
        <v>1292</v>
      </c>
      <c r="L2062">
        <v>226</v>
      </c>
      <c r="M2062" t="str">
        <f t="shared" si="64"/>
        <v>High</v>
      </c>
      <c r="N2062" t="str">
        <f t="shared" si="65"/>
        <v>Average</v>
      </c>
    </row>
    <row r="2063" spans="1:14">
      <c r="A2063" t="s">
        <v>31</v>
      </c>
      <c r="B2063">
        <v>2009</v>
      </c>
      <c r="C2063" t="s">
        <v>4552</v>
      </c>
      <c r="D2063" t="s">
        <v>14</v>
      </c>
      <c r="E2063" t="s">
        <v>4288</v>
      </c>
      <c r="F2063" t="s">
        <v>46</v>
      </c>
      <c r="G2063">
        <v>32.22</v>
      </c>
      <c r="H2063">
        <v>64</v>
      </c>
      <c r="I2063" t="s">
        <v>61</v>
      </c>
      <c r="J2063" t="s">
        <v>18</v>
      </c>
      <c r="K2063" t="s">
        <v>4553</v>
      </c>
      <c r="L2063">
        <v>258</v>
      </c>
      <c r="M2063" t="str">
        <f t="shared" si="64"/>
        <v>Medium</v>
      </c>
      <c r="N2063" t="str">
        <f t="shared" si="65"/>
        <v>Average</v>
      </c>
    </row>
    <row r="2064" spans="1:14">
      <c r="A2064" t="s">
        <v>65</v>
      </c>
      <c r="B2064">
        <v>2024</v>
      </c>
      <c r="C2064" t="s">
        <v>4554</v>
      </c>
      <c r="D2064" t="s">
        <v>14</v>
      </c>
      <c r="E2064" t="s">
        <v>4555</v>
      </c>
      <c r="F2064" t="s">
        <v>57</v>
      </c>
      <c r="G2064">
        <v>18.95</v>
      </c>
      <c r="H2064">
        <v>66</v>
      </c>
      <c r="I2064" t="s">
        <v>29</v>
      </c>
      <c r="J2064" t="s">
        <v>18</v>
      </c>
      <c r="K2064" t="s">
        <v>705</v>
      </c>
      <c r="L2064">
        <v>80</v>
      </c>
      <c r="M2064" t="str">
        <f t="shared" si="64"/>
        <v>Medium</v>
      </c>
      <c r="N2064" t="str">
        <f t="shared" si="65"/>
        <v>Average</v>
      </c>
    </row>
    <row r="2065" spans="1:14">
      <c r="A2065" t="s">
        <v>47</v>
      </c>
      <c r="B2065">
        <v>2012</v>
      </c>
      <c r="C2065" t="s">
        <v>4556</v>
      </c>
      <c r="D2065" t="s">
        <v>14</v>
      </c>
      <c r="E2065" t="s">
        <v>4557</v>
      </c>
      <c r="F2065" t="s">
        <v>57</v>
      </c>
      <c r="G2065">
        <v>40.85</v>
      </c>
      <c r="H2065">
        <v>65</v>
      </c>
      <c r="I2065" t="s">
        <v>29</v>
      </c>
      <c r="J2065" t="s">
        <v>18</v>
      </c>
      <c r="K2065" t="s">
        <v>876</v>
      </c>
      <c r="L2065">
        <v>345</v>
      </c>
      <c r="M2065" t="str">
        <f t="shared" si="64"/>
        <v>High</v>
      </c>
      <c r="N2065" t="str">
        <f t="shared" si="65"/>
        <v>Average</v>
      </c>
    </row>
    <row r="2066" spans="1:14">
      <c r="A2066" t="s">
        <v>20</v>
      </c>
      <c r="B2066">
        <v>2007</v>
      </c>
      <c r="C2066" t="s">
        <v>4558</v>
      </c>
      <c r="D2066" t="s">
        <v>33</v>
      </c>
      <c r="E2066" t="s">
        <v>4559</v>
      </c>
      <c r="F2066" t="s">
        <v>57</v>
      </c>
      <c r="G2066">
        <v>5.41</v>
      </c>
      <c r="H2066">
        <v>80</v>
      </c>
      <c r="I2066" t="s">
        <v>29</v>
      </c>
      <c r="J2066" t="s">
        <v>24</v>
      </c>
      <c r="K2066" t="s">
        <v>31</v>
      </c>
      <c r="L2066">
        <v>358</v>
      </c>
      <c r="M2066" t="str">
        <f t="shared" si="64"/>
        <v>Low</v>
      </c>
      <c r="N2066" t="str">
        <f t="shared" si="65"/>
        <v>Good</v>
      </c>
    </row>
    <row r="2067" spans="1:14">
      <c r="A2067" t="s">
        <v>65</v>
      </c>
      <c r="B2067">
        <v>2001</v>
      </c>
      <c r="C2067" t="s">
        <v>4560</v>
      </c>
      <c r="D2067" t="s">
        <v>14</v>
      </c>
      <c r="E2067" t="s">
        <v>4561</v>
      </c>
      <c r="F2067" t="s">
        <v>35</v>
      </c>
      <c r="G2067">
        <v>36.82</v>
      </c>
      <c r="H2067">
        <v>92</v>
      </c>
      <c r="I2067" t="s">
        <v>36</v>
      </c>
      <c r="J2067" t="s">
        <v>18</v>
      </c>
      <c r="K2067" t="s">
        <v>4562</v>
      </c>
      <c r="L2067">
        <v>40</v>
      </c>
      <c r="M2067" t="str">
        <f t="shared" si="64"/>
        <v>High</v>
      </c>
      <c r="N2067" t="str">
        <f t="shared" si="65"/>
        <v>Excellent</v>
      </c>
    </row>
    <row r="2068" spans="1:14">
      <c r="A2068" t="s">
        <v>12</v>
      </c>
      <c r="B2068">
        <v>2000</v>
      </c>
      <c r="C2068" t="s">
        <v>4563</v>
      </c>
      <c r="D2068" t="s">
        <v>33</v>
      </c>
      <c r="E2068" t="s">
        <v>4564</v>
      </c>
      <c r="F2068" t="s">
        <v>57</v>
      </c>
      <c r="G2068">
        <v>43.6</v>
      </c>
      <c r="H2068">
        <v>61</v>
      </c>
      <c r="I2068" t="s">
        <v>29</v>
      </c>
      <c r="J2068" t="s">
        <v>37</v>
      </c>
      <c r="K2068" t="s">
        <v>26</v>
      </c>
      <c r="L2068">
        <v>149</v>
      </c>
      <c r="M2068" t="str">
        <f t="shared" si="64"/>
        <v>High</v>
      </c>
      <c r="N2068" t="str">
        <f t="shared" si="65"/>
        <v>Average</v>
      </c>
    </row>
    <row r="2069" spans="1:14">
      <c r="A2069" t="s">
        <v>47</v>
      </c>
      <c r="B2069">
        <v>2001</v>
      </c>
      <c r="C2069" t="s">
        <v>4565</v>
      </c>
      <c r="D2069" t="s">
        <v>33</v>
      </c>
      <c r="E2069" t="s">
        <v>4566</v>
      </c>
      <c r="F2069" t="s">
        <v>35</v>
      </c>
      <c r="G2069">
        <v>17.25</v>
      </c>
      <c r="H2069">
        <v>73</v>
      </c>
      <c r="I2069" t="s">
        <v>29</v>
      </c>
      <c r="J2069" t="s">
        <v>18</v>
      </c>
      <c r="K2069" t="s">
        <v>38</v>
      </c>
      <c r="L2069">
        <v>157</v>
      </c>
      <c r="M2069" t="str">
        <f t="shared" si="64"/>
        <v>Medium</v>
      </c>
      <c r="N2069" t="str">
        <f t="shared" si="65"/>
        <v>Average</v>
      </c>
    </row>
    <row r="2070" spans="1:14">
      <c r="A2070" t="s">
        <v>48</v>
      </c>
      <c r="B2070">
        <v>2021</v>
      </c>
      <c r="C2070" t="s">
        <v>4567</v>
      </c>
      <c r="D2070" t="s">
        <v>14</v>
      </c>
      <c r="E2070" t="s">
        <v>4568</v>
      </c>
      <c r="F2070" t="s">
        <v>57</v>
      </c>
      <c r="G2070">
        <v>27.73</v>
      </c>
      <c r="H2070">
        <v>80</v>
      </c>
      <c r="I2070" t="s">
        <v>29</v>
      </c>
      <c r="J2070" t="s">
        <v>24</v>
      </c>
      <c r="K2070" t="s">
        <v>26</v>
      </c>
      <c r="L2070">
        <v>340</v>
      </c>
      <c r="M2070" t="str">
        <f t="shared" si="64"/>
        <v>Medium</v>
      </c>
      <c r="N2070" t="str">
        <f t="shared" si="65"/>
        <v>Good</v>
      </c>
    </row>
    <row r="2071" spans="1:14">
      <c r="A2071" t="s">
        <v>68</v>
      </c>
      <c r="B2071">
        <v>2012</v>
      </c>
      <c r="C2071" t="s">
        <v>4569</v>
      </c>
      <c r="D2071" t="s">
        <v>14</v>
      </c>
      <c r="E2071" t="s">
        <v>2136</v>
      </c>
      <c r="F2071" t="s">
        <v>57</v>
      </c>
      <c r="G2071">
        <v>31.7</v>
      </c>
      <c r="H2071">
        <v>65</v>
      </c>
      <c r="I2071" t="s">
        <v>61</v>
      </c>
      <c r="J2071" t="s">
        <v>24</v>
      </c>
      <c r="K2071" t="s">
        <v>47</v>
      </c>
      <c r="L2071">
        <v>61</v>
      </c>
      <c r="M2071" t="str">
        <f t="shared" si="64"/>
        <v>Medium</v>
      </c>
      <c r="N2071" t="str">
        <f t="shared" si="65"/>
        <v>Average</v>
      </c>
    </row>
    <row r="2072" spans="1:14">
      <c r="A2072" t="s">
        <v>68</v>
      </c>
      <c r="B2072">
        <v>2012</v>
      </c>
      <c r="C2072" t="s">
        <v>4570</v>
      </c>
      <c r="D2072" t="s">
        <v>14</v>
      </c>
      <c r="E2072" t="s">
        <v>4571</v>
      </c>
      <c r="F2072" t="s">
        <v>35</v>
      </c>
      <c r="G2072">
        <v>8.32</v>
      </c>
      <c r="H2072">
        <v>84</v>
      </c>
      <c r="I2072" t="s">
        <v>61</v>
      </c>
      <c r="J2072" t="s">
        <v>24</v>
      </c>
      <c r="K2072" t="s">
        <v>68</v>
      </c>
      <c r="L2072">
        <v>172</v>
      </c>
      <c r="M2072" t="str">
        <f t="shared" si="64"/>
        <v>Low</v>
      </c>
      <c r="N2072" t="str">
        <f t="shared" si="65"/>
        <v>Good</v>
      </c>
    </row>
    <row r="2073" spans="1:14">
      <c r="A2073" t="s">
        <v>20</v>
      </c>
      <c r="B2073">
        <v>2004</v>
      </c>
      <c r="C2073" t="s">
        <v>4572</v>
      </c>
      <c r="D2073" t="s">
        <v>33</v>
      </c>
      <c r="E2073" t="s">
        <v>4573</v>
      </c>
      <c r="F2073" t="s">
        <v>35</v>
      </c>
      <c r="G2073">
        <v>13.88</v>
      </c>
      <c r="H2073">
        <v>62</v>
      </c>
      <c r="I2073" t="s">
        <v>61</v>
      </c>
      <c r="J2073" t="s">
        <v>37</v>
      </c>
      <c r="K2073" t="s">
        <v>97</v>
      </c>
      <c r="L2073">
        <v>189</v>
      </c>
      <c r="M2073" t="str">
        <f t="shared" si="64"/>
        <v>Low</v>
      </c>
      <c r="N2073" t="str">
        <f t="shared" si="65"/>
        <v>Average</v>
      </c>
    </row>
    <row r="2074" spans="1:14">
      <c r="A2074" t="s">
        <v>38</v>
      </c>
      <c r="B2074">
        <v>2016</v>
      </c>
      <c r="C2074" t="s">
        <v>4574</v>
      </c>
      <c r="D2074" t="s">
        <v>14</v>
      </c>
      <c r="E2074" t="s">
        <v>4575</v>
      </c>
      <c r="F2074" t="s">
        <v>42</v>
      </c>
      <c r="G2074">
        <v>6.82</v>
      </c>
      <c r="H2074">
        <v>79</v>
      </c>
      <c r="I2074" t="s">
        <v>36</v>
      </c>
      <c r="J2074" t="s">
        <v>37</v>
      </c>
      <c r="K2074" t="s">
        <v>20</v>
      </c>
      <c r="L2074">
        <v>60</v>
      </c>
      <c r="M2074" t="str">
        <f t="shared" si="64"/>
        <v>Low</v>
      </c>
      <c r="N2074" t="str">
        <f t="shared" si="65"/>
        <v>Good</v>
      </c>
    </row>
    <row r="2075" spans="1:14">
      <c r="A2075" t="s">
        <v>26</v>
      </c>
      <c r="B2075">
        <v>2020</v>
      </c>
      <c r="C2075" t="s">
        <v>4576</v>
      </c>
      <c r="D2075" t="s">
        <v>14</v>
      </c>
      <c r="E2075" t="s">
        <v>4577</v>
      </c>
      <c r="F2075" t="s">
        <v>42</v>
      </c>
      <c r="G2075">
        <v>0.96</v>
      </c>
      <c r="H2075">
        <v>90</v>
      </c>
      <c r="I2075" t="s">
        <v>29</v>
      </c>
      <c r="J2075" t="s">
        <v>24</v>
      </c>
      <c r="K2075" t="s">
        <v>4578</v>
      </c>
      <c r="L2075">
        <v>225</v>
      </c>
      <c r="M2075" t="str">
        <f t="shared" si="64"/>
        <v>Low</v>
      </c>
      <c r="N2075" t="str">
        <f t="shared" si="65"/>
        <v>Excellent</v>
      </c>
    </row>
    <row r="2076" spans="1:14">
      <c r="A2076" t="s">
        <v>48</v>
      </c>
      <c r="B2076">
        <v>2008</v>
      </c>
      <c r="C2076" t="s">
        <v>4579</v>
      </c>
      <c r="D2076" t="s">
        <v>33</v>
      </c>
      <c r="E2076" t="s">
        <v>4580</v>
      </c>
      <c r="F2076" t="s">
        <v>16</v>
      </c>
      <c r="G2076">
        <v>36.17</v>
      </c>
      <c r="H2076">
        <v>93</v>
      </c>
      <c r="I2076" t="s">
        <v>23</v>
      </c>
      <c r="J2076" t="s">
        <v>24</v>
      </c>
      <c r="K2076" t="s">
        <v>4581</v>
      </c>
      <c r="L2076">
        <v>101</v>
      </c>
      <c r="M2076" t="str">
        <f t="shared" si="64"/>
        <v>High</v>
      </c>
      <c r="N2076" t="str">
        <f t="shared" si="65"/>
        <v>Excellent</v>
      </c>
    </row>
    <row r="2077" spans="1:14">
      <c r="A2077" t="s">
        <v>12</v>
      </c>
      <c r="B2077">
        <v>2017</v>
      </c>
      <c r="C2077" t="s">
        <v>4582</v>
      </c>
      <c r="D2077" t="s">
        <v>33</v>
      </c>
      <c r="E2077" t="s">
        <v>559</v>
      </c>
      <c r="F2077" t="s">
        <v>42</v>
      </c>
      <c r="G2077">
        <v>29.7</v>
      </c>
      <c r="H2077">
        <v>99</v>
      </c>
      <c r="I2077" t="s">
        <v>29</v>
      </c>
      <c r="J2077" t="s">
        <v>18</v>
      </c>
      <c r="K2077" t="s">
        <v>38</v>
      </c>
      <c r="L2077">
        <v>100</v>
      </c>
      <c r="M2077" t="str">
        <f t="shared" si="64"/>
        <v>Medium</v>
      </c>
      <c r="N2077" t="str">
        <f t="shared" si="65"/>
        <v>Excellent</v>
      </c>
    </row>
    <row r="2078" spans="1:14">
      <c r="A2078" t="s">
        <v>48</v>
      </c>
      <c r="B2078">
        <v>2007</v>
      </c>
      <c r="C2078" t="s">
        <v>4583</v>
      </c>
      <c r="D2078" t="s">
        <v>14</v>
      </c>
      <c r="E2078" t="s">
        <v>4584</v>
      </c>
      <c r="F2078" t="s">
        <v>35</v>
      </c>
      <c r="G2078">
        <v>9.58</v>
      </c>
      <c r="H2078">
        <v>95</v>
      </c>
      <c r="I2078" t="s">
        <v>17</v>
      </c>
      <c r="J2078" t="s">
        <v>37</v>
      </c>
      <c r="K2078" t="s">
        <v>232</v>
      </c>
      <c r="L2078">
        <v>56</v>
      </c>
      <c r="M2078" t="str">
        <f t="shared" si="64"/>
        <v>Low</v>
      </c>
      <c r="N2078" t="str">
        <f t="shared" si="65"/>
        <v>Excellent</v>
      </c>
    </row>
    <row r="2079" spans="1:14">
      <c r="A2079" t="s">
        <v>26</v>
      </c>
      <c r="B2079">
        <v>2003</v>
      </c>
      <c r="C2079" t="s">
        <v>4585</v>
      </c>
      <c r="D2079" t="s">
        <v>14</v>
      </c>
      <c r="E2079" t="s">
        <v>1890</v>
      </c>
      <c r="F2079" t="s">
        <v>35</v>
      </c>
      <c r="G2079">
        <v>29.84</v>
      </c>
      <c r="H2079">
        <v>52</v>
      </c>
      <c r="I2079" t="s">
        <v>36</v>
      </c>
      <c r="J2079" t="s">
        <v>18</v>
      </c>
      <c r="K2079" t="s">
        <v>1320</v>
      </c>
      <c r="L2079">
        <v>270</v>
      </c>
      <c r="M2079" t="str">
        <f t="shared" si="64"/>
        <v>Medium</v>
      </c>
      <c r="N2079" t="str">
        <f t="shared" si="65"/>
        <v>Average</v>
      </c>
    </row>
    <row r="2080" spans="1:14">
      <c r="A2080" t="s">
        <v>47</v>
      </c>
      <c r="B2080">
        <v>2020</v>
      </c>
      <c r="C2080" t="s">
        <v>4586</v>
      </c>
      <c r="D2080" t="s">
        <v>14</v>
      </c>
      <c r="E2080" t="s">
        <v>4587</v>
      </c>
      <c r="F2080" t="s">
        <v>57</v>
      </c>
      <c r="G2080">
        <v>8.34</v>
      </c>
      <c r="H2080">
        <v>60</v>
      </c>
      <c r="I2080" t="s">
        <v>36</v>
      </c>
      <c r="J2080" t="s">
        <v>18</v>
      </c>
      <c r="K2080" t="s">
        <v>831</v>
      </c>
      <c r="L2080">
        <v>206</v>
      </c>
      <c r="M2080" t="str">
        <f t="shared" si="64"/>
        <v>Low</v>
      </c>
      <c r="N2080" t="str">
        <f t="shared" si="65"/>
        <v>Average</v>
      </c>
    </row>
    <row r="2081" spans="1:14">
      <c r="A2081" t="s">
        <v>68</v>
      </c>
      <c r="B2081">
        <v>2020</v>
      </c>
      <c r="C2081" t="s">
        <v>4588</v>
      </c>
      <c r="D2081" t="s">
        <v>14</v>
      </c>
      <c r="E2081" t="s">
        <v>4589</v>
      </c>
      <c r="F2081" t="s">
        <v>57</v>
      </c>
      <c r="G2081">
        <v>48.37</v>
      </c>
      <c r="H2081">
        <v>73</v>
      </c>
      <c r="I2081" t="s">
        <v>36</v>
      </c>
      <c r="J2081" t="s">
        <v>18</v>
      </c>
      <c r="K2081" t="s">
        <v>465</v>
      </c>
      <c r="L2081">
        <v>279</v>
      </c>
      <c r="M2081" t="str">
        <f t="shared" si="64"/>
        <v>High</v>
      </c>
      <c r="N2081" t="str">
        <f t="shared" si="65"/>
        <v>Average</v>
      </c>
    </row>
    <row r="2082" spans="1:14">
      <c r="A2082" t="s">
        <v>26</v>
      </c>
      <c r="B2082">
        <v>2009</v>
      </c>
      <c r="C2082" t="s">
        <v>4590</v>
      </c>
      <c r="D2082" t="s">
        <v>14</v>
      </c>
      <c r="E2082" t="s">
        <v>4591</v>
      </c>
      <c r="F2082" t="s">
        <v>57</v>
      </c>
      <c r="G2082">
        <v>19.600000000000001</v>
      </c>
      <c r="H2082">
        <v>52</v>
      </c>
      <c r="I2082" t="s">
        <v>23</v>
      </c>
      <c r="J2082" t="s">
        <v>37</v>
      </c>
      <c r="K2082" t="s">
        <v>20</v>
      </c>
      <c r="L2082">
        <v>233</v>
      </c>
      <c r="M2082" t="str">
        <f t="shared" si="64"/>
        <v>Medium</v>
      </c>
      <c r="N2082" t="str">
        <f t="shared" si="65"/>
        <v>Average</v>
      </c>
    </row>
    <row r="2083" spans="1:14">
      <c r="A2083" t="s">
        <v>12</v>
      </c>
      <c r="B2083">
        <v>2008</v>
      </c>
      <c r="C2083" t="s">
        <v>4592</v>
      </c>
      <c r="D2083" t="s">
        <v>14</v>
      </c>
      <c r="E2083" t="s">
        <v>4593</v>
      </c>
      <c r="F2083" t="s">
        <v>16</v>
      </c>
      <c r="G2083">
        <v>39.549999999999997</v>
      </c>
      <c r="H2083">
        <v>86</v>
      </c>
      <c r="I2083" t="s">
        <v>17</v>
      </c>
      <c r="J2083" t="s">
        <v>18</v>
      </c>
      <c r="K2083" t="s">
        <v>607</v>
      </c>
      <c r="L2083">
        <v>238</v>
      </c>
      <c r="M2083" t="str">
        <f t="shared" si="64"/>
        <v>High</v>
      </c>
      <c r="N2083" t="str">
        <f t="shared" si="65"/>
        <v>Good</v>
      </c>
    </row>
    <row r="2084" spans="1:14">
      <c r="A2084" t="s">
        <v>39</v>
      </c>
      <c r="B2084">
        <v>2017</v>
      </c>
      <c r="C2084" t="s">
        <v>4594</v>
      </c>
      <c r="D2084" t="s">
        <v>33</v>
      </c>
      <c r="E2084" t="s">
        <v>4595</v>
      </c>
      <c r="F2084" t="s">
        <v>57</v>
      </c>
      <c r="G2084">
        <v>26.83</v>
      </c>
      <c r="H2084">
        <v>89</v>
      </c>
      <c r="I2084" t="s">
        <v>29</v>
      </c>
      <c r="J2084" t="s">
        <v>24</v>
      </c>
      <c r="K2084" t="s">
        <v>84</v>
      </c>
      <c r="L2084">
        <v>72</v>
      </c>
      <c r="M2084" t="str">
        <f t="shared" si="64"/>
        <v>Medium</v>
      </c>
      <c r="N2084" t="str">
        <f t="shared" si="65"/>
        <v>Good</v>
      </c>
    </row>
    <row r="2085" spans="1:14">
      <c r="A2085" t="s">
        <v>48</v>
      </c>
      <c r="B2085">
        <v>2003</v>
      </c>
      <c r="C2085" t="s">
        <v>4596</v>
      </c>
      <c r="D2085" t="s">
        <v>14</v>
      </c>
      <c r="E2085" t="s">
        <v>4597</v>
      </c>
      <c r="F2085" t="s">
        <v>46</v>
      </c>
      <c r="G2085">
        <v>13.52</v>
      </c>
      <c r="H2085">
        <v>100</v>
      </c>
      <c r="I2085" t="s">
        <v>17</v>
      </c>
      <c r="J2085" t="s">
        <v>24</v>
      </c>
      <c r="K2085" t="s">
        <v>926</v>
      </c>
      <c r="L2085">
        <v>180</v>
      </c>
      <c r="M2085" t="str">
        <f t="shared" si="64"/>
        <v>Low</v>
      </c>
      <c r="N2085" t="str">
        <f t="shared" si="65"/>
        <v>Excellent</v>
      </c>
    </row>
    <row r="2086" spans="1:14">
      <c r="A2086" t="s">
        <v>47</v>
      </c>
      <c r="B2086">
        <v>2007</v>
      </c>
      <c r="C2086" t="s">
        <v>4598</v>
      </c>
      <c r="D2086" t="s">
        <v>14</v>
      </c>
      <c r="E2086" t="s">
        <v>4599</v>
      </c>
      <c r="F2086" t="s">
        <v>16</v>
      </c>
      <c r="G2086">
        <v>3.29</v>
      </c>
      <c r="H2086">
        <v>70</v>
      </c>
      <c r="I2086" t="s">
        <v>36</v>
      </c>
      <c r="J2086" t="s">
        <v>18</v>
      </c>
      <c r="K2086" t="s">
        <v>114</v>
      </c>
      <c r="L2086">
        <v>116</v>
      </c>
      <c r="M2086" t="str">
        <f t="shared" si="64"/>
        <v>Low</v>
      </c>
      <c r="N2086" t="str">
        <f t="shared" si="65"/>
        <v>Average</v>
      </c>
    </row>
    <row r="2087" spans="1:14">
      <c r="A2087" t="s">
        <v>65</v>
      </c>
      <c r="B2087">
        <v>2019</v>
      </c>
      <c r="C2087" t="s">
        <v>4600</v>
      </c>
      <c r="D2087" t="s">
        <v>33</v>
      </c>
      <c r="E2087" t="s">
        <v>4601</v>
      </c>
      <c r="F2087" t="s">
        <v>16</v>
      </c>
      <c r="G2087">
        <v>28.69</v>
      </c>
      <c r="H2087">
        <v>91</v>
      </c>
      <c r="I2087" t="s">
        <v>61</v>
      </c>
      <c r="J2087" t="s">
        <v>18</v>
      </c>
      <c r="K2087" t="s">
        <v>4296</v>
      </c>
      <c r="L2087">
        <v>128</v>
      </c>
      <c r="M2087" t="str">
        <f t="shared" si="64"/>
        <v>Medium</v>
      </c>
      <c r="N2087" t="str">
        <f t="shared" si="65"/>
        <v>Excellent</v>
      </c>
    </row>
    <row r="2088" spans="1:14">
      <c r="A2088" t="s">
        <v>68</v>
      </c>
      <c r="B2088">
        <v>2018</v>
      </c>
      <c r="C2088" t="s">
        <v>4602</v>
      </c>
      <c r="D2088" t="s">
        <v>14</v>
      </c>
      <c r="E2088" t="s">
        <v>4603</v>
      </c>
      <c r="F2088" t="s">
        <v>42</v>
      </c>
      <c r="G2088">
        <v>26.38</v>
      </c>
      <c r="H2088">
        <v>89</v>
      </c>
      <c r="I2088" t="s">
        <v>17</v>
      </c>
      <c r="J2088" t="s">
        <v>24</v>
      </c>
      <c r="K2088" t="s">
        <v>4604</v>
      </c>
      <c r="L2088">
        <v>229</v>
      </c>
      <c r="M2088" t="str">
        <f t="shared" si="64"/>
        <v>Medium</v>
      </c>
      <c r="N2088" t="str">
        <f t="shared" si="65"/>
        <v>Good</v>
      </c>
    </row>
    <row r="2089" spans="1:14">
      <c r="A2089" t="s">
        <v>38</v>
      </c>
      <c r="B2089">
        <v>2005</v>
      </c>
      <c r="C2089" t="s">
        <v>4605</v>
      </c>
      <c r="D2089" t="s">
        <v>33</v>
      </c>
      <c r="E2089" t="s">
        <v>4606</v>
      </c>
      <c r="F2089" t="s">
        <v>46</v>
      </c>
      <c r="G2089">
        <v>45.89</v>
      </c>
      <c r="H2089">
        <v>91</v>
      </c>
      <c r="I2089" t="s">
        <v>29</v>
      </c>
      <c r="J2089" t="s">
        <v>24</v>
      </c>
      <c r="K2089" t="s">
        <v>1681</v>
      </c>
      <c r="L2089">
        <v>220</v>
      </c>
      <c r="M2089" t="str">
        <f t="shared" si="64"/>
        <v>High</v>
      </c>
      <c r="N2089" t="str">
        <f t="shared" si="65"/>
        <v>Excellent</v>
      </c>
    </row>
    <row r="2090" spans="1:14">
      <c r="A2090" t="s">
        <v>47</v>
      </c>
      <c r="B2090">
        <v>2001</v>
      </c>
      <c r="C2090" t="s">
        <v>4607</v>
      </c>
      <c r="D2090" t="s">
        <v>14</v>
      </c>
      <c r="E2090" t="s">
        <v>4608</v>
      </c>
      <c r="F2090" t="s">
        <v>42</v>
      </c>
      <c r="G2090">
        <v>40.89</v>
      </c>
      <c r="H2090">
        <v>90</v>
      </c>
      <c r="I2090" t="s">
        <v>23</v>
      </c>
      <c r="J2090" t="s">
        <v>24</v>
      </c>
      <c r="K2090" t="s">
        <v>1283</v>
      </c>
      <c r="L2090">
        <v>63</v>
      </c>
      <c r="M2090" t="str">
        <f t="shared" si="64"/>
        <v>High</v>
      </c>
      <c r="N2090" t="str">
        <f t="shared" si="65"/>
        <v>Excellent</v>
      </c>
    </row>
    <row r="2091" spans="1:14">
      <c r="A2091" t="s">
        <v>12</v>
      </c>
      <c r="B2091">
        <v>2002</v>
      </c>
      <c r="C2091" t="s">
        <v>4609</v>
      </c>
      <c r="D2091" t="s">
        <v>33</v>
      </c>
      <c r="E2091" t="s">
        <v>4610</v>
      </c>
      <c r="F2091" t="s">
        <v>46</v>
      </c>
      <c r="G2091">
        <v>19.649999999999999</v>
      </c>
      <c r="H2091">
        <v>72</v>
      </c>
      <c r="I2091" t="s">
        <v>29</v>
      </c>
      <c r="J2091" t="s">
        <v>18</v>
      </c>
      <c r="K2091" t="s">
        <v>986</v>
      </c>
      <c r="L2091">
        <v>22</v>
      </c>
      <c r="M2091" t="str">
        <f t="shared" si="64"/>
        <v>Medium</v>
      </c>
      <c r="N2091" t="str">
        <f t="shared" si="65"/>
        <v>Average</v>
      </c>
    </row>
    <row r="2092" spans="1:14">
      <c r="A2092" t="s">
        <v>31</v>
      </c>
      <c r="B2092">
        <v>2009</v>
      </c>
      <c r="C2092" t="s">
        <v>4611</v>
      </c>
      <c r="D2092" t="s">
        <v>33</v>
      </c>
      <c r="E2092" t="s">
        <v>4612</v>
      </c>
      <c r="F2092" t="s">
        <v>16</v>
      </c>
      <c r="G2092">
        <v>38.5</v>
      </c>
      <c r="H2092">
        <v>89</v>
      </c>
      <c r="I2092" t="s">
        <v>61</v>
      </c>
      <c r="J2092" t="s">
        <v>37</v>
      </c>
      <c r="K2092" t="s">
        <v>580</v>
      </c>
      <c r="L2092">
        <v>71</v>
      </c>
      <c r="M2092" t="str">
        <f t="shared" si="64"/>
        <v>High</v>
      </c>
      <c r="N2092" t="str">
        <f t="shared" si="65"/>
        <v>Good</v>
      </c>
    </row>
    <row r="2093" spans="1:14">
      <c r="A2093" t="s">
        <v>31</v>
      </c>
      <c r="B2093">
        <v>2024</v>
      </c>
      <c r="C2093" t="s">
        <v>4613</v>
      </c>
      <c r="D2093" t="s">
        <v>33</v>
      </c>
      <c r="E2093" t="s">
        <v>4614</v>
      </c>
      <c r="F2093" t="s">
        <v>35</v>
      </c>
      <c r="G2093">
        <v>41.3</v>
      </c>
      <c r="H2093">
        <v>97</v>
      </c>
      <c r="I2093" t="s">
        <v>29</v>
      </c>
      <c r="J2093" t="s">
        <v>18</v>
      </c>
      <c r="K2093" t="s">
        <v>4615</v>
      </c>
      <c r="L2093">
        <v>297</v>
      </c>
      <c r="M2093" t="str">
        <f t="shared" si="64"/>
        <v>High</v>
      </c>
      <c r="N2093" t="str">
        <f t="shared" si="65"/>
        <v>Excellent</v>
      </c>
    </row>
    <row r="2094" spans="1:14">
      <c r="A2094" t="s">
        <v>65</v>
      </c>
      <c r="B2094">
        <v>2022</v>
      </c>
      <c r="C2094" t="s">
        <v>4616</v>
      </c>
      <c r="D2094" t="s">
        <v>14</v>
      </c>
      <c r="E2094" t="s">
        <v>4617</v>
      </c>
      <c r="F2094" t="s">
        <v>35</v>
      </c>
      <c r="G2094">
        <v>45.47</v>
      </c>
      <c r="H2094">
        <v>90</v>
      </c>
      <c r="I2094" t="s">
        <v>23</v>
      </c>
      <c r="J2094" t="s">
        <v>18</v>
      </c>
      <c r="K2094" t="s">
        <v>4618</v>
      </c>
      <c r="L2094">
        <v>267</v>
      </c>
      <c r="M2094" t="str">
        <f t="shared" si="64"/>
        <v>High</v>
      </c>
      <c r="N2094" t="str">
        <f t="shared" si="65"/>
        <v>Excellent</v>
      </c>
    </row>
    <row r="2095" spans="1:14">
      <c r="A2095" t="s">
        <v>39</v>
      </c>
      <c r="B2095">
        <v>2022</v>
      </c>
      <c r="C2095" t="s">
        <v>4619</v>
      </c>
      <c r="D2095" t="s">
        <v>33</v>
      </c>
      <c r="E2095" t="s">
        <v>4620</v>
      </c>
      <c r="F2095" t="s">
        <v>42</v>
      </c>
      <c r="G2095">
        <v>29.73</v>
      </c>
      <c r="H2095">
        <v>92</v>
      </c>
      <c r="I2095" t="s">
        <v>36</v>
      </c>
      <c r="J2095" t="s">
        <v>18</v>
      </c>
      <c r="K2095" t="s">
        <v>184</v>
      </c>
      <c r="L2095">
        <v>17</v>
      </c>
      <c r="M2095" t="str">
        <f t="shared" si="64"/>
        <v>Medium</v>
      </c>
      <c r="N2095" t="str">
        <f t="shared" si="65"/>
        <v>Excellent</v>
      </c>
    </row>
    <row r="2096" spans="1:14">
      <c r="A2096" t="s">
        <v>39</v>
      </c>
      <c r="B2096">
        <v>2007</v>
      </c>
      <c r="C2096" t="s">
        <v>4621</v>
      </c>
      <c r="D2096" t="s">
        <v>14</v>
      </c>
      <c r="E2096" t="s">
        <v>4622</v>
      </c>
      <c r="F2096" t="s">
        <v>35</v>
      </c>
      <c r="G2096">
        <v>49.15</v>
      </c>
      <c r="H2096">
        <v>57</v>
      </c>
      <c r="I2096" t="s">
        <v>17</v>
      </c>
      <c r="J2096" t="s">
        <v>24</v>
      </c>
      <c r="K2096" t="s">
        <v>4154</v>
      </c>
      <c r="L2096">
        <v>304</v>
      </c>
      <c r="M2096" t="str">
        <f t="shared" si="64"/>
        <v>High</v>
      </c>
      <c r="N2096" t="str">
        <f t="shared" si="65"/>
        <v>Average</v>
      </c>
    </row>
    <row r="2097" spans="1:14">
      <c r="A2097" t="s">
        <v>38</v>
      </c>
      <c r="B2097">
        <v>2018</v>
      </c>
      <c r="C2097" t="s">
        <v>4623</v>
      </c>
      <c r="D2097" t="s">
        <v>14</v>
      </c>
      <c r="E2097" t="s">
        <v>4624</v>
      </c>
      <c r="F2097" t="s">
        <v>46</v>
      </c>
      <c r="G2097">
        <v>44.14</v>
      </c>
      <c r="H2097">
        <v>68</v>
      </c>
      <c r="I2097" t="s">
        <v>23</v>
      </c>
      <c r="J2097" t="s">
        <v>37</v>
      </c>
      <c r="K2097" t="s">
        <v>64</v>
      </c>
      <c r="L2097">
        <v>48</v>
      </c>
      <c r="M2097" t="str">
        <f t="shared" si="64"/>
        <v>High</v>
      </c>
      <c r="N2097" t="str">
        <f t="shared" si="65"/>
        <v>Average</v>
      </c>
    </row>
    <row r="2098" spans="1:14">
      <c r="A2098" t="s">
        <v>65</v>
      </c>
      <c r="B2098">
        <v>2007</v>
      </c>
      <c r="C2098" t="s">
        <v>4625</v>
      </c>
      <c r="D2098" t="s">
        <v>14</v>
      </c>
      <c r="E2098" t="s">
        <v>4626</v>
      </c>
      <c r="F2098" t="s">
        <v>42</v>
      </c>
      <c r="G2098">
        <v>9.33</v>
      </c>
      <c r="H2098">
        <v>93</v>
      </c>
      <c r="I2098" t="s">
        <v>36</v>
      </c>
      <c r="J2098" t="s">
        <v>18</v>
      </c>
      <c r="K2098" t="s">
        <v>819</v>
      </c>
      <c r="L2098">
        <v>80</v>
      </c>
      <c r="M2098" t="str">
        <f t="shared" si="64"/>
        <v>Low</v>
      </c>
      <c r="N2098" t="str">
        <f t="shared" si="65"/>
        <v>Excellent</v>
      </c>
    </row>
    <row r="2099" spans="1:14">
      <c r="A2099" t="s">
        <v>39</v>
      </c>
      <c r="B2099">
        <v>2009</v>
      </c>
      <c r="C2099" t="s">
        <v>4627</v>
      </c>
      <c r="D2099" t="s">
        <v>33</v>
      </c>
      <c r="E2099" t="s">
        <v>4628</v>
      </c>
      <c r="F2099" t="s">
        <v>16</v>
      </c>
      <c r="G2099">
        <v>49.75</v>
      </c>
      <c r="H2099">
        <v>90</v>
      </c>
      <c r="I2099" t="s">
        <v>61</v>
      </c>
      <c r="J2099" t="s">
        <v>24</v>
      </c>
      <c r="K2099" t="s">
        <v>68</v>
      </c>
      <c r="L2099">
        <v>314</v>
      </c>
      <c r="M2099" t="str">
        <f t="shared" si="64"/>
        <v>High</v>
      </c>
      <c r="N2099" t="str">
        <f t="shared" si="65"/>
        <v>Excellent</v>
      </c>
    </row>
    <row r="2100" spans="1:14">
      <c r="A2100" t="s">
        <v>38</v>
      </c>
      <c r="B2100">
        <v>2013</v>
      </c>
      <c r="C2100" t="s">
        <v>4629</v>
      </c>
      <c r="D2100" t="s">
        <v>14</v>
      </c>
      <c r="E2100" t="s">
        <v>4630</v>
      </c>
      <c r="F2100" t="s">
        <v>42</v>
      </c>
      <c r="G2100">
        <v>28.1</v>
      </c>
      <c r="H2100">
        <v>64</v>
      </c>
      <c r="I2100" t="s">
        <v>61</v>
      </c>
      <c r="J2100" t="s">
        <v>24</v>
      </c>
      <c r="K2100" t="s">
        <v>31</v>
      </c>
      <c r="L2100">
        <v>258</v>
      </c>
      <c r="M2100" t="str">
        <f t="shared" si="64"/>
        <v>Medium</v>
      </c>
      <c r="N2100" t="str">
        <f t="shared" si="65"/>
        <v>Average</v>
      </c>
    </row>
    <row r="2101" spans="1:14">
      <c r="A2101" t="s">
        <v>12</v>
      </c>
      <c r="B2101">
        <v>2013</v>
      </c>
      <c r="C2101" t="s">
        <v>4631</v>
      </c>
      <c r="D2101" t="s">
        <v>14</v>
      </c>
      <c r="E2101" t="s">
        <v>4632</v>
      </c>
      <c r="F2101" t="s">
        <v>35</v>
      </c>
      <c r="G2101">
        <v>10.130000000000001</v>
      </c>
      <c r="H2101">
        <v>77</v>
      </c>
      <c r="I2101" t="s">
        <v>17</v>
      </c>
      <c r="J2101" t="s">
        <v>18</v>
      </c>
      <c r="K2101" t="s">
        <v>20</v>
      </c>
      <c r="L2101">
        <v>145</v>
      </c>
      <c r="M2101" t="str">
        <f t="shared" si="64"/>
        <v>Low</v>
      </c>
      <c r="N2101" t="str">
        <f t="shared" si="65"/>
        <v>Good</v>
      </c>
    </row>
    <row r="2102" spans="1:14">
      <c r="A2102" t="s">
        <v>12</v>
      </c>
      <c r="B2102">
        <v>2004</v>
      </c>
      <c r="C2102" t="s">
        <v>4633</v>
      </c>
      <c r="D2102" t="s">
        <v>33</v>
      </c>
      <c r="E2102" t="s">
        <v>4634</v>
      </c>
      <c r="F2102" t="s">
        <v>42</v>
      </c>
      <c r="G2102">
        <v>11.86</v>
      </c>
      <c r="H2102">
        <v>94</v>
      </c>
      <c r="I2102" t="s">
        <v>17</v>
      </c>
      <c r="J2102" t="s">
        <v>24</v>
      </c>
      <c r="K2102" t="s">
        <v>2066</v>
      </c>
      <c r="L2102">
        <v>233</v>
      </c>
      <c r="M2102" t="str">
        <f t="shared" si="64"/>
        <v>Low</v>
      </c>
      <c r="N2102" t="str">
        <f t="shared" si="65"/>
        <v>Excellent</v>
      </c>
    </row>
    <row r="2103" spans="1:14">
      <c r="A2103" t="s">
        <v>47</v>
      </c>
      <c r="B2103">
        <v>2008</v>
      </c>
      <c r="C2103" t="s">
        <v>4635</v>
      </c>
      <c r="D2103" t="s">
        <v>33</v>
      </c>
      <c r="E2103" t="s">
        <v>4636</v>
      </c>
      <c r="F2103" t="s">
        <v>42</v>
      </c>
      <c r="G2103">
        <v>26.4</v>
      </c>
      <c r="H2103">
        <v>59</v>
      </c>
      <c r="I2103" t="s">
        <v>29</v>
      </c>
      <c r="J2103" t="s">
        <v>37</v>
      </c>
      <c r="K2103" t="s">
        <v>68</v>
      </c>
      <c r="L2103">
        <v>133</v>
      </c>
      <c r="M2103" t="str">
        <f t="shared" si="64"/>
        <v>Medium</v>
      </c>
      <c r="N2103" t="str">
        <f t="shared" si="65"/>
        <v>Average</v>
      </c>
    </row>
    <row r="2104" spans="1:14">
      <c r="A2104" t="s">
        <v>31</v>
      </c>
      <c r="B2104">
        <v>2006</v>
      </c>
      <c r="C2104" t="s">
        <v>4637</v>
      </c>
      <c r="D2104" t="s">
        <v>14</v>
      </c>
      <c r="E2104" t="s">
        <v>4638</v>
      </c>
      <c r="F2104" t="s">
        <v>16</v>
      </c>
      <c r="G2104">
        <v>24.09</v>
      </c>
      <c r="H2104">
        <v>83</v>
      </c>
      <c r="I2104" t="s">
        <v>36</v>
      </c>
      <c r="J2104" t="s">
        <v>37</v>
      </c>
      <c r="K2104" t="s">
        <v>1794</v>
      </c>
      <c r="L2104">
        <v>50</v>
      </c>
      <c r="M2104" t="str">
        <f t="shared" si="64"/>
        <v>Medium</v>
      </c>
      <c r="N2104" t="str">
        <f t="shared" si="65"/>
        <v>Good</v>
      </c>
    </row>
    <row r="2105" spans="1:14">
      <c r="A2105" t="s">
        <v>20</v>
      </c>
      <c r="B2105">
        <v>2000</v>
      </c>
      <c r="C2105" t="s">
        <v>4639</v>
      </c>
      <c r="D2105" t="s">
        <v>33</v>
      </c>
      <c r="E2105" t="s">
        <v>4640</v>
      </c>
      <c r="F2105" t="s">
        <v>35</v>
      </c>
      <c r="G2105">
        <v>29.95</v>
      </c>
      <c r="H2105">
        <v>57</v>
      </c>
      <c r="I2105" t="s">
        <v>61</v>
      </c>
      <c r="J2105" t="s">
        <v>24</v>
      </c>
      <c r="K2105" t="s">
        <v>48</v>
      </c>
      <c r="L2105">
        <v>303</v>
      </c>
      <c r="M2105" t="str">
        <f t="shared" si="64"/>
        <v>Medium</v>
      </c>
      <c r="N2105" t="str">
        <f t="shared" si="65"/>
        <v>Average</v>
      </c>
    </row>
    <row r="2106" spans="1:14">
      <c r="A2106" t="s">
        <v>26</v>
      </c>
      <c r="B2106">
        <v>2007</v>
      </c>
      <c r="C2106" t="s">
        <v>4641</v>
      </c>
      <c r="D2106" t="s">
        <v>33</v>
      </c>
      <c r="E2106" t="s">
        <v>4642</v>
      </c>
      <c r="F2106" t="s">
        <v>57</v>
      </c>
      <c r="G2106">
        <v>36.090000000000003</v>
      </c>
      <c r="H2106">
        <v>98</v>
      </c>
      <c r="I2106" t="s">
        <v>29</v>
      </c>
      <c r="J2106" t="s">
        <v>18</v>
      </c>
      <c r="K2106" t="s">
        <v>39</v>
      </c>
      <c r="L2106">
        <v>197</v>
      </c>
      <c r="M2106" t="str">
        <f t="shared" si="64"/>
        <v>High</v>
      </c>
      <c r="N2106" t="str">
        <f t="shared" si="65"/>
        <v>Excellent</v>
      </c>
    </row>
    <row r="2107" spans="1:14">
      <c r="A2107" t="s">
        <v>26</v>
      </c>
      <c r="B2107">
        <v>2015</v>
      </c>
      <c r="C2107" t="s">
        <v>4643</v>
      </c>
      <c r="D2107" t="s">
        <v>14</v>
      </c>
      <c r="E2107" t="s">
        <v>4644</v>
      </c>
      <c r="F2107" t="s">
        <v>46</v>
      </c>
      <c r="G2107">
        <v>19.829999999999998</v>
      </c>
      <c r="H2107">
        <v>59</v>
      </c>
      <c r="I2107" t="s">
        <v>61</v>
      </c>
      <c r="J2107" t="s">
        <v>24</v>
      </c>
      <c r="K2107" t="s">
        <v>31</v>
      </c>
      <c r="L2107">
        <v>85</v>
      </c>
      <c r="M2107" t="str">
        <f t="shared" si="64"/>
        <v>Medium</v>
      </c>
      <c r="N2107" t="str">
        <f t="shared" si="65"/>
        <v>Average</v>
      </c>
    </row>
    <row r="2108" spans="1:14">
      <c r="A2108" t="s">
        <v>26</v>
      </c>
      <c r="B2108">
        <v>2005</v>
      </c>
      <c r="C2108" t="s">
        <v>4645</v>
      </c>
      <c r="D2108" t="s">
        <v>33</v>
      </c>
      <c r="E2108" t="s">
        <v>3097</v>
      </c>
      <c r="F2108" t="s">
        <v>57</v>
      </c>
      <c r="G2108">
        <v>18.2</v>
      </c>
      <c r="H2108">
        <v>63</v>
      </c>
      <c r="I2108" t="s">
        <v>23</v>
      </c>
      <c r="J2108" t="s">
        <v>18</v>
      </c>
      <c r="K2108" t="s">
        <v>12</v>
      </c>
      <c r="L2108">
        <v>9</v>
      </c>
      <c r="M2108" t="str">
        <f t="shared" si="64"/>
        <v>Medium</v>
      </c>
      <c r="N2108" t="str">
        <f t="shared" si="65"/>
        <v>Average</v>
      </c>
    </row>
    <row r="2109" spans="1:14">
      <c r="A2109" t="s">
        <v>68</v>
      </c>
      <c r="B2109">
        <v>2003</v>
      </c>
      <c r="C2109" t="s">
        <v>4646</v>
      </c>
      <c r="D2109" t="s">
        <v>33</v>
      </c>
      <c r="E2109" t="s">
        <v>4647</v>
      </c>
      <c r="F2109" t="s">
        <v>35</v>
      </c>
      <c r="G2109">
        <v>40.47</v>
      </c>
      <c r="H2109">
        <v>56</v>
      </c>
      <c r="I2109" t="s">
        <v>17</v>
      </c>
      <c r="J2109" t="s">
        <v>24</v>
      </c>
      <c r="K2109" t="s">
        <v>68</v>
      </c>
      <c r="L2109">
        <v>122</v>
      </c>
      <c r="M2109" t="str">
        <f t="shared" si="64"/>
        <v>High</v>
      </c>
      <c r="N2109" t="str">
        <f t="shared" si="65"/>
        <v>Average</v>
      </c>
    </row>
    <row r="2110" spans="1:14">
      <c r="A2110" t="s">
        <v>31</v>
      </c>
      <c r="B2110">
        <v>2009</v>
      </c>
      <c r="C2110" t="s">
        <v>4648</v>
      </c>
      <c r="D2110" t="s">
        <v>33</v>
      </c>
      <c r="E2110" t="s">
        <v>4649</v>
      </c>
      <c r="F2110" t="s">
        <v>57</v>
      </c>
      <c r="G2110">
        <v>6.87</v>
      </c>
      <c r="H2110">
        <v>50</v>
      </c>
      <c r="I2110" t="s">
        <v>17</v>
      </c>
      <c r="J2110" t="s">
        <v>18</v>
      </c>
      <c r="K2110" t="s">
        <v>12</v>
      </c>
      <c r="L2110">
        <v>126</v>
      </c>
      <c r="M2110" t="str">
        <f t="shared" si="64"/>
        <v>Low</v>
      </c>
      <c r="N2110" t="str">
        <f t="shared" si="65"/>
        <v>Average</v>
      </c>
    </row>
    <row r="2111" spans="1:14">
      <c r="A2111" t="s">
        <v>26</v>
      </c>
      <c r="B2111">
        <v>2016</v>
      </c>
      <c r="C2111" t="s">
        <v>4650</v>
      </c>
      <c r="D2111" t="s">
        <v>33</v>
      </c>
      <c r="E2111" t="s">
        <v>4651</v>
      </c>
      <c r="F2111" t="s">
        <v>42</v>
      </c>
      <c r="G2111">
        <v>26.89</v>
      </c>
      <c r="H2111">
        <v>67</v>
      </c>
      <c r="I2111" t="s">
        <v>23</v>
      </c>
      <c r="J2111" t="s">
        <v>18</v>
      </c>
      <c r="K2111" t="s">
        <v>64</v>
      </c>
      <c r="L2111">
        <v>327</v>
      </c>
      <c r="M2111" t="str">
        <f t="shared" si="64"/>
        <v>Medium</v>
      </c>
      <c r="N2111" t="str">
        <f t="shared" si="65"/>
        <v>Average</v>
      </c>
    </row>
    <row r="2112" spans="1:14">
      <c r="A2112" t="s">
        <v>31</v>
      </c>
      <c r="B2112">
        <v>2011</v>
      </c>
      <c r="C2112" t="s">
        <v>4652</v>
      </c>
      <c r="D2112" t="s">
        <v>33</v>
      </c>
      <c r="E2112" t="s">
        <v>4653</v>
      </c>
      <c r="F2112" t="s">
        <v>46</v>
      </c>
      <c r="G2112">
        <v>31.99</v>
      </c>
      <c r="H2112">
        <v>83</v>
      </c>
      <c r="I2112" t="s">
        <v>61</v>
      </c>
      <c r="J2112" t="s">
        <v>37</v>
      </c>
      <c r="K2112" t="s">
        <v>1283</v>
      </c>
      <c r="L2112">
        <v>186</v>
      </c>
      <c r="M2112" t="str">
        <f t="shared" si="64"/>
        <v>Medium</v>
      </c>
      <c r="N2112" t="str">
        <f t="shared" si="65"/>
        <v>Good</v>
      </c>
    </row>
    <row r="2113" spans="1:14">
      <c r="A2113" t="s">
        <v>20</v>
      </c>
      <c r="B2113">
        <v>2002</v>
      </c>
      <c r="C2113" t="s">
        <v>4654</v>
      </c>
      <c r="D2113" t="s">
        <v>33</v>
      </c>
      <c r="E2113" t="s">
        <v>4655</v>
      </c>
      <c r="F2113" t="s">
        <v>16</v>
      </c>
      <c r="G2113">
        <v>13.49</v>
      </c>
      <c r="H2113">
        <v>70</v>
      </c>
      <c r="I2113" t="s">
        <v>36</v>
      </c>
      <c r="J2113" t="s">
        <v>37</v>
      </c>
      <c r="K2113" t="s">
        <v>636</v>
      </c>
      <c r="L2113">
        <v>82</v>
      </c>
      <c r="M2113" t="str">
        <f t="shared" si="64"/>
        <v>Low</v>
      </c>
      <c r="N2113" t="str">
        <f t="shared" si="65"/>
        <v>Average</v>
      </c>
    </row>
    <row r="2114" spans="1:14">
      <c r="A2114" t="s">
        <v>39</v>
      </c>
      <c r="B2114">
        <v>2020</v>
      </c>
      <c r="C2114" t="s">
        <v>4656</v>
      </c>
      <c r="D2114" t="s">
        <v>14</v>
      </c>
      <c r="E2114" t="s">
        <v>4657</v>
      </c>
      <c r="F2114" t="s">
        <v>57</v>
      </c>
      <c r="G2114">
        <v>32.14</v>
      </c>
      <c r="H2114">
        <v>98</v>
      </c>
      <c r="I2114" t="s">
        <v>23</v>
      </c>
      <c r="J2114" t="s">
        <v>18</v>
      </c>
      <c r="K2114" t="s">
        <v>123</v>
      </c>
      <c r="L2114">
        <v>342</v>
      </c>
      <c r="M2114" t="str">
        <f t="shared" si="64"/>
        <v>Medium</v>
      </c>
      <c r="N2114" t="str">
        <f t="shared" si="65"/>
        <v>Excellent</v>
      </c>
    </row>
    <row r="2115" spans="1:14">
      <c r="A2115" t="s">
        <v>20</v>
      </c>
      <c r="B2115">
        <v>2023</v>
      </c>
      <c r="C2115" t="s">
        <v>4658</v>
      </c>
      <c r="D2115" t="s">
        <v>33</v>
      </c>
      <c r="E2115" t="s">
        <v>4659</v>
      </c>
      <c r="F2115" t="s">
        <v>46</v>
      </c>
      <c r="G2115">
        <v>5.68</v>
      </c>
      <c r="H2115">
        <v>80</v>
      </c>
      <c r="I2115" t="s">
        <v>36</v>
      </c>
      <c r="J2115" t="s">
        <v>24</v>
      </c>
      <c r="K2115" t="s">
        <v>31</v>
      </c>
      <c r="L2115">
        <v>285</v>
      </c>
      <c r="M2115" t="str">
        <f t="shared" ref="M2115:M2178" si="66">IF(G2115&lt;15,"Low",IF(G2115&lt;35,"Medium","High"))</f>
        <v>Low</v>
      </c>
      <c r="N2115" t="str">
        <f t="shared" ref="N2115:N2178" si="67">IF(H2115&gt;=90,"Excellent",IF(H2115&gt;=75,"Good","Average"))</f>
        <v>Good</v>
      </c>
    </row>
    <row r="2116" spans="1:14">
      <c r="A2116" t="s">
        <v>65</v>
      </c>
      <c r="B2116">
        <v>2007</v>
      </c>
      <c r="C2116" t="s">
        <v>4660</v>
      </c>
      <c r="D2116" t="s">
        <v>33</v>
      </c>
      <c r="E2116" t="s">
        <v>4661</v>
      </c>
      <c r="F2116" t="s">
        <v>46</v>
      </c>
      <c r="G2116">
        <v>37.11</v>
      </c>
      <c r="H2116">
        <v>89</v>
      </c>
      <c r="I2116" t="s">
        <v>29</v>
      </c>
      <c r="J2116" t="s">
        <v>24</v>
      </c>
      <c r="K2116" t="s">
        <v>12</v>
      </c>
      <c r="L2116">
        <v>157</v>
      </c>
      <c r="M2116" t="str">
        <f t="shared" si="66"/>
        <v>High</v>
      </c>
      <c r="N2116" t="str">
        <f t="shared" si="67"/>
        <v>Good</v>
      </c>
    </row>
    <row r="2117" spans="1:14">
      <c r="A2117" t="s">
        <v>68</v>
      </c>
      <c r="B2117">
        <v>2024</v>
      </c>
      <c r="C2117" t="s">
        <v>4662</v>
      </c>
      <c r="D2117" t="s">
        <v>14</v>
      </c>
      <c r="E2117" t="s">
        <v>4663</v>
      </c>
      <c r="F2117" t="s">
        <v>57</v>
      </c>
      <c r="G2117">
        <v>43.6</v>
      </c>
      <c r="H2117">
        <v>96</v>
      </c>
      <c r="I2117" t="s">
        <v>36</v>
      </c>
      <c r="J2117" t="s">
        <v>37</v>
      </c>
      <c r="K2117" t="s">
        <v>1642</v>
      </c>
      <c r="L2117">
        <v>247</v>
      </c>
      <c r="M2117" t="str">
        <f t="shared" si="66"/>
        <v>High</v>
      </c>
      <c r="N2117" t="str">
        <f t="shared" si="67"/>
        <v>Excellent</v>
      </c>
    </row>
    <row r="2118" spans="1:14">
      <c r="A2118" t="s">
        <v>20</v>
      </c>
      <c r="B2118">
        <v>2020</v>
      </c>
      <c r="C2118" t="s">
        <v>4664</v>
      </c>
      <c r="D2118" t="s">
        <v>33</v>
      </c>
      <c r="E2118" t="s">
        <v>4665</v>
      </c>
      <c r="F2118" t="s">
        <v>57</v>
      </c>
      <c r="G2118">
        <v>30.59</v>
      </c>
      <c r="H2118">
        <v>96</v>
      </c>
      <c r="I2118" t="s">
        <v>29</v>
      </c>
      <c r="J2118" t="s">
        <v>37</v>
      </c>
      <c r="K2118" t="s">
        <v>48</v>
      </c>
      <c r="L2118">
        <v>21</v>
      </c>
      <c r="M2118" t="str">
        <f t="shared" si="66"/>
        <v>Medium</v>
      </c>
      <c r="N2118" t="str">
        <f t="shared" si="67"/>
        <v>Excellent</v>
      </c>
    </row>
    <row r="2119" spans="1:14">
      <c r="A2119" t="s">
        <v>65</v>
      </c>
      <c r="B2119">
        <v>2013</v>
      </c>
      <c r="C2119" t="s">
        <v>4666</v>
      </c>
      <c r="D2119" t="s">
        <v>14</v>
      </c>
      <c r="E2119" t="s">
        <v>4667</v>
      </c>
      <c r="F2119" t="s">
        <v>16</v>
      </c>
      <c r="G2119">
        <v>16.329999999999998</v>
      </c>
      <c r="H2119">
        <v>68</v>
      </c>
      <c r="I2119" t="s">
        <v>23</v>
      </c>
      <c r="J2119" t="s">
        <v>37</v>
      </c>
      <c r="K2119" t="s">
        <v>39</v>
      </c>
      <c r="L2119">
        <v>329</v>
      </c>
      <c r="M2119" t="str">
        <f t="shared" si="66"/>
        <v>Medium</v>
      </c>
      <c r="N2119" t="str">
        <f t="shared" si="67"/>
        <v>Average</v>
      </c>
    </row>
    <row r="2120" spans="1:14">
      <c r="A2120" t="s">
        <v>20</v>
      </c>
      <c r="B2120">
        <v>2013</v>
      </c>
      <c r="C2120" t="s">
        <v>4668</v>
      </c>
      <c r="D2120" t="s">
        <v>14</v>
      </c>
      <c r="E2120" t="s">
        <v>4669</v>
      </c>
      <c r="F2120" t="s">
        <v>16</v>
      </c>
      <c r="G2120">
        <v>33.659999999999997</v>
      </c>
      <c r="H2120">
        <v>58</v>
      </c>
      <c r="I2120" t="s">
        <v>61</v>
      </c>
      <c r="J2120" t="s">
        <v>37</v>
      </c>
      <c r="K2120" t="s">
        <v>20</v>
      </c>
      <c r="L2120">
        <v>150</v>
      </c>
      <c r="M2120" t="str">
        <f t="shared" si="66"/>
        <v>Medium</v>
      </c>
      <c r="N2120" t="str">
        <f t="shared" si="67"/>
        <v>Average</v>
      </c>
    </row>
    <row r="2121" spans="1:14">
      <c r="A2121" t="s">
        <v>47</v>
      </c>
      <c r="B2121">
        <v>2002</v>
      </c>
      <c r="C2121" t="s">
        <v>4670</v>
      </c>
      <c r="D2121" t="s">
        <v>33</v>
      </c>
      <c r="E2121" t="s">
        <v>4671</v>
      </c>
      <c r="F2121" t="s">
        <v>42</v>
      </c>
      <c r="G2121">
        <v>47.48</v>
      </c>
      <c r="H2121">
        <v>91</v>
      </c>
      <c r="I2121" t="s">
        <v>29</v>
      </c>
      <c r="J2121" t="s">
        <v>24</v>
      </c>
      <c r="K2121" t="s">
        <v>20</v>
      </c>
      <c r="L2121">
        <v>8</v>
      </c>
      <c r="M2121" t="str">
        <f t="shared" si="66"/>
        <v>High</v>
      </c>
      <c r="N2121" t="str">
        <f t="shared" si="67"/>
        <v>Excellent</v>
      </c>
    </row>
    <row r="2122" spans="1:14">
      <c r="A2122" t="s">
        <v>38</v>
      </c>
      <c r="B2122">
        <v>2022</v>
      </c>
      <c r="C2122" t="s">
        <v>4672</v>
      </c>
      <c r="D2122" t="s">
        <v>14</v>
      </c>
      <c r="E2122" t="s">
        <v>4673</v>
      </c>
      <c r="F2122" t="s">
        <v>16</v>
      </c>
      <c r="G2122">
        <v>5.84</v>
      </c>
      <c r="H2122">
        <v>81</v>
      </c>
      <c r="I2122" t="s">
        <v>17</v>
      </c>
      <c r="J2122" t="s">
        <v>37</v>
      </c>
      <c r="K2122" t="s">
        <v>48</v>
      </c>
      <c r="L2122">
        <v>160</v>
      </c>
      <c r="M2122" t="str">
        <f t="shared" si="66"/>
        <v>Low</v>
      </c>
      <c r="N2122" t="str">
        <f t="shared" si="67"/>
        <v>Good</v>
      </c>
    </row>
    <row r="2123" spans="1:14">
      <c r="A2123" t="s">
        <v>20</v>
      </c>
      <c r="B2123">
        <v>2016</v>
      </c>
      <c r="C2123" t="s">
        <v>4674</v>
      </c>
      <c r="D2123" t="s">
        <v>33</v>
      </c>
      <c r="E2123" t="s">
        <v>4675</v>
      </c>
      <c r="F2123" t="s">
        <v>57</v>
      </c>
      <c r="G2123">
        <v>28.2</v>
      </c>
      <c r="H2123">
        <v>85</v>
      </c>
      <c r="I2123" t="s">
        <v>17</v>
      </c>
      <c r="J2123" t="s">
        <v>18</v>
      </c>
      <c r="K2123" t="s">
        <v>65</v>
      </c>
      <c r="L2123">
        <v>243</v>
      </c>
      <c r="M2123" t="str">
        <f t="shared" si="66"/>
        <v>Medium</v>
      </c>
      <c r="N2123" t="str">
        <f t="shared" si="67"/>
        <v>Good</v>
      </c>
    </row>
    <row r="2124" spans="1:14">
      <c r="A2124" t="s">
        <v>26</v>
      </c>
      <c r="B2124">
        <v>2018</v>
      </c>
      <c r="C2124" t="s">
        <v>4676</v>
      </c>
      <c r="D2124" t="s">
        <v>33</v>
      </c>
      <c r="E2124" t="s">
        <v>4300</v>
      </c>
      <c r="F2124" t="s">
        <v>35</v>
      </c>
      <c r="G2124">
        <v>17.93</v>
      </c>
      <c r="H2124">
        <v>68</v>
      </c>
      <c r="I2124" t="s">
        <v>17</v>
      </c>
      <c r="J2124" t="s">
        <v>18</v>
      </c>
      <c r="K2124" t="s">
        <v>305</v>
      </c>
      <c r="L2124">
        <v>21</v>
      </c>
      <c r="M2124" t="str">
        <f t="shared" si="66"/>
        <v>Medium</v>
      </c>
      <c r="N2124" t="str">
        <f t="shared" si="67"/>
        <v>Average</v>
      </c>
    </row>
    <row r="2125" spans="1:14">
      <c r="A2125" t="s">
        <v>47</v>
      </c>
      <c r="B2125">
        <v>2017</v>
      </c>
      <c r="C2125" t="s">
        <v>4677</v>
      </c>
      <c r="D2125" t="s">
        <v>14</v>
      </c>
      <c r="E2125" t="s">
        <v>2699</v>
      </c>
      <c r="F2125" t="s">
        <v>35</v>
      </c>
      <c r="G2125">
        <v>9.6999999999999993</v>
      </c>
      <c r="H2125">
        <v>70</v>
      </c>
      <c r="I2125" t="s">
        <v>29</v>
      </c>
      <c r="J2125" t="s">
        <v>18</v>
      </c>
      <c r="K2125" t="s">
        <v>508</v>
      </c>
      <c r="L2125">
        <v>224</v>
      </c>
      <c r="M2125" t="str">
        <f t="shared" si="66"/>
        <v>Low</v>
      </c>
      <c r="N2125" t="str">
        <f t="shared" si="67"/>
        <v>Average</v>
      </c>
    </row>
    <row r="2126" spans="1:14">
      <c r="A2126" t="s">
        <v>20</v>
      </c>
      <c r="B2126">
        <v>2005</v>
      </c>
      <c r="C2126" t="s">
        <v>4678</v>
      </c>
      <c r="D2126" t="s">
        <v>33</v>
      </c>
      <c r="E2126" t="s">
        <v>3698</v>
      </c>
      <c r="F2126" t="s">
        <v>57</v>
      </c>
      <c r="G2126">
        <v>20.51</v>
      </c>
      <c r="H2126">
        <v>69</v>
      </c>
      <c r="I2126" t="s">
        <v>36</v>
      </c>
      <c r="J2126" t="s">
        <v>18</v>
      </c>
      <c r="K2126" t="s">
        <v>942</v>
      </c>
      <c r="L2126">
        <v>284</v>
      </c>
      <c r="M2126" t="str">
        <f t="shared" si="66"/>
        <v>Medium</v>
      </c>
      <c r="N2126" t="str">
        <f t="shared" si="67"/>
        <v>Average</v>
      </c>
    </row>
    <row r="2127" spans="1:14">
      <c r="A2127" t="s">
        <v>12</v>
      </c>
      <c r="B2127">
        <v>2022</v>
      </c>
      <c r="C2127" t="s">
        <v>4679</v>
      </c>
      <c r="D2127" t="s">
        <v>33</v>
      </c>
      <c r="E2127" t="s">
        <v>4680</v>
      </c>
      <c r="F2127" t="s">
        <v>16</v>
      </c>
      <c r="G2127">
        <v>4.59</v>
      </c>
      <c r="H2127">
        <v>52</v>
      </c>
      <c r="I2127" t="s">
        <v>36</v>
      </c>
      <c r="J2127" t="s">
        <v>18</v>
      </c>
      <c r="K2127" t="s">
        <v>39</v>
      </c>
      <c r="L2127">
        <v>140</v>
      </c>
      <c r="M2127" t="str">
        <f t="shared" si="66"/>
        <v>Low</v>
      </c>
      <c r="N2127" t="str">
        <f t="shared" si="67"/>
        <v>Average</v>
      </c>
    </row>
    <row r="2128" spans="1:14">
      <c r="A2128" t="s">
        <v>68</v>
      </c>
      <c r="B2128">
        <v>2022</v>
      </c>
      <c r="C2128" t="s">
        <v>4681</v>
      </c>
      <c r="D2128" t="s">
        <v>14</v>
      </c>
      <c r="E2128" t="s">
        <v>4682</v>
      </c>
      <c r="F2128" t="s">
        <v>46</v>
      </c>
      <c r="G2128">
        <v>28.36</v>
      </c>
      <c r="H2128">
        <v>70</v>
      </c>
      <c r="I2128" t="s">
        <v>36</v>
      </c>
      <c r="J2128" t="s">
        <v>24</v>
      </c>
      <c r="K2128" t="s">
        <v>31</v>
      </c>
      <c r="L2128">
        <v>307</v>
      </c>
      <c r="M2128" t="str">
        <f t="shared" si="66"/>
        <v>Medium</v>
      </c>
      <c r="N2128" t="str">
        <f t="shared" si="67"/>
        <v>Average</v>
      </c>
    </row>
    <row r="2129" spans="1:14">
      <c r="A2129" t="s">
        <v>12</v>
      </c>
      <c r="B2129">
        <v>2014</v>
      </c>
      <c r="C2129" t="s">
        <v>4683</v>
      </c>
      <c r="D2129" t="s">
        <v>33</v>
      </c>
      <c r="E2129" t="s">
        <v>4684</v>
      </c>
      <c r="F2129" t="s">
        <v>35</v>
      </c>
      <c r="G2129">
        <v>3.6</v>
      </c>
      <c r="H2129">
        <v>87</v>
      </c>
      <c r="I2129" t="s">
        <v>23</v>
      </c>
      <c r="J2129" t="s">
        <v>18</v>
      </c>
      <c r="K2129" t="s">
        <v>68</v>
      </c>
      <c r="L2129">
        <v>76</v>
      </c>
      <c r="M2129" t="str">
        <f t="shared" si="66"/>
        <v>Low</v>
      </c>
      <c r="N2129" t="str">
        <f t="shared" si="67"/>
        <v>Good</v>
      </c>
    </row>
    <row r="2130" spans="1:14">
      <c r="A2130" t="s">
        <v>31</v>
      </c>
      <c r="B2130">
        <v>2014</v>
      </c>
      <c r="C2130" t="s">
        <v>4685</v>
      </c>
      <c r="D2130" t="s">
        <v>33</v>
      </c>
      <c r="E2130" t="s">
        <v>4686</v>
      </c>
      <c r="F2130" t="s">
        <v>57</v>
      </c>
      <c r="G2130">
        <v>25.36</v>
      </c>
      <c r="H2130">
        <v>85</v>
      </c>
      <c r="I2130" t="s">
        <v>36</v>
      </c>
      <c r="J2130" t="s">
        <v>18</v>
      </c>
      <c r="K2130" t="s">
        <v>292</v>
      </c>
      <c r="L2130">
        <v>302</v>
      </c>
      <c r="M2130" t="str">
        <f t="shared" si="66"/>
        <v>Medium</v>
      </c>
      <c r="N2130" t="str">
        <f t="shared" si="67"/>
        <v>Good</v>
      </c>
    </row>
    <row r="2131" spans="1:14">
      <c r="A2131" t="s">
        <v>12</v>
      </c>
      <c r="B2131">
        <v>2006</v>
      </c>
      <c r="C2131" t="s">
        <v>4687</v>
      </c>
      <c r="D2131" t="s">
        <v>33</v>
      </c>
      <c r="E2131" t="s">
        <v>449</v>
      </c>
      <c r="F2131" t="s">
        <v>35</v>
      </c>
      <c r="G2131">
        <v>46.7</v>
      </c>
      <c r="H2131">
        <v>97</v>
      </c>
      <c r="I2131" t="s">
        <v>23</v>
      </c>
      <c r="J2131" t="s">
        <v>37</v>
      </c>
      <c r="K2131" t="s">
        <v>323</v>
      </c>
      <c r="L2131">
        <v>213</v>
      </c>
      <c r="M2131" t="str">
        <f t="shared" si="66"/>
        <v>High</v>
      </c>
      <c r="N2131" t="str">
        <f t="shared" si="67"/>
        <v>Excellent</v>
      </c>
    </row>
    <row r="2132" spans="1:14">
      <c r="A2132" t="s">
        <v>48</v>
      </c>
      <c r="B2132">
        <v>2016</v>
      </c>
      <c r="C2132" t="s">
        <v>4688</v>
      </c>
      <c r="D2132" t="s">
        <v>33</v>
      </c>
      <c r="E2132" t="s">
        <v>4689</v>
      </c>
      <c r="F2132" t="s">
        <v>57</v>
      </c>
      <c r="G2132">
        <v>1.1000000000000001</v>
      </c>
      <c r="H2132">
        <v>93</v>
      </c>
      <c r="I2132" t="s">
        <v>36</v>
      </c>
      <c r="J2132" t="s">
        <v>37</v>
      </c>
      <c r="K2132" t="s">
        <v>4690</v>
      </c>
      <c r="L2132">
        <v>12</v>
      </c>
      <c r="M2132" t="str">
        <f t="shared" si="66"/>
        <v>Low</v>
      </c>
      <c r="N2132" t="str">
        <f t="shared" si="67"/>
        <v>Excellent</v>
      </c>
    </row>
    <row r="2133" spans="1:14">
      <c r="A2133" t="s">
        <v>31</v>
      </c>
      <c r="B2133">
        <v>2011</v>
      </c>
      <c r="C2133" t="s">
        <v>4691</v>
      </c>
      <c r="D2133" t="s">
        <v>33</v>
      </c>
      <c r="E2133" t="s">
        <v>4692</v>
      </c>
      <c r="F2133" t="s">
        <v>42</v>
      </c>
      <c r="G2133">
        <v>12.63</v>
      </c>
      <c r="H2133">
        <v>96</v>
      </c>
      <c r="I2133" t="s">
        <v>23</v>
      </c>
      <c r="J2133" t="s">
        <v>37</v>
      </c>
      <c r="K2133" t="s">
        <v>48</v>
      </c>
      <c r="L2133">
        <v>123</v>
      </c>
      <c r="M2133" t="str">
        <f t="shared" si="66"/>
        <v>Low</v>
      </c>
      <c r="N2133" t="str">
        <f t="shared" si="67"/>
        <v>Excellent</v>
      </c>
    </row>
    <row r="2134" spans="1:14">
      <c r="A2134" t="s">
        <v>48</v>
      </c>
      <c r="B2134">
        <v>2021</v>
      </c>
      <c r="C2134" t="s">
        <v>4693</v>
      </c>
      <c r="D2134" t="s">
        <v>14</v>
      </c>
      <c r="E2134" t="s">
        <v>4694</v>
      </c>
      <c r="F2134" t="s">
        <v>16</v>
      </c>
      <c r="G2134">
        <v>41.37</v>
      </c>
      <c r="H2134">
        <v>87</v>
      </c>
      <c r="I2134" t="s">
        <v>17</v>
      </c>
      <c r="J2134" t="s">
        <v>24</v>
      </c>
      <c r="K2134" t="s">
        <v>12</v>
      </c>
      <c r="L2134">
        <v>344</v>
      </c>
      <c r="M2134" t="str">
        <f t="shared" si="66"/>
        <v>High</v>
      </c>
      <c r="N2134" t="str">
        <f t="shared" si="67"/>
        <v>Good</v>
      </c>
    </row>
    <row r="2135" spans="1:14">
      <c r="A2135" t="s">
        <v>47</v>
      </c>
      <c r="B2135">
        <v>2000</v>
      </c>
      <c r="C2135" t="s">
        <v>4695</v>
      </c>
      <c r="D2135" t="s">
        <v>33</v>
      </c>
      <c r="E2135" t="s">
        <v>4696</v>
      </c>
      <c r="F2135" t="s">
        <v>42</v>
      </c>
      <c r="G2135">
        <v>30.85</v>
      </c>
      <c r="H2135">
        <v>89</v>
      </c>
      <c r="I2135" t="s">
        <v>36</v>
      </c>
      <c r="J2135" t="s">
        <v>18</v>
      </c>
      <c r="K2135" t="s">
        <v>48</v>
      </c>
      <c r="L2135">
        <v>105</v>
      </c>
      <c r="M2135" t="str">
        <f t="shared" si="66"/>
        <v>Medium</v>
      </c>
      <c r="N2135" t="str">
        <f t="shared" si="67"/>
        <v>Good</v>
      </c>
    </row>
    <row r="2136" spans="1:14">
      <c r="A2136" t="s">
        <v>47</v>
      </c>
      <c r="B2136">
        <v>2025</v>
      </c>
      <c r="C2136" t="s">
        <v>4245</v>
      </c>
      <c r="D2136" t="s">
        <v>14</v>
      </c>
      <c r="E2136" t="s">
        <v>3467</v>
      </c>
      <c r="F2136" t="s">
        <v>16</v>
      </c>
      <c r="G2136">
        <v>8.73</v>
      </c>
      <c r="H2136">
        <v>54</v>
      </c>
      <c r="I2136" t="s">
        <v>29</v>
      </c>
      <c r="J2136" t="s">
        <v>18</v>
      </c>
      <c r="K2136" t="s">
        <v>48</v>
      </c>
      <c r="L2136">
        <v>145</v>
      </c>
      <c r="M2136" t="str">
        <f t="shared" si="66"/>
        <v>Low</v>
      </c>
      <c r="N2136" t="str">
        <f t="shared" si="67"/>
        <v>Average</v>
      </c>
    </row>
    <row r="2137" spans="1:14">
      <c r="A2137" t="s">
        <v>48</v>
      </c>
      <c r="B2137">
        <v>2020</v>
      </c>
      <c r="C2137" t="s">
        <v>4697</v>
      </c>
      <c r="D2137" t="s">
        <v>14</v>
      </c>
      <c r="E2137" t="s">
        <v>4698</v>
      </c>
      <c r="F2137" t="s">
        <v>42</v>
      </c>
      <c r="G2137">
        <v>42.92</v>
      </c>
      <c r="H2137">
        <v>100</v>
      </c>
      <c r="I2137" t="s">
        <v>61</v>
      </c>
      <c r="J2137" t="s">
        <v>37</v>
      </c>
      <c r="K2137" t="s">
        <v>2496</v>
      </c>
      <c r="L2137">
        <v>218</v>
      </c>
      <c r="M2137" t="str">
        <f t="shared" si="66"/>
        <v>High</v>
      </c>
      <c r="N2137" t="str">
        <f t="shared" si="67"/>
        <v>Excellent</v>
      </c>
    </row>
    <row r="2138" spans="1:14">
      <c r="A2138" t="s">
        <v>48</v>
      </c>
      <c r="B2138">
        <v>2016</v>
      </c>
      <c r="C2138" t="s">
        <v>4699</v>
      </c>
      <c r="D2138" t="s">
        <v>14</v>
      </c>
      <c r="E2138" t="s">
        <v>4700</v>
      </c>
      <c r="F2138" t="s">
        <v>42</v>
      </c>
      <c r="G2138">
        <v>2.2799999999999998</v>
      </c>
      <c r="H2138">
        <v>88</v>
      </c>
      <c r="I2138" t="s">
        <v>36</v>
      </c>
      <c r="J2138" t="s">
        <v>24</v>
      </c>
      <c r="K2138" t="s">
        <v>68</v>
      </c>
      <c r="L2138">
        <v>317</v>
      </c>
      <c r="M2138" t="str">
        <f t="shared" si="66"/>
        <v>Low</v>
      </c>
      <c r="N2138" t="str">
        <f t="shared" si="67"/>
        <v>Good</v>
      </c>
    </row>
    <row r="2139" spans="1:14">
      <c r="A2139" t="s">
        <v>68</v>
      </c>
      <c r="B2139">
        <v>2014</v>
      </c>
      <c r="C2139" t="s">
        <v>4701</v>
      </c>
      <c r="D2139" t="s">
        <v>33</v>
      </c>
      <c r="E2139" t="s">
        <v>4702</v>
      </c>
      <c r="F2139" t="s">
        <v>35</v>
      </c>
      <c r="G2139">
        <v>3.82</v>
      </c>
      <c r="H2139">
        <v>69</v>
      </c>
      <c r="I2139" t="s">
        <v>23</v>
      </c>
      <c r="J2139" t="s">
        <v>37</v>
      </c>
      <c r="K2139" t="s">
        <v>4703</v>
      </c>
      <c r="L2139">
        <v>203</v>
      </c>
      <c r="M2139" t="str">
        <f t="shared" si="66"/>
        <v>Low</v>
      </c>
      <c r="N2139" t="str">
        <f t="shared" si="67"/>
        <v>Average</v>
      </c>
    </row>
    <row r="2140" spans="1:14">
      <c r="A2140" t="s">
        <v>39</v>
      </c>
      <c r="B2140">
        <v>2021</v>
      </c>
      <c r="C2140" t="s">
        <v>4704</v>
      </c>
      <c r="D2140" t="s">
        <v>14</v>
      </c>
      <c r="E2140" t="s">
        <v>4705</v>
      </c>
      <c r="F2140" t="s">
        <v>46</v>
      </c>
      <c r="G2140">
        <v>25.5</v>
      </c>
      <c r="H2140">
        <v>89</v>
      </c>
      <c r="I2140" t="s">
        <v>61</v>
      </c>
      <c r="J2140" t="s">
        <v>37</v>
      </c>
      <c r="K2140" t="s">
        <v>610</v>
      </c>
      <c r="L2140">
        <v>234</v>
      </c>
      <c r="M2140" t="str">
        <f t="shared" si="66"/>
        <v>Medium</v>
      </c>
      <c r="N2140" t="str">
        <f t="shared" si="67"/>
        <v>Good</v>
      </c>
    </row>
    <row r="2141" spans="1:14">
      <c r="A2141" t="s">
        <v>38</v>
      </c>
      <c r="B2141">
        <v>2001</v>
      </c>
      <c r="C2141" t="s">
        <v>4706</v>
      </c>
      <c r="D2141" t="s">
        <v>14</v>
      </c>
      <c r="E2141" t="s">
        <v>4707</v>
      </c>
      <c r="F2141" t="s">
        <v>35</v>
      </c>
      <c r="G2141">
        <v>41.16</v>
      </c>
      <c r="H2141">
        <v>63</v>
      </c>
      <c r="I2141" t="s">
        <v>17</v>
      </c>
      <c r="J2141" t="s">
        <v>18</v>
      </c>
      <c r="K2141" t="s">
        <v>366</v>
      </c>
      <c r="L2141">
        <v>180</v>
      </c>
      <c r="M2141" t="str">
        <f t="shared" si="66"/>
        <v>High</v>
      </c>
      <c r="N2141" t="str">
        <f t="shared" si="67"/>
        <v>Average</v>
      </c>
    </row>
    <row r="2142" spans="1:14">
      <c r="A2142" t="s">
        <v>65</v>
      </c>
      <c r="B2142">
        <v>2004</v>
      </c>
      <c r="C2142" t="s">
        <v>4708</v>
      </c>
      <c r="D2142" t="s">
        <v>14</v>
      </c>
      <c r="E2142" t="s">
        <v>1098</v>
      </c>
      <c r="F2142" t="s">
        <v>46</v>
      </c>
      <c r="G2142">
        <v>4.29</v>
      </c>
      <c r="H2142">
        <v>81</v>
      </c>
      <c r="I2142" t="s">
        <v>29</v>
      </c>
      <c r="J2142" t="s">
        <v>18</v>
      </c>
      <c r="K2142" t="s">
        <v>4709</v>
      </c>
      <c r="L2142">
        <v>241</v>
      </c>
      <c r="M2142" t="str">
        <f t="shared" si="66"/>
        <v>Low</v>
      </c>
      <c r="N2142" t="str">
        <f t="shared" si="67"/>
        <v>Good</v>
      </c>
    </row>
    <row r="2143" spans="1:14">
      <c r="A2143" t="s">
        <v>47</v>
      </c>
      <c r="B2143">
        <v>2022</v>
      </c>
      <c r="C2143" t="s">
        <v>4710</v>
      </c>
      <c r="D2143" t="s">
        <v>33</v>
      </c>
      <c r="E2143" t="s">
        <v>4711</v>
      </c>
      <c r="F2143" t="s">
        <v>42</v>
      </c>
      <c r="G2143">
        <v>4.83</v>
      </c>
      <c r="H2143">
        <v>83</v>
      </c>
      <c r="I2143" t="s">
        <v>61</v>
      </c>
      <c r="J2143" t="s">
        <v>18</v>
      </c>
      <c r="K2143" t="s">
        <v>2020</v>
      </c>
      <c r="L2143">
        <v>114</v>
      </c>
      <c r="M2143" t="str">
        <f t="shared" si="66"/>
        <v>Low</v>
      </c>
      <c r="N2143" t="str">
        <f t="shared" si="67"/>
        <v>Good</v>
      </c>
    </row>
    <row r="2144" spans="1:14">
      <c r="A2144" t="s">
        <v>68</v>
      </c>
      <c r="B2144">
        <v>2009</v>
      </c>
      <c r="C2144" t="s">
        <v>4712</v>
      </c>
      <c r="D2144" t="s">
        <v>33</v>
      </c>
      <c r="E2144" t="s">
        <v>4713</v>
      </c>
      <c r="F2144" t="s">
        <v>46</v>
      </c>
      <c r="G2144">
        <v>23.08</v>
      </c>
      <c r="H2144">
        <v>52</v>
      </c>
      <c r="I2144" t="s">
        <v>29</v>
      </c>
      <c r="J2144" t="s">
        <v>24</v>
      </c>
      <c r="K2144" t="s">
        <v>457</v>
      </c>
      <c r="L2144">
        <v>357</v>
      </c>
      <c r="M2144" t="str">
        <f t="shared" si="66"/>
        <v>Medium</v>
      </c>
      <c r="N2144" t="str">
        <f t="shared" si="67"/>
        <v>Average</v>
      </c>
    </row>
    <row r="2145" spans="1:14">
      <c r="A2145" t="s">
        <v>20</v>
      </c>
      <c r="B2145">
        <v>2022</v>
      </c>
      <c r="C2145" t="s">
        <v>4714</v>
      </c>
      <c r="D2145" t="s">
        <v>14</v>
      </c>
      <c r="E2145" t="s">
        <v>2416</v>
      </c>
      <c r="F2145" t="s">
        <v>42</v>
      </c>
      <c r="G2145">
        <v>8</v>
      </c>
      <c r="H2145">
        <v>94</v>
      </c>
      <c r="I2145" t="s">
        <v>61</v>
      </c>
      <c r="J2145" t="s">
        <v>18</v>
      </c>
      <c r="K2145" t="s">
        <v>2855</v>
      </c>
      <c r="L2145">
        <v>300</v>
      </c>
      <c r="M2145" t="str">
        <f t="shared" si="66"/>
        <v>Low</v>
      </c>
      <c r="N2145" t="str">
        <f t="shared" si="67"/>
        <v>Excellent</v>
      </c>
    </row>
    <row r="2146" spans="1:14">
      <c r="A2146" t="s">
        <v>39</v>
      </c>
      <c r="B2146">
        <v>2005</v>
      </c>
      <c r="C2146" t="s">
        <v>4715</v>
      </c>
      <c r="D2146" t="s">
        <v>14</v>
      </c>
      <c r="E2146" t="s">
        <v>4716</v>
      </c>
      <c r="F2146" t="s">
        <v>46</v>
      </c>
      <c r="G2146">
        <v>11.67</v>
      </c>
      <c r="H2146">
        <v>78</v>
      </c>
      <c r="I2146" t="s">
        <v>17</v>
      </c>
      <c r="J2146" t="s">
        <v>24</v>
      </c>
      <c r="K2146" t="s">
        <v>20</v>
      </c>
      <c r="L2146">
        <v>180</v>
      </c>
      <c r="M2146" t="str">
        <f t="shared" si="66"/>
        <v>Low</v>
      </c>
      <c r="N2146" t="str">
        <f t="shared" si="67"/>
        <v>Good</v>
      </c>
    </row>
    <row r="2147" spans="1:14">
      <c r="A2147" t="s">
        <v>12</v>
      </c>
      <c r="B2147">
        <v>2000</v>
      </c>
      <c r="C2147" t="s">
        <v>4717</v>
      </c>
      <c r="D2147" t="s">
        <v>14</v>
      </c>
      <c r="E2147" t="s">
        <v>4718</v>
      </c>
      <c r="F2147" t="s">
        <v>16</v>
      </c>
      <c r="G2147">
        <v>43.17</v>
      </c>
      <c r="H2147">
        <v>62</v>
      </c>
      <c r="I2147" t="s">
        <v>61</v>
      </c>
      <c r="J2147" t="s">
        <v>24</v>
      </c>
      <c r="K2147" t="s">
        <v>151</v>
      </c>
      <c r="L2147">
        <v>306</v>
      </c>
      <c r="M2147" t="str">
        <f t="shared" si="66"/>
        <v>High</v>
      </c>
      <c r="N2147" t="str">
        <f t="shared" si="67"/>
        <v>Average</v>
      </c>
    </row>
    <row r="2148" spans="1:14">
      <c r="A2148" t="s">
        <v>26</v>
      </c>
      <c r="B2148">
        <v>2021</v>
      </c>
      <c r="C2148" t="s">
        <v>4719</v>
      </c>
      <c r="D2148" t="s">
        <v>14</v>
      </c>
      <c r="E2148" t="s">
        <v>4720</v>
      </c>
      <c r="F2148" t="s">
        <v>57</v>
      </c>
      <c r="G2148">
        <v>6.13</v>
      </c>
      <c r="H2148">
        <v>98</v>
      </c>
      <c r="I2148" t="s">
        <v>36</v>
      </c>
      <c r="J2148" t="s">
        <v>24</v>
      </c>
      <c r="K2148" t="s">
        <v>4721</v>
      </c>
      <c r="L2148">
        <v>162</v>
      </c>
      <c r="M2148" t="str">
        <f t="shared" si="66"/>
        <v>Low</v>
      </c>
      <c r="N2148" t="str">
        <f t="shared" si="67"/>
        <v>Excellent</v>
      </c>
    </row>
    <row r="2149" spans="1:14">
      <c r="A2149" t="s">
        <v>12</v>
      </c>
      <c r="B2149">
        <v>2025</v>
      </c>
      <c r="C2149" t="s">
        <v>4722</v>
      </c>
      <c r="D2149" t="s">
        <v>14</v>
      </c>
      <c r="E2149" t="s">
        <v>4723</v>
      </c>
      <c r="F2149" t="s">
        <v>46</v>
      </c>
      <c r="G2149">
        <v>27</v>
      </c>
      <c r="H2149">
        <v>77</v>
      </c>
      <c r="I2149" t="s">
        <v>61</v>
      </c>
      <c r="J2149" t="s">
        <v>37</v>
      </c>
      <c r="K2149" t="s">
        <v>505</v>
      </c>
      <c r="L2149">
        <v>307</v>
      </c>
      <c r="M2149" t="str">
        <f t="shared" si="66"/>
        <v>Medium</v>
      </c>
      <c r="N2149" t="str">
        <f t="shared" si="67"/>
        <v>Good</v>
      </c>
    </row>
    <row r="2150" spans="1:14">
      <c r="A2150" t="s">
        <v>39</v>
      </c>
      <c r="B2150">
        <v>2006</v>
      </c>
      <c r="C2150" t="s">
        <v>4724</v>
      </c>
      <c r="D2150" t="s">
        <v>14</v>
      </c>
      <c r="E2150" t="s">
        <v>4725</v>
      </c>
      <c r="F2150" t="s">
        <v>16</v>
      </c>
      <c r="G2150">
        <v>27.75</v>
      </c>
      <c r="H2150">
        <v>90</v>
      </c>
      <c r="I2150" t="s">
        <v>61</v>
      </c>
      <c r="J2150" t="s">
        <v>37</v>
      </c>
      <c r="K2150" t="s">
        <v>201</v>
      </c>
      <c r="L2150">
        <v>69</v>
      </c>
      <c r="M2150" t="str">
        <f t="shared" si="66"/>
        <v>Medium</v>
      </c>
      <c r="N2150" t="str">
        <f t="shared" si="67"/>
        <v>Excellent</v>
      </c>
    </row>
    <row r="2151" spans="1:14">
      <c r="A2151" t="s">
        <v>68</v>
      </c>
      <c r="B2151">
        <v>2016</v>
      </c>
      <c r="C2151" t="s">
        <v>4726</v>
      </c>
      <c r="D2151" t="s">
        <v>14</v>
      </c>
      <c r="E2151" t="s">
        <v>4727</v>
      </c>
      <c r="F2151" t="s">
        <v>35</v>
      </c>
      <c r="G2151">
        <v>36.090000000000003</v>
      </c>
      <c r="H2151">
        <v>83</v>
      </c>
      <c r="I2151" t="s">
        <v>61</v>
      </c>
      <c r="J2151" t="s">
        <v>18</v>
      </c>
      <c r="K2151" t="s">
        <v>47</v>
      </c>
      <c r="L2151">
        <v>94</v>
      </c>
      <c r="M2151" t="str">
        <f t="shared" si="66"/>
        <v>High</v>
      </c>
      <c r="N2151" t="str">
        <f t="shared" si="67"/>
        <v>Good</v>
      </c>
    </row>
    <row r="2152" spans="1:14">
      <c r="A2152" t="s">
        <v>20</v>
      </c>
      <c r="B2152">
        <v>2014</v>
      </c>
      <c r="C2152" t="s">
        <v>4728</v>
      </c>
      <c r="D2152" t="s">
        <v>33</v>
      </c>
      <c r="E2152" t="s">
        <v>4729</v>
      </c>
      <c r="F2152" t="s">
        <v>46</v>
      </c>
      <c r="G2152">
        <v>16.77</v>
      </c>
      <c r="H2152">
        <v>61</v>
      </c>
      <c r="I2152" t="s">
        <v>17</v>
      </c>
      <c r="J2152" t="s">
        <v>18</v>
      </c>
      <c r="K2152" t="s">
        <v>20</v>
      </c>
      <c r="L2152">
        <v>148</v>
      </c>
      <c r="M2152" t="str">
        <f t="shared" si="66"/>
        <v>Medium</v>
      </c>
      <c r="N2152" t="str">
        <f t="shared" si="67"/>
        <v>Average</v>
      </c>
    </row>
    <row r="2153" spans="1:14">
      <c r="A2153" t="s">
        <v>68</v>
      </c>
      <c r="B2153">
        <v>2006</v>
      </c>
      <c r="C2153" t="s">
        <v>4730</v>
      </c>
      <c r="D2153" t="s">
        <v>33</v>
      </c>
      <c r="E2153" t="s">
        <v>4731</v>
      </c>
      <c r="F2153" t="s">
        <v>57</v>
      </c>
      <c r="G2153">
        <v>24.17</v>
      </c>
      <c r="H2153">
        <v>83</v>
      </c>
      <c r="I2153" t="s">
        <v>23</v>
      </c>
      <c r="J2153" t="s">
        <v>37</v>
      </c>
      <c r="K2153" t="s">
        <v>20</v>
      </c>
      <c r="L2153">
        <v>279</v>
      </c>
      <c r="M2153" t="str">
        <f t="shared" si="66"/>
        <v>Medium</v>
      </c>
      <c r="N2153" t="str">
        <f t="shared" si="67"/>
        <v>Good</v>
      </c>
    </row>
    <row r="2154" spans="1:14">
      <c r="A2154" t="s">
        <v>47</v>
      </c>
      <c r="B2154">
        <v>2008</v>
      </c>
      <c r="C2154" t="s">
        <v>4732</v>
      </c>
      <c r="D2154" t="s">
        <v>33</v>
      </c>
      <c r="E2154" t="s">
        <v>4733</v>
      </c>
      <c r="F2154" t="s">
        <v>42</v>
      </c>
      <c r="G2154">
        <v>34.5</v>
      </c>
      <c r="H2154">
        <v>59</v>
      </c>
      <c r="I2154" t="s">
        <v>61</v>
      </c>
      <c r="J2154" t="s">
        <v>24</v>
      </c>
      <c r="K2154" t="s">
        <v>4734</v>
      </c>
      <c r="L2154">
        <v>215</v>
      </c>
      <c r="M2154" t="str">
        <f t="shared" si="66"/>
        <v>Medium</v>
      </c>
      <c r="N2154" t="str">
        <f t="shared" si="67"/>
        <v>Average</v>
      </c>
    </row>
    <row r="2155" spans="1:14">
      <c r="A2155" t="s">
        <v>65</v>
      </c>
      <c r="B2155">
        <v>2006</v>
      </c>
      <c r="C2155" t="s">
        <v>4735</v>
      </c>
      <c r="D2155" t="s">
        <v>14</v>
      </c>
      <c r="E2155" t="s">
        <v>4736</v>
      </c>
      <c r="F2155" t="s">
        <v>35</v>
      </c>
      <c r="G2155">
        <v>11.94</v>
      </c>
      <c r="H2155">
        <v>78</v>
      </c>
      <c r="I2155" t="s">
        <v>61</v>
      </c>
      <c r="J2155" t="s">
        <v>24</v>
      </c>
      <c r="K2155" t="s">
        <v>68</v>
      </c>
      <c r="L2155">
        <v>338</v>
      </c>
      <c r="M2155" t="str">
        <f t="shared" si="66"/>
        <v>Low</v>
      </c>
      <c r="N2155" t="str">
        <f t="shared" si="67"/>
        <v>Good</v>
      </c>
    </row>
    <row r="2156" spans="1:14">
      <c r="A2156" t="s">
        <v>26</v>
      </c>
      <c r="B2156">
        <v>2006</v>
      </c>
      <c r="C2156" t="s">
        <v>4737</v>
      </c>
      <c r="D2156" t="s">
        <v>14</v>
      </c>
      <c r="E2156" t="s">
        <v>2939</v>
      </c>
      <c r="F2156" t="s">
        <v>16</v>
      </c>
      <c r="G2156">
        <v>16.09</v>
      </c>
      <c r="H2156">
        <v>57</v>
      </c>
      <c r="I2156" t="s">
        <v>29</v>
      </c>
      <c r="J2156" t="s">
        <v>18</v>
      </c>
      <c r="K2156" t="s">
        <v>26</v>
      </c>
      <c r="L2156">
        <v>74</v>
      </c>
      <c r="M2156" t="str">
        <f t="shared" si="66"/>
        <v>Medium</v>
      </c>
      <c r="N2156" t="str">
        <f t="shared" si="67"/>
        <v>Average</v>
      </c>
    </row>
    <row r="2157" spans="1:14">
      <c r="A2157" t="s">
        <v>38</v>
      </c>
      <c r="B2157">
        <v>2015</v>
      </c>
      <c r="C2157" t="s">
        <v>4738</v>
      </c>
      <c r="D2157" t="s">
        <v>14</v>
      </c>
      <c r="E2157" t="s">
        <v>4739</v>
      </c>
      <c r="F2157" t="s">
        <v>35</v>
      </c>
      <c r="G2157">
        <v>15.9</v>
      </c>
      <c r="H2157">
        <v>86</v>
      </c>
      <c r="I2157" t="s">
        <v>23</v>
      </c>
      <c r="J2157" t="s">
        <v>37</v>
      </c>
      <c r="K2157" t="s">
        <v>4740</v>
      </c>
      <c r="L2157">
        <v>257</v>
      </c>
      <c r="M2157" t="str">
        <f t="shared" si="66"/>
        <v>Medium</v>
      </c>
      <c r="N2157" t="str">
        <f t="shared" si="67"/>
        <v>Good</v>
      </c>
    </row>
    <row r="2158" spans="1:14">
      <c r="A2158" t="s">
        <v>12</v>
      </c>
      <c r="B2158">
        <v>2003</v>
      </c>
      <c r="C2158" t="s">
        <v>4741</v>
      </c>
      <c r="D2158" t="s">
        <v>33</v>
      </c>
      <c r="E2158" t="s">
        <v>4742</v>
      </c>
      <c r="F2158" t="s">
        <v>57</v>
      </c>
      <c r="G2158">
        <v>17.39</v>
      </c>
      <c r="H2158">
        <v>79</v>
      </c>
      <c r="I2158" t="s">
        <v>36</v>
      </c>
      <c r="J2158" t="s">
        <v>24</v>
      </c>
      <c r="K2158" t="s">
        <v>65</v>
      </c>
      <c r="L2158">
        <v>123</v>
      </c>
      <c r="M2158" t="str">
        <f t="shared" si="66"/>
        <v>Medium</v>
      </c>
      <c r="N2158" t="str">
        <f t="shared" si="67"/>
        <v>Good</v>
      </c>
    </row>
    <row r="2159" spans="1:14">
      <c r="A2159" t="s">
        <v>26</v>
      </c>
      <c r="B2159">
        <v>2007</v>
      </c>
      <c r="C2159" t="s">
        <v>4743</v>
      </c>
      <c r="D2159" t="s">
        <v>33</v>
      </c>
      <c r="E2159" t="s">
        <v>4744</v>
      </c>
      <c r="F2159" t="s">
        <v>42</v>
      </c>
      <c r="G2159">
        <v>29.09</v>
      </c>
      <c r="H2159">
        <v>63</v>
      </c>
      <c r="I2159" t="s">
        <v>29</v>
      </c>
      <c r="J2159" t="s">
        <v>24</v>
      </c>
      <c r="K2159" t="s">
        <v>1826</v>
      </c>
      <c r="L2159">
        <v>327</v>
      </c>
      <c r="M2159" t="str">
        <f t="shared" si="66"/>
        <v>Medium</v>
      </c>
      <c r="N2159" t="str">
        <f t="shared" si="67"/>
        <v>Average</v>
      </c>
    </row>
    <row r="2160" spans="1:14">
      <c r="A2160" t="s">
        <v>38</v>
      </c>
      <c r="B2160">
        <v>2020</v>
      </c>
      <c r="C2160" t="s">
        <v>4745</v>
      </c>
      <c r="D2160" t="s">
        <v>14</v>
      </c>
      <c r="E2160" t="s">
        <v>4746</v>
      </c>
      <c r="F2160" t="s">
        <v>42</v>
      </c>
      <c r="G2160">
        <v>48.57</v>
      </c>
      <c r="H2160">
        <v>56</v>
      </c>
      <c r="I2160" t="s">
        <v>23</v>
      </c>
      <c r="J2160" t="s">
        <v>24</v>
      </c>
      <c r="K2160" t="s">
        <v>12</v>
      </c>
      <c r="L2160">
        <v>233</v>
      </c>
      <c r="M2160" t="str">
        <f t="shared" si="66"/>
        <v>High</v>
      </c>
      <c r="N2160" t="str">
        <f t="shared" si="67"/>
        <v>Average</v>
      </c>
    </row>
    <row r="2161" spans="1:14">
      <c r="A2161" t="s">
        <v>31</v>
      </c>
      <c r="B2161">
        <v>2017</v>
      </c>
      <c r="C2161" t="s">
        <v>4747</v>
      </c>
      <c r="D2161" t="s">
        <v>14</v>
      </c>
      <c r="E2161" t="s">
        <v>4748</v>
      </c>
      <c r="F2161" t="s">
        <v>46</v>
      </c>
      <c r="G2161">
        <v>40.42</v>
      </c>
      <c r="H2161">
        <v>89</v>
      </c>
      <c r="I2161" t="s">
        <v>29</v>
      </c>
      <c r="J2161" t="s">
        <v>37</v>
      </c>
      <c r="K2161" t="s">
        <v>26</v>
      </c>
      <c r="L2161">
        <v>56</v>
      </c>
      <c r="M2161" t="str">
        <f t="shared" si="66"/>
        <v>High</v>
      </c>
      <c r="N2161" t="str">
        <f t="shared" si="67"/>
        <v>Good</v>
      </c>
    </row>
    <row r="2162" spans="1:14">
      <c r="A2162" t="s">
        <v>47</v>
      </c>
      <c r="B2162">
        <v>2003</v>
      </c>
      <c r="C2162" t="s">
        <v>4749</v>
      </c>
      <c r="D2162" t="s">
        <v>14</v>
      </c>
      <c r="E2162" t="s">
        <v>4750</v>
      </c>
      <c r="F2162" t="s">
        <v>42</v>
      </c>
      <c r="G2162">
        <v>7.43</v>
      </c>
      <c r="H2162">
        <v>52</v>
      </c>
      <c r="I2162" t="s">
        <v>29</v>
      </c>
      <c r="J2162" t="s">
        <v>18</v>
      </c>
      <c r="K2162" t="s">
        <v>1612</v>
      </c>
      <c r="L2162">
        <v>109</v>
      </c>
      <c r="M2162" t="str">
        <f t="shared" si="66"/>
        <v>Low</v>
      </c>
      <c r="N2162" t="str">
        <f t="shared" si="67"/>
        <v>Average</v>
      </c>
    </row>
    <row r="2163" spans="1:14">
      <c r="A2163" t="s">
        <v>12</v>
      </c>
      <c r="B2163">
        <v>2010</v>
      </c>
      <c r="C2163" t="s">
        <v>4751</v>
      </c>
      <c r="D2163" t="s">
        <v>14</v>
      </c>
      <c r="E2163" t="s">
        <v>4752</v>
      </c>
      <c r="F2163" t="s">
        <v>57</v>
      </c>
      <c r="G2163">
        <v>6.47</v>
      </c>
      <c r="H2163">
        <v>52</v>
      </c>
      <c r="I2163" t="s">
        <v>36</v>
      </c>
      <c r="J2163" t="s">
        <v>18</v>
      </c>
      <c r="K2163" t="s">
        <v>68</v>
      </c>
      <c r="L2163">
        <v>297</v>
      </c>
      <c r="M2163" t="str">
        <f t="shared" si="66"/>
        <v>Low</v>
      </c>
      <c r="N2163" t="str">
        <f t="shared" si="67"/>
        <v>Average</v>
      </c>
    </row>
    <row r="2164" spans="1:14">
      <c r="A2164" t="s">
        <v>65</v>
      </c>
      <c r="B2164">
        <v>2020</v>
      </c>
      <c r="C2164" t="s">
        <v>4753</v>
      </c>
      <c r="D2164" t="s">
        <v>33</v>
      </c>
      <c r="E2164" t="s">
        <v>4754</v>
      </c>
      <c r="F2164" t="s">
        <v>35</v>
      </c>
      <c r="G2164">
        <v>25.84</v>
      </c>
      <c r="H2164">
        <v>50</v>
      </c>
      <c r="I2164" t="s">
        <v>23</v>
      </c>
      <c r="J2164" t="s">
        <v>37</v>
      </c>
      <c r="K2164" t="s">
        <v>2563</v>
      </c>
      <c r="L2164">
        <v>122</v>
      </c>
      <c r="M2164" t="str">
        <f t="shared" si="66"/>
        <v>Medium</v>
      </c>
      <c r="N2164" t="str">
        <f t="shared" si="67"/>
        <v>Average</v>
      </c>
    </row>
    <row r="2165" spans="1:14">
      <c r="A2165" t="s">
        <v>31</v>
      </c>
      <c r="B2165">
        <v>2005</v>
      </c>
      <c r="C2165" t="s">
        <v>4755</v>
      </c>
      <c r="D2165" t="s">
        <v>33</v>
      </c>
      <c r="E2165" t="s">
        <v>4756</v>
      </c>
      <c r="F2165" t="s">
        <v>16</v>
      </c>
      <c r="G2165">
        <v>20.3</v>
      </c>
      <c r="H2165">
        <v>100</v>
      </c>
      <c r="I2165" t="s">
        <v>29</v>
      </c>
      <c r="J2165" t="s">
        <v>37</v>
      </c>
      <c r="K2165" t="s">
        <v>4757</v>
      </c>
      <c r="L2165">
        <v>4</v>
      </c>
      <c r="M2165" t="str">
        <f t="shared" si="66"/>
        <v>Medium</v>
      </c>
      <c r="N2165" t="str">
        <f t="shared" si="67"/>
        <v>Excellent</v>
      </c>
    </row>
    <row r="2166" spans="1:14">
      <c r="A2166" t="s">
        <v>47</v>
      </c>
      <c r="B2166">
        <v>2017</v>
      </c>
      <c r="C2166" t="s">
        <v>4758</v>
      </c>
      <c r="D2166" t="s">
        <v>33</v>
      </c>
      <c r="E2166" t="s">
        <v>4759</v>
      </c>
      <c r="F2166" t="s">
        <v>35</v>
      </c>
      <c r="G2166">
        <v>45.54</v>
      </c>
      <c r="H2166">
        <v>59</v>
      </c>
      <c r="I2166" t="s">
        <v>36</v>
      </c>
      <c r="J2166" t="s">
        <v>24</v>
      </c>
      <c r="K2166" t="s">
        <v>4476</v>
      </c>
      <c r="L2166">
        <v>184</v>
      </c>
      <c r="M2166" t="str">
        <f t="shared" si="66"/>
        <v>High</v>
      </c>
      <c r="N2166" t="str">
        <f t="shared" si="67"/>
        <v>Average</v>
      </c>
    </row>
    <row r="2167" spans="1:14">
      <c r="A2167" t="s">
        <v>48</v>
      </c>
      <c r="B2167">
        <v>2023</v>
      </c>
      <c r="C2167" t="s">
        <v>4760</v>
      </c>
      <c r="D2167" t="s">
        <v>33</v>
      </c>
      <c r="E2167" t="s">
        <v>3289</v>
      </c>
      <c r="F2167" t="s">
        <v>46</v>
      </c>
      <c r="G2167">
        <v>23.87</v>
      </c>
      <c r="H2167">
        <v>84</v>
      </c>
      <c r="I2167" t="s">
        <v>36</v>
      </c>
      <c r="J2167" t="s">
        <v>18</v>
      </c>
      <c r="K2167" t="s">
        <v>1326</v>
      </c>
      <c r="L2167">
        <v>213</v>
      </c>
      <c r="M2167" t="str">
        <f t="shared" si="66"/>
        <v>Medium</v>
      </c>
      <c r="N2167" t="str">
        <f t="shared" si="67"/>
        <v>Good</v>
      </c>
    </row>
    <row r="2168" spans="1:14">
      <c r="A2168" t="s">
        <v>47</v>
      </c>
      <c r="B2168">
        <v>2014</v>
      </c>
      <c r="C2168" t="s">
        <v>4761</v>
      </c>
      <c r="D2168" t="s">
        <v>14</v>
      </c>
      <c r="E2168" t="s">
        <v>4762</v>
      </c>
      <c r="F2168" t="s">
        <v>46</v>
      </c>
      <c r="G2168">
        <v>15.64</v>
      </c>
      <c r="H2168">
        <v>81</v>
      </c>
      <c r="I2168" t="s">
        <v>23</v>
      </c>
      <c r="J2168" t="s">
        <v>24</v>
      </c>
      <c r="K2168" t="s">
        <v>173</v>
      </c>
      <c r="L2168">
        <v>57</v>
      </c>
      <c r="M2168" t="str">
        <f t="shared" si="66"/>
        <v>Medium</v>
      </c>
      <c r="N2168" t="str">
        <f t="shared" si="67"/>
        <v>Good</v>
      </c>
    </row>
    <row r="2169" spans="1:14">
      <c r="A2169" t="s">
        <v>47</v>
      </c>
      <c r="B2169">
        <v>2014</v>
      </c>
      <c r="C2169" t="s">
        <v>4763</v>
      </c>
      <c r="D2169" t="s">
        <v>14</v>
      </c>
      <c r="E2169" t="s">
        <v>4764</v>
      </c>
      <c r="F2169" t="s">
        <v>42</v>
      </c>
      <c r="G2169">
        <v>15.39</v>
      </c>
      <c r="H2169">
        <v>79</v>
      </c>
      <c r="I2169" t="s">
        <v>17</v>
      </c>
      <c r="J2169" t="s">
        <v>18</v>
      </c>
      <c r="K2169" t="s">
        <v>513</v>
      </c>
      <c r="L2169">
        <v>100</v>
      </c>
      <c r="M2169" t="str">
        <f t="shared" si="66"/>
        <v>Medium</v>
      </c>
      <c r="N2169" t="str">
        <f t="shared" si="67"/>
        <v>Good</v>
      </c>
    </row>
    <row r="2170" spans="1:14">
      <c r="A2170" t="s">
        <v>39</v>
      </c>
      <c r="B2170">
        <v>2024</v>
      </c>
      <c r="C2170" t="s">
        <v>4765</v>
      </c>
      <c r="D2170" t="s">
        <v>33</v>
      </c>
      <c r="E2170" t="s">
        <v>4766</v>
      </c>
      <c r="F2170" t="s">
        <v>35</v>
      </c>
      <c r="G2170">
        <v>34.979999999999997</v>
      </c>
      <c r="H2170">
        <v>94</v>
      </c>
      <c r="I2170" t="s">
        <v>61</v>
      </c>
      <c r="J2170" t="s">
        <v>24</v>
      </c>
      <c r="K2170" t="s">
        <v>4767</v>
      </c>
      <c r="L2170">
        <v>335</v>
      </c>
      <c r="M2170" t="str">
        <f t="shared" si="66"/>
        <v>Medium</v>
      </c>
      <c r="N2170" t="str">
        <f t="shared" si="67"/>
        <v>Excellent</v>
      </c>
    </row>
    <row r="2171" spans="1:14">
      <c r="A2171" t="s">
        <v>26</v>
      </c>
      <c r="B2171">
        <v>2005</v>
      </c>
      <c r="C2171" t="s">
        <v>4768</v>
      </c>
      <c r="D2171" t="s">
        <v>33</v>
      </c>
      <c r="E2171" t="s">
        <v>4769</v>
      </c>
      <c r="F2171" t="s">
        <v>57</v>
      </c>
      <c r="G2171">
        <v>37.07</v>
      </c>
      <c r="H2171">
        <v>78</v>
      </c>
      <c r="I2171" t="s">
        <v>36</v>
      </c>
      <c r="J2171" t="s">
        <v>37</v>
      </c>
      <c r="K2171" t="s">
        <v>4770</v>
      </c>
      <c r="L2171">
        <v>324</v>
      </c>
      <c r="M2171" t="str">
        <f t="shared" si="66"/>
        <v>High</v>
      </c>
      <c r="N2171" t="str">
        <f t="shared" si="67"/>
        <v>Good</v>
      </c>
    </row>
    <row r="2172" spans="1:14">
      <c r="A2172" t="s">
        <v>26</v>
      </c>
      <c r="B2172">
        <v>2001</v>
      </c>
      <c r="C2172" t="s">
        <v>4771</v>
      </c>
      <c r="D2172" t="s">
        <v>33</v>
      </c>
      <c r="E2172" t="s">
        <v>4772</v>
      </c>
      <c r="F2172" t="s">
        <v>42</v>
      </c>
      <c r="G2172">
        <v>41.08</v>
      </c>
      <c r="H2172">
        <v>62</v>
      </c>
      <c r="I2172" t="s">
        <v>23</v>
      </c>
      <c r="J2172" t="s">
        <v>18</v>
      </c>
      <c r="K2172" t="s">
        <v>84</v>
      </c>
      <c r="L2172">
        <v>353</v>
      </c>
      <c r="M2172" t="str">
        <f t="shared" si="66"/>
        <v>High</v>
      </c>
      <c r="N2172" t="str">
        <f t="shared" si="67"/>
        <v>Average</v>
      </c>
    </row>
    <row r="2173" spans="1:14">
      <c r="A2173" t="s">
        <v>48</v>
      </c>
      <c r="B2173">
        <v>2006</v>
      </c>
      <c r="C2173" t="s">
        <v>4773</v>
      </c>
      <c r="D2173" t="s">
        <v>33</v>
      </c>
      <c r="E2173" t="s">
        <v>4774</v>
      </c>
      <c r="F2173" t="s">
        <v>42</v>
      </c>
      <c r="G2173">
        <v>9.3699999999999992</v>
      </c>
      <c r="H2173">
        <v>99</v>
      </c>
      <c r="I2173" t="s">
        <v>29</v>
      </c>
      <c r="J2173" t="s">
        <v>24</v>
      </c>
      <c r="K2173" t="s">
        <v>201</v>
      </c>
      <c r="L2173">
        <v>65</v>
      </c>
      <c r="M2173" t="str">
        <f t="shared" si="66"/>
        <v>Low</v>
      </c>
      <c r="N2173" t="str">
        <f t="shared" si="67"/>
        <v>Excellent</v>
      </c>
    </row>
    <row r="2174" spans="1:14">
      <c r="A2174" t="s">
        <v>26</v>
      </c>
      <c r="B2174">
        <v>2025</v>
      </c>
      <c r="C2174" t="s">
        <v>4775</v>
      </c>
      <c r="D2174" t="s">
        <v>33</v>
      </c>
      <c r="E2174" t="s">
        <v>4776</v>
      </c>
      <c r="F2174" t="s">
        <v>57</v>
      </c>
      <c r="G2174">
        <v>18.52</v>
      </c>
      <c r="H2174">
        <v>84</v>
      </c>
      <c r="I2174" t="s">
        <v>61</v>
      </c>
      <c r="J2174" t="s">
        <v>37</v>
      </c>
      <c r="K2174" t="s">
        <v>2603</v>
      </c>
      <c r="L2174">
        <v>252</v>
      </c>
      <c r="M2174" t="str">
        <f t="shared" si="66"/>
        <v>Medium</v>
      </c>
      <c r="N2174" t="str">
        <f t="shared" si="67"/>
        <v>Good</v>
      </c>
    </row>
    <row r="2175" spans="1:14">
      <c r="A2175" t="s">
        <v>20</v>
      </c>
      <c r="B2175">
        <v>2009</v>
      </c>
      <c r="C2175" t="s">
        <v>4777</v>
      </c>
      <c r="D2175" t="s">
        <v>14</v>
      </c>
      <c r="E2175" t="s">
        <v>4778</v>
      </c>
      <c r="F2175" t="s">
        <v>57</v>
      </c>
      <c r="G2175">
        <v>16.940000000000001</v>
      </c>
      <c r="H2175">
        <v>97</v>
      </c>
      <c r="I2175" t="s">
        <v>61</v>
      </c>
      <c r="J2175" t="s">
        <v>24</v>
      </c>
      <c r="K2175" t="s">
        <v>912</v>
      </c>
      <c r="L2175">
        <v>223</v>
      </c>
      <c r="M2175" t="str">
        <f t="shared" si="66"/>
        <v>Medium</v>
      </c>
      <c r="N2175" t="str">
        <f t="shared" si="67"/>
        <v>Excellent</v>
      </c>
    </row>
    <row r="2176" spans="1:14">
      <c r="A2176" t="s">
        <v>65</v>
      </c>
      <c r="B2176">
        <v>2025</v>
      </c>
      <c r="C2176" t="s">
        <v>4779</v>
      </c>
      <c r="D2176" t="s">
        <v>14</v>
      </c>
      <c r="E2176" t="s">
        <v>4396</v>
      </c>
      <c r="F2176" t="s">
        <v>57</v>
      </c>
      <c r="G2176">
        <v>39.79</v>
      </c>
      <c r="H2176">
        <v>83</v>
      </c>
      <c r="I2176" t="s">
        <v>36</v>
      </c>
      <c r="J2176" t="s">
        <v>18</v>
      </c>
      <c r="K2176" t="s">
        <v>26</v>
      </c>
      <c r="L2176">
        <v>182</v>
      </c>
      <c r="M2176" t="str">
        <f t="shared" si="66"/>
        <v>High</v>
      </c>
      <c r="N2176" t="str">
        <f t="shared" si="67"/>
        <v>Good</v>
      </c>
    </row>
    <row r="2177" spans="1:14">
      <c r="A2177" t="s">
        <v>39</v>
      </c>
      <c r="B2177">
        <v>2004</v>
      </c>
      <c r="C2177" t="s">
        <v>4780</v>
      </c>
      <c r="D2177" t="s">
        <v>33</v>
      </c>
      <c r="E2177" t="s">
        <v>4781</v>
      </c>
      <c r="F2177" t="s">
        <v>16</v>
      </c>
      <c r="G2177">
        <v>12.64</v>
      </c>
      <c r="H2177">
        <v>82</v>
      </c>
      <c r="I2177" t="s">
        <v>61</v>
      </c>
      <c r="J2177" t="s">
        <v>18</v>
      </c>
      <c r="K2177" t="s">
        <v>12</v>
      </c>
      <c r="L2177">
        <v>85</v>
      </c>
      <c r="M2177" t="str">
        <f t="shared" si="66"/>
        <v>Low</v>
      </c>
      <c r="N2177" t="str">
        <f t="shared" si="67"/>
        <v>Good</v>
      </c>
    </row>
    <row r="2178" spans="1:14">
      <c r="A2178" t="s">
        <v>68</v>
      </c>
      <c r="B2178">
        <v>2000</v>
      </c>
      <c r="C2178" t="s">
        <v>4782</v>
      </c>
      <c r="D2178" t="s">
        <v>14</v>
      </c>
      <c r="E2178" t="s">
        <v>794</v>
      </c>
      <c r="F2178" t="s">
        <v>16</v>
      </c>
      <c r="G2178">
        <v>6.68</v>
      </c>
      <c r="H2178">
        <v>65</v>
      </c>
      <c r="I2178" t="s">
        <v>17</v>
      </c>
      <c r="J2178" t="s">
        <v>18</v>
      </c>
      <c r="K2178" t="s">
        <v>705</v>
      </c>
      <c r="L2178">
        <v>69</v>
      </c>
      <c r="M2178" t="str">
        <f t="shared" si="66"/>
        <v>Low</v>
      </c>
      <c r="N2178" t="str">
        <f t="shared" si="67"/>
        <v>Average</v>
      </c>
    </row>
    <row r="2179" spans="1:14">
      <c r="A2179" t="s">
        <v>20</v>
      </c>
      <c r="B2179">
        <v>2019</v>
      </c>
      <c r="C2179" t="s">
        <v>4783</v>
      </c>
      <c r="D2179" t="s">
        <v>33</v>
      </c>
      <c r="E2179" t="s">
        <v>4415</v>
      </c>
      <c r="F2179" t="s">
        <v>57</v>
      </c>
      <c r="G2179">
        <v>31.13</v>
      </c>
      <c r="H2179">
        <v>61</v>
      </c>
      <c r="I2179" t="s">
        <v>61</v>
      </c>
      <c r="J2179" t="s">
        <v>18</v>
      </c>
      <c r="K2179" t="s">
        <v>831</v>
      </c>
      <c r="L2179">
        <v>32</v>
      </c>
      <c r="M2179" t="str">
        <f t="shared" ref="M2179:M2242" si="68">IF(G2179&lt;15,"Low",IF(G2179&lt;35,"Medium","High"))</f>
        <v>Medium</v>
      </c>
      <c r="N2179" t="str">
        <f t="shared" ref="N2179:N2242" si="69">IF(H2179&gt;=90,"Excellent",IF(H2179&gt;=75,"Good","Average"))</f>
        <v>Average</v>
      </c>
    </row>
    <row r="2180" spans="1:14">
      <c r="A2180" t="s">
        <v>65</v>
      </c>
      <c r="B2180">
        <v>2023</v>
      </c>
      <c r="C2180" t="s">
        <v>4784</v>
      </c>
      <c r="D2180" t="s">
        <v>14</v>
      </c>
      <c r="E2180" t="s">
        <v>4785</v>
      </c>
      <c r="F2180" t="s">
        <v>57</v>
      </c>
      <c r="G2180">
        <v>11.69</v>
      </c>
      <c r="H2180">
        <v>88</v>
      </c>
      <c r="I2180" t="s">
        <v>29</v>
      </c>
      <c r="J2180" t="s">
        <v>18</v>
      </c>
      <c r="K2180" t="s">
        <v>4786</v>
      </c>
      <c r="L2180">
        <v>296</v>
      </c>
      <c r="M2180" t="str">
        <f t="shared" si="68"/>
        <v>Low</v>
      </c>
      <c r="N2180" t="str">
        <f t="shared" si="69"/>
        <v>Good</v>
      </c>
    </row>
    <row r="2181" spans="1:14">
      <c r="A2181" t="s">
        <v>65</v>
      </c>
      <c r="B2181">
        <v>2014</v>
      </c>
      <c r="C2181" t="s">
        <v>4787</v>
      </c>
      <c r="D2181" t="s">
        <v>14</v>
      </c>
      <c r="E2181" t="s">
        <v>4788</v>
      </c>
      <c r="F2181" t="s">
        <v>46</v>
      </c>
      <c r="G2181">
        <v>2.78</v>
      </c>
      <c r="H2181">
        <v>76</v>
      </c>
      <c r="I2181" t="s">
        <v>29</v>
      </c>
      <c r="J2181" t="s">
        <v>18</v>
      </c>
      <c r="K2181" t="s">
        <v>65</v>
      </c>
      <c r="L2181">
        <v>218</v>
      </c>
      <c r="M2181" t="str">
        <f t="shared" si="68"/>
        <v>Low</v>
      </c>
      <c r="N2181" t="str">
        <f t="shared" si="69"/>
        <v>Good</v>
      </c>
    </row>
    <row r="2182" spans="1:14">
      <c r="A2182" t="s">
        <v>31</v>
      </c>
      <c r="B2182">
        <v>2008</v>
      </c>
      <c r="C2182" t="s">
        <v>4789</v>
      </c>
      <c r="D2182" t="s">
        <v>33</v>
      </c>
      <c r="E2182" t="s">
        <v>4790</v>
      </c>
      <c r="F2182" t="s">
        <v>42</v>
      </c>
      <c r="G2182">
        <v>4.09</v>
      </c>
      <c r="H2182">
        <v>79</v>
      </c>
      <c r="I2182" t="s">
        <v>23</v>
      </c>
      <c r="J2182" t="s">
        <v>18</v>
      </c>
      <c r="K2182" t="s">
        <v>39</v>
      </c>
      <c r="L2182">
        <v>124</v>
      </c>
      <c r="M2182" t="str">
        <f t="shared" si="68"/>
        <v>Low</v>
      </c>
      <c r="N2182" t="str">
        <f t="shared" si="69"/>
        <v>Good</v>
      </c>
    </row>
    <row r="2183" spans="1:14">
      <c r="A2183" t="s">
        <v>12</v>
      </c>
      <c r="B2183">
        <v>2013</v>
      </c>
      <c r="C2183" t="s">
        <v>4791</v>
      </c>
      <c r="D2183" t="s">
        <v>14</v>
      </c>
      <c r="E2183" t="s">
        <v>4792</v>
      </c>
      <c r="F2183" t="s">
        <v>57</v>
      </c>
      <c r="G2183">
        <v>11.51</v>
      </c>
      <c r="H2183">
        <v>89</v>
      </c>
      <c r="I2183" t="s">
        <v>61</v>
      </c>
      <c r="J2183" t="s">
        <v>37</v>
      </c>
      <c r="K2183" t="s">
        <v>427</v>
      </c>
      <c r="L2183">
        <v>26</v>
      </c>
      <c r="M2183" t="str">
        <f t="shared" si="68"/>
        <v>Low</v>
      </c>
      <c r="N2183" t="str">
        <f t="shared" si="69"/>
        <v>Good</v>
      </c>
    </row>
    <row r="2184" spans="1:14">
      <c r="A2184" t="s">
        <v>68</v>
      </c>
      <c r="B2184">
        <v>2007</v>
      </c>
      <c r="C2184" t="s">
        <v>4793</v>
      </c>
      <c r="D2184" t="s">
        <v>33</v>
      </c>
      <c r="E2184" t="s">
        <v>4794</v>
      </c>
      <c r="F2184" t="s">
        <v>42</v>
      </c>
      <c r="G2184">
        <v>21.29</v>
      </c>
      <c r="H2184">
        <v>72</v>
      </c>
      <c r="I2184" t="s">
        <v>23</v>
      </c>
      <c r="J2184" t="s">
        <v>24</v>
      </c>
      <c r="K2184" t="s">
        <v>2320</v>
      </c>
      <c r="L2184">
        <v>314</v>
      </c>
      <c r="M2184" t="str">
        <f t="shared" si="68"/>
        <v>Medium</v>
      </c>
      <c r="N2184" t="str">
        <f t="shared" si="69"/>
        <v>Average</v>
      </c>
    </row>
    <row r="2185" spans="1:14">
      <c r="A2185" t="s">
        <v>31</v>
      </c>
      <c r="B2185">
        <v>2011</v>
      </c>
      <c r="C2185" t="s">
        <v>4795</v>
      </c>
      <c r="D2185" t="s">
        <v>14</v>
      </c>
      <c r="E2185" t="s">
        <v>4796</v>
      </c>
      <c r="F2185" t="s">
        <v>46</v>
      </c>
      <c r="G2185">
        <v>44.66</v>
      </c>
      <c r="H2185">
        <v>67</v>
      </c>
      <c r="I2185" t="s">
        <v>29</v>
      </c>
      <c r="J2185" t="s">
        <v>18</v>
      </c>
      <c r="K2185" t="s">
        <v>209</v>
      </c>
      <c r="L2185">
        <v>324</v>
      </c>
      <c r="M2185" t="str">
        <f t="shared" si="68"/>
        <v>High</v>
      </c>
      <c r="N2185" t="str">
        <f t="shared" si="69"/>
        <v>Average</v>
      </c>
    </row>
    <row r="2186" spans="1:14">
      <c r="A2186" t="s">
        <v>65</v>
      </c>
      <c r="B2186">
        <v>2024</v>
      </c>
      <c r="C2186" t="s">
        <v>4797</v>
      </c>
      <c r="D2186" t="s">
        <v>33</v>
      </c>
      <c r="E2186" t="s">
        <v>4798</v>
      </c>
      <c r="F2186" t="s">
        <v>35</v>
      </c>
      <c r="G2186">
        <v>39.770000000000003</v>
      </c>
      <c r="H2186">
        <v>76</v>
      </c>
      <c r="I2186" t="s">
        <v>36</v>
      </c>
      <c r="J2186" t="s">
        <v>18</v>
      </c>
      <c r="K2186" t="s">
        <v>58</v>
      </c>
      <c r="L2186">
        <v>67</v>
      </c>
      <c r="M2186" t="str">
        <f t="shared" si="68"/>
        <v>High</v>
      </c>
      <c r="N2186" t="str">
        <f t="shared" si="69"/>
        <v>Good</v>
      </c>
    </row>
    <row r="2187" spans="1:14">
      <c r="A2187" t="s">
        <v>68</v>
      </c>
      <c r="B2187">
        <v>2016</v>
      </c>
      <c r="C2187" t="s">
        <v>4799</v>
      </c>
      <c r="D2187" t="s">
        <v>14</v>
      </c>
      <c r="E2187" t="s">
        <v>4800</v>
      </c>
      <c r="F2187" t="s">
        <v>57</v>
      </c>
      <c r="G2187">
        <v>4.45</v>
      </c>
      <c r="H2187">
        <v>61</v>
      </c>
      <c r="I2187" t="s">
        <v>61</v>
      </c>
      <c r="J2187" t="s">
        <v>24</v>
      </c>
      <c r="K2187" t="s">
        <v>68</v>
      </c>
      <c r="L2187">
        <v>122</v>
      </c>
      <c r="M2187" t="str">
        <f t="shared" si="68"/>
        <v>Low</v>
      </c>
      <c r="N2187" t="str">
        <f t="shared" si="69"/>
        <v>Average</v>
      </c>
    </row>
    <row r="2188" spans="1:14">
      <c r="A2188" t="s">
        <v>26</v>
      </c>
      <c r="B2188">
        <v>2004</v>
      </c>
      <c r="C2188" t="s">
        <v>4801</v>
      </c>
      <c r="D2188" t="s">
        <v>33</v>
      </c>
      <c r="E2188" t="s">
        <v>4802</v>
      </c>
      <c r="F2188" t="s">
        <v>35</v>
      </c>
      <c r="G2188">
        <v>12.3</v>
      </c>
      <c r="H2188">
        <v>57</v>
      </c>
      <c r="I2188" t="s">
        <v>23</v>
      </c>
      <c r="J2188" t="s">
        <v>37</v>
      </c>
      <c r="K2188" t="s">
        <v>65</v>
      </c>
      <c r="L2188">
        <v>334</v>
      </c>
      <c r="M2188" t="str">
        <f t="shared" si="68"/>
        <v>Low</v>
      </c>
      <c r="N2188" t="str">
        <f t="shared" si="69"/>
        <v>Average</v>
      </c>
    </row>
    <row r="2189" spans="1:14">
      <c r="A2189" t="s">
        <v>12</v>
      </c>
      <c r="B2189">
        <v>2002</v>
      </c>
      <c r="C2189" t="s">
        <v>4803</v>
      </c>
      <c r="D2189" t="s">
        <v>14</v>
      </c>
      <c r="E2189" t="s">
        <v>4804</v>
      </c>
      <c r="F2189" t="s">
        <v>46</v>
      </c>
      <c r="G2189">
        <v>42.51</v>
      </c>
      <c r="H2189">
        <v>59</v>
      </c>
      <c r="I2189" t="s">
        <v>36</v>
      </c>
      <c r="J2189" t="s">
        <v>24</v>
      </c>
      <c r="K2189" t="s">
        <v>4805</v>
      </c>
      <c r="L2189">
        <v>344</v>
      </c>
      <c r="M2189" t="str">
        <f t="shared" si="68"/>
        <v>High</v>
      </c>
      <c r="N2189" t="str">
        <f t="shared" si="69"/>
        <v>Average</v>
      </c>
    </row>
    <row r="2190" spans="1:14">
      <c r="A2190" t="s">
        <v>47</v>
      </c>
      <c r="B2190">
        <v>2000</v>
      </c>
      <c r="C2190" t="s">
        <v>4806</v>
      </c>
      <c r="D2190" t="s">
        <v>33</v>
      </c>
      <c r="E2190" t="s">
        <v>4807</v>
      </c>
      <c r="F2190" t="s">
        <v>42</v>
      </c>
      <c r="G2190">
        <v>46.44</v>
      </c>
      <c r="H2190">
        <v>54</v>
      </c>
      <c r="I2190" t="s">
        <v>29</v>
      </c>
      <c r="J2190" t="s">
        <v>18</v>
      </c>
      <c r="K2190" t="s">
        <v>4808</v>
      </c>
      <c r="L2190">
        <v>324</v>
      </c>
      <c r="M2190" t="str">
        <f t="shared" si="68"/>
        <v>High</v>
      </c>
      <c r="N2190" t="str">
        <f t="shared" si="69"/>
        <v>Average</v>
      </c>
    </row>
    <row r="2191" spans="1:14">
      <c r="A2191" t="s">
        <v>12</v>
      </c>
      <c r="B2191">
        <v>2009</v>
      </c>
      <c r="C2191" t="s">
        <v>4809</v>
      </c>
      <c r="D2191" t="s">
        <v>14</v>
      </c>
      <c r="E2191" t="s">
        <v>4810</v>
      </c>
      <c r="F2191" t="s">
        <v>57</v>
      </c>
      <c r="G2191">
        <v>49.97</v>
      </c>
      <c r="H2191">
        <v>55</v>
      </c>
      <c r="I2191" t="s">
        <v>36</v>
      </c>
      <c r="J2191" t="s">
        <v>37</v>
      </c>
      <c r="K2191" t="s">
        <v>25</v>
      </c>
      <c r="L2191">
        <v>328</v>
      </c>
      <c r="M2191" t="str">
        <f t="shared" si="68"/>
        <v>High</v>
      </c>
      <c r="N2191" t="str">
        <f t="shared" si="69"/>
        <v>Average</v>
      </c>
    </row>
    <row r="2192" spans="1:14">
      <c r="A2192" t="s">
        <v>68</v>
      </c>
      <c r="B2192">
        <v>2007</v>
      </c>
      <c r="C2192" t="s">
        <v>4811</v>
      </c>
      <c r="D2192" t="s">
        <v>14</v>
      </c>
      <c r="E2192" t="s">
        <v>4812</v>
      </c>
      <c r="F2192" t="s">
        <v>35</v>
      </c>
      <c r="G2192">
        <v>23.79</v>
      </c>
      <c r="H2192">
        <v>94</v>
      </c>
      <c r="I2192" t="s">
        <v>23</v>
      </c>
      <c r="J2192" t="s">
        <v>37</v>
      </c>
      <c r="K2192" t="s">
        <v>12</v>
      </c>
      <c r="L2192">
        <v>212</v>
      </c>
      <c r="M2192" t="str">
        <f t="shared" si="68"/>
        <v>Medium</v>
      </c>
      <c r="N2192" t="str">
        <f t="shared" si="69"/>
        <v>Excellent</v>
      </c>
    </row>
    <row r="2193" spans="1:14">
      <c r="A2193" t="s">
        <v>26</v>
      </c>
      <c r="B2193">
        <v>2010</v>
      </c>
      <c r="C2193" t="s">
        <v>4813</v>
      </c>
      <c r="D2193" t="s">
        <v>14</v>
      </c>
      <c r="E2193" t="s">
        <v>4814</v>
      </c>
      <c r="F2193" t="s">
        <v>46</v>
      </c>
      <c r="G2193">
        <v>2.54</v>
      </c>
      <c r="H2193">
        <v>51</v>
      </c>
      <c r="I2193" t="s">
        <v>23</v>
      </c>
      <c r="J2193" t="s">
        <v>24</v>
      </c>
      <c r="K2193" t="s">
        <v>1249</v>
      </c>
      <c r="L2193">
        <v>195</v>
      </c>
      <c r="M2193" t="str">
        <f t="shared" si="68"/>
        <v>Low</v>
      </c>
      <c r="N2193" t="str">
        <f t="shared" si="69"/>
        <v>Average</v>
      </c>
    </row>
    <row r="2194" spans="1:14">
      <c r="A2194" t="s">
        <v>31</v>
      </c>
      <c r="B2194">
        <v>2002</v>
      </c>
      <c r="C2194" t="s">
        <v>4815</v>
      </c>
      <c r="D2194" t="s">
        <v>33</v>
      </c>
      <c r="E2194" t="s">
        <v>4816</v>
      </c>
      <c r="F2194" t="s">
        <v>16</v>
      </c>
      <c r="G2194">
        <v>14.3</v>
      </c>
      <c r="H2194">
        <v>50</v>
      </c>
      <c r="I2194" t="s">
        <v>23</v>
      </c>
      <c r="J2194" t="s">
        <v>24</v>
      </c>
      <c r="K2194" t="s">
        <v>4817</v>
      </c>
      <c r="L2194">
        <v>297</v>
      </c>
      <c r="M2194" t="str">
        <f t="shared" si="68"/>
        <v>Low</v>
      </c>
      <c r="N2194" t="str">
        <f t="shared" si="69"/>
        <v>Average</v>
      </c>
    </row>
    <row r="2195" spans="1:14">
      <c r="A2195" t="s">
        <v>39</v>
      </c>
      <c r="B2195">
        <v>2022</v>
      </c>
      <c r="C2195" t="s">
        <v>4818</v>
      </c>
      <c r="D2195" t="s">
        <v>33</v>
      </c>
      <c r="E2195" t="s">
        <v>3599</v>
      </c>
      <c r="F2195" t="s">
        <v>57</v>
      </c>
      <c r="G2195">
        <v>11.37</v>
      </c>
      <c r="H2195">
        <v>95</v>
      </c>
      <c r="I2195" t="s">
        <v>17</v>
      </c>
      <c r="J2195" t="s">
        <v>37</v>
      </c>
      <c r="K2195" t="s">
        <v>2748</v>
      </c>
      <c r="L2195">
        <v>153</v>
      </c>
      <c r="M2195" t="str">
        <f t="shared" si="68"/>
        <v>Low</v>
      </c>
      <c r="N2195" t="str">
        <f t="shared" si="69"/>
        <v>Excellent</v>
      </c>
    </row>
    <row r="2196" spans="1:14">
      <c r="A2196" t="s">
        <v>65</v>
      </c>
      <c r="B2196">
        <v>2004</v>
      </c>
      <c r="C2196" t="s">
        <v>4819</v>
      </c>
      <c r="D2196" t="s">
        <v>33</v>
      </c>
      <c r="E2196" t="s">
        <v>4820</v>
      </c>
      <c r="F2196" t="s">
        <v>46</v>
      </c>
      <c r="G2196">
        <v>17.829999999999998</v>
      </c>
      <c r="H2196">
        <v>88</v>
      </c>
      <c r="I2196" t="s">
        <v>29</v>
      </c>
      <c r="J2196" t="s">
        <v>24</v>
      </c>
      <c r="K2196" t="s">
        <v>457</v>
      </c>
      <c r="L2196">
        <v>106</v>
      </c>
      <c r="M2196" t="str">
        <f t="shared" si="68"/>
        <v>Medium</v>
      </c>
      <c r="N2196" t="str">
        <f t="shared" si="69"/>
        <v>Good</v>
      </c>
    </row>
    <row r="2197" spans="1:14">
      <c r="A2197" t="s">
        <v>68</v>
      </c>
      <c r="B2197">
        <v>2013</v>
      </c>
      <c r="C2197" t="s">
        <v>4821</v>
      </c>
      <c r="D2197" t="s">
        <v>14</v>
      </c>
      <c r="E2197" t="s">
        <v>1478</v>
      </c>
      <c r="F2197" t="s">
        <v>46</v>
      </c>
      <c r="G2197">
        <v>33.1</v>
      </c>
      <c r="H2197">
        <v>70</v>
      </c>
      <c r="I2197" t="s">
        <v>29</v>
      </c>
      <c r="J2197" t="s">
        <v>18</v>
      </c>
      <c r="K2197" t="s">
        <v>1388</v>
      </c>
      <c r="L2197">
        <v>114</v>
      </c>
      <c r="M2197" t="str">
        <f t="shared" si="68"/>
        <v>Medium</v>
      </c>
      <c r="N2197" t="str">
        <f t="shared" si="69"/>
        <v>Average</v>
      </c>
    </row>
    <row r="2198" spans="1:14">
      <c r="A2198" t="s">
        <v>12</v>
      </c>
      <c r="B2198">
        <v>2001</v>
      </c>
      <c r="C2198" t="s">
        <v>4822</v>
      </c>
      <c r="D2198" t="s">
        <v>33</v>
      </c>
      <c r="E2198" t="s">
        <v>4823</v>
      </c>
      <c r="F2198" t="s">
        <v>42</v>
      </c>
      <c r="G2198">
        <v>27.53</v>
      </c>
      <c r="H2198">
        <v>100</v>
      </c>
      <c r="I2198" t="s">
        <v>61</v>
      </c>
      <c r="J2198" t="s">
        <v>18</v>
      </c>
      <c r="K2198" t="s">
        <v>126</v>
      </c>
      <c r="L2198">
        <v>249</v>
      </c>
      <c r="M2198" t="str">
        <f t="shared" si="68"/>
        <v>Medium</v>
      </c>
      <c r="N2198" t="str">
        <f t="shared" si="69"/>
        <v>Excellent</v>
      </c>
    </row>
    <row r="2199" spans="1:14">
      <c r="A2199" t="s">
        <v>47</v>
      </c>
      <c r="B2199">
        <v>2019</v>
      </c>
      <c r="C2199" t="s">
        <v>4824</v>
      </c>
      <c r="D2199" t="s">
        <v>33</v>
      </c>
      <c r="E2199" t="s">
        <v>3267</v>
      </c>
      <c r="F2199" t="s">
        <v>42</v>
      </c>
      <c r="G2199">
        <v>33.840000000000003</v>
      </c>
      <c r="H2199">
        <v>64</v>
      </c>
      <c r="I2199" t="s">
        <v>17</v>
      </c>
      <c r="J2199" t="s">
        <v>24</v>
      </c>
      <c r="K2199" t="s">
        <v>47</v>
      </c>
      <c r="L2199">
        <v>162</v>
      </c>
      <c r="M2199" t="str">
        <f t="shared" si="68"/>
        <v>Medium</v>
      </c>
      <c r="N2199" t="str">
        <f t="shared" si="69"/>
        <v>Average</v>
      </c>
    </row>
    <row r="2200" spans="1:14">
      <c r="A2200" t="s">
        <v>31</v>
      </c>
      <c r="B2200">
        <v>2025</v>
      </c>
      <c r="C2200" t="s">
        <v>4825</v>
      </c>
      <c r="D2200" t="s">
        <v>33</v>
      </c>
      <c r="E2200" t="s">
        <v>4826</v>
      </c>
      <c r="F2200" t="s">
        <v>57</v>
      </c>
      <c r="G2200">
        <v>17.98</v>
      </c>
      <c r="H2200">
        <v>53</v>
      </c>
      <c r="I2200" t="s">
        <v>17</v>
      </c>
      <c r="J2200" t="s">
        <v>37</v>
      </c>
      <c r="K2200" t="s">
        <v>68</v>
      </c>
      <c r="L2200">
        <v>170</v>
      </c>
      <c r="M2200" t="str">
        <f t="shared" si="68"/>
        <v>Medium</v>
      </c>
      <c r="N2200" t="str">
        <f t="shared" si="69"/>
        <v>Average</v>
      </c>
    </row>
    <row r="2201" spans="1:14">
      <c r="A2201" t="s">
        <v>65</v>
      </c>
      <c r="B2201">
        <v>2009</v>
      </c>
      <c r="C2201" t="s">
        <v>4827</v>
      </c>
      <c r="D2201" t="s">
        <v>14</v>
      </c>
      <c r="E2201" t="s">
        <v>234</v>
      </c>
      <c r="F2201" t="s">
        <v>16</v>
      </c>
      <c r="G2201">
        <v>18.27</v>
      </c>
      <c r="H2201">
        <v>83</v>
      </c>
      <c r="I2201" t="s">
        <v>17</v>
      </c>
      <c r="J2201" t="s">
        <v>18</v>
      </c>
      <c r="K2201" t="s">
        <v>48</v>
      </c>
      <c r="L2201">
        <v>225</v>
      </c>
      <c r="M2201" t="str">
        <f t="shared" si="68"/>
        <v>Medium</v>
      </c>
      <c r="N2201" t="str">
        <f t="shared" si="69"/>
        <v>Good</v>
      </c>
    </row>
    <row r="2202" spans="1:14">
      <c r="A2202" t="s">
        <v>31</v>
      </c>
      <c r="B2202">
        <v>2017</v>
      </c>
      <c r="C2202" t="s">
        <v>4828</v>
      </c>
      <c r="D2202" t="s">
        <v>14</v>
      </c>
      <c r="E2202" t="s">
        <v>4829</v>
      </c>
      <c r="F2202" t="s">
        <v>35</v>
      </c>
      <c r="G2202">
        <v>16.809999999999999</v>
      </c>
      <c r="H2202">
        <v>53</v>
      </c>
      <c r="I2202" t="s">
        <v>29</v>
      </c>
      <c r="J2202" t="s">
        <v>37</v>
      </c>
      <c r="K2202" t="s">
        <v>48</v>
      </c>
      <c r="L2202">
        <v>256</v>
      </c>
      <c r="M2202" t="str">
        <f t="shared" si="68"/>
        <v>Medium</v>
      </c>
      <c r="N2202" t="str">
        <f t="shared" si="69"/>
        <v>Average</v>
      </c>
    </row>
    <row r="2203" spans="1:14">
      <c r="A2203" t="s">
        <v>39</v>
      </c>
      <c r="B2203">
        <v>2011</v>
      </c>
      <c r="C2203" t="s">
        <v>4830</v>
      </c>
      <c r="D2203" t="s">
        <v>14</v>
      </c>
      <c r="E2203" t="s">
        <v>4831</v>
      </c>
      <c r="F2203" t="s">
        <v>57</v>
      </c>
      <c r="G2203">
        <v>13.67</v>
      </c>
      <c r="H2203">
        <v>94</v>
      </c>
      <c r="I2203" t="s">
        <v>61</v>
      </c>
      <c r="J2203" t="s">
        <v>18</v>
      </c>
      <c r="K2203" t="s">
        <v>4832</v>
      </c>
      <c r="L2203">
        <v>277</v>
      </c>
      <c r="M2203" t="str">
        <f t="shared" si="68"/>
        <v>Low</v>
      </c>
      <c r="N2203" t="str">
        <f t="shared" si="69"/>
        <v>Excellent</v>
      </c>
    </row>
    <row r="2204" spans="1:14">
      <c r="A2204" t="s">
        <v>65</v>
      </c>
      <c r="B2204">
        <v>2021</v>
      </c>
      <c r="C2204" t="s">
        <v>4833</v>
      </c>
      <c r="D2204" t="s">
        <v>33</v>
      </c>
      <c r="E2204" t="s">
        <v>4834</v>
      </c>
      <c r="F2204" t="s">
        <v>35</v>
      </c>
      <c r="G2204">
        <v>16.45</v>
      </c>
      <c r="H2204">
        <v>94</v>
      </c>
      <c r="I2204" t="s">
        <v>61</v>
      </c>
      <c r="J2204" t="s">
        <v>37</v>
      </c>
      <c r="K2204" t="s">
        <v>68</v>
      </c>
      <c r="L2204">
        <v>1</v>
      </c>
      <c r="M2204" t="str">
        <f t="shared" si="68"/>
        <v>Medium</v>
      </c>
      <c r="N2204" t="str">
        <f t="shared" si="69"/>
        <v>Excellent</v>
      </c>
    </row>
    <row r="2205" spans="1:14">
      <c r="A2205" t="s">
        <v>26</v>
      </c>
      <c r="B2205">
        <v>2017</v>
      </c>
      <c r="C2205" t="s">
        <v>4835</v>
      </c>
      <c r="D2205" t="s">
        <v>14</v>
      </c>
      <c r="E2205" t="s">
        <v>4836</v>
      </c>
      <c r="F2205" t="s">
        <v>35</v>
      </c>
      <c r="G2205">
        <v>40.49</v>
      </c>
      <c r="H2205">
        <v>51</v>
      </c>
      <c r="I2205" t="s">
        <v>61</v>
      </c>
      <c r="J2205" t="s">
        <v>24</v>
      </c>
      <c r="K2205" t="s">
        <v>1763</v>
      </c>
      <c r="L2205">
        <v>294</v>
      </c>
      <c r="M2205" t="str">
        <f t="shared" si="68"/>
        <v>High</v>
      </c>
      <c r="N2205" t="str">
        <f t="shared" si="69"/>
        <v>Average</v>
      </c>
    </row>
    <row r="2206" spans="1:14">
      <c r="A2206" t="s">
        <v>48</v>
      </c>
      <c r="B2206">
        <v>2022</v>
      </c>
      <c r="C2206" t="s">
        <v>4837</v>
      </c>
      <c r="D2206" t="s">
        <v>33</v>
      </c>
      <c r="E2206" t="s">
        <v>2747</v>
      </c>
      <c r="F2206" t="s">
        <v>42</v>
      </c>
      <c r="G2206">
        <v>6.06</v>
      </c>
      <c r="H2206">
        <v>100</v>
      </c>
      <c r="I2206" t="s">
        <v>29</v>
      </c>
      <c r="J2206" t="s">
        <v>24</v>
      </c>
      <c r="K2206" t="s">
        <v>1042</v>
      </c>
      <c r="L2206">
        <v>85</v>
      </c>
      <c r="M2206" t="str">
        <f t="shared" si="68"/>
        <v>Low</v>
      </c>
      <c r="N2206" t="str">
        <f t="shared" si="69"/>
        <v>Excellent</v>
      </c>
    </row>
    <row r="2207" spans="1:14">
      <c r="A2207" t="s">
        <v>26</v>
      </c>
      <c r="B2207">
        <v>2000</v>
      </c>
      <c r="C2207" t="s">
        <v>4838</v>
      </c>
      <c r="D2207" t="s">
        <v>14</v>
      </c>
      <c r="E2207" t="s">
        <v>4839</v>
      </c>
      <c r="F2207" t="s">
        <v>57</v>
      </c>
      <c r="G2207">
        <v>40.65</v>
      </c>
      <c r="H2207">
        <v>87</v>
      </c>
      <c r="I2207" t="s">
        <v>29</v>
      </c>
      <c r="J2207" t="s">
        <v>37</v>
      </c>
      <c r="K2207" t="s">
        <v>31</v>
      </c>
      <c r="L2207">
        <v>350</v>
      </c>
      <c r="M2207" t="str">
        <f t="shared" si="68"/>
        <v>High</v>
      </c>
      <c r="N2207" t="str">
        <f t="shared" si="69"/>
        <v>Good</v>
      </c>
    </row>
    <row r="2208" spans="1:14">
      <c r="A2208" t="s">
        <v>26</v>
      </c>
      <c r="B2208">
        <v>2003</v>
      </c>
      <c r="C2208" t="s">
        <v>4840</v>
      </c>
      <c r="D2208" t="s">
        <v>33</v>
      </c>
      <c r="E2208" t="s">
        <v>4841</v>
      </c>
      <c r="F2208" t="s">
        <v>46</v>
      </c>
      <c r="G2208">
        <v>10.92</v>
      </c>
      <c r="H2208">
        <v>96</v>
      </c>
      <c r="I2208" t="s">
        <v>36</v>
      </c>
      <c r="J2208" t="s">
        <v>18</v>
      </c>
      <c r="K2208" t="s">
        <v>12</v>
      </c>
      <c r="L2208">
        <v>248</v>
      </c>
      <c r="M2208" t="str">
        <f t="shared" si="68"/>
        <v>Low</v>
      </c>
      <c r="N2208" t="str">
        <f t="shared" si="69"/>
        <v>Excellent</v>
      </c>
    </row>
    <row r="2209" spans="1:14">
      <c r="A2209" t="s">
        <v>47</v>
      </c>
      <c r="B2209">
        <v>2016</v>
      </c>
      <c r="C2209" t="s">
        <v>4842</v>
      </c>
      <c r="D2209" t="s">
        <v>33</v>
      </c>
      <c r="E2209" t="s">
        <v>4843</v>
      </c>
      <c r="F2209" t="s">
        <v>42</v>
      </c>
      <c r="G2209">
        <v>21.81</v>
      </c>
      <c r="H2209">
        <v>66</v>
      </c>
      <c r="I2209" t="s">
        <v>61</v>
      </c>
      <c r="J2209" t="s">
        <v>37</v>
      </c>
      <c r="K2209" t="s">
        <v>398</v>
      </c>
      <c r="L2209">
        <v>33</v>
      </c>
      <c r="M2209" t="str">
        <f t="shared" si="68"/>
        <v>Medium</v>
      </c>
      <c r="N2209" t="str">
        <f t="shared" si="69"/>
        <v>Average</v>
      </c>
    </row>
    <row r="2210" spans="1:14">
      <c r="A2210" t="s">
        <v>65</v>
      </c>
      <c r="B2210">
        <v>2000</v>
      </c>
      <c r="C2210" t="s">
        <v>4844</v>
      </c>
      <c r="D2210" t="s">
        <v>33</v>
      </c>
      <c r="E2210" t="s">
        <v>4845</v>
      </c>
      <c r="F2210" t="s">
        <v>46</v>
      </c>
      <c r="G2210">
        <v>30.79</v>
      </c>
      <c r="H2210">
        <v>91</v>
      </c>
      <c r="I2210" t="s">
        <v>17</v>
      </c>
      <c r="J2210" t="s">
        <v>37</v>
      </c>
      <c r="K2210" t="s">
        <v>1484</v>
      </c>
      <c r="L2210">
        <v>239</v>
      </c>
      <c r="M2210" t="str">
        <f t="shared" si="68"/>
        <v>Medium</v>
      </c>
      <c r="N2210" t="str">
        <f t="shared" si="69"/>
        <v>Excellent</v>
      </c>
    </row>
    <row r="2211" spans="1:14">
      <c r="A2211" t="s">
        <v>12</v>
      </c>
      <c r="B2211">
        <v>2024</v>
      </c>
      <c r="C2211" t="s">
        <v>4846</v>
      </c>
      <c r="D2211" t="s">
        <v>33</v>
      </c>
      <c r="E2211" t="s">
        <v>4847</v>
      </c>
      <c r="F2211" t="s">
        <v>42</v>
      </c>
      <c r="G2211">
        <v>27.25</v>
      </c>
      <c r="H2211">
        <v>58</v>
      </c>
      <c r="I2211" t="s">
        <v>36</v>
      </c>
      <c r="J2211" t="s">
        <v>18</v>
      </c>
      <c r="K2211" t="s">
        <v>31</v>
      </c>
      <c r="L2211">
        <v>319</v>
      </c>
      <c r="M2211" t="str">
        <f t="shared" si="68"/>
        <v>Medium</v>
      </c>
      <c r="N2211" t="str">
        <f t="shared" si="69"/>
        <v>Average</v>
      </c>
    </row>
    <row r="2212" spans="1:14">
      <c r="A2212" t="s">
        <v>47</v>
      </c>
      <c r="B2212">
        <v>2003</v>
      </c>
      <c r="C2212" t="s">
        <v>4848</v>
      </c>
      <c r="D2212" t="s">
        <v>33</v>
      </c>
      <c r="E2212" t="s">
        <v>4849</v>
      </c>
      <c r="F2212" t="s">
        <v>42</v>
      </c>
      <c r="G2212">
        <v>5.18</v>
      </c>
      <c r="H2212">
        <v>78</v>
      </c>
      <c r="I2212" t="s">
        <v>17</v>
      </c>
      <c r="J2212" t="s">
        <v>24</v>
      </c>
      <c r="K2212" t="s">
        <v>705</v>
      </c>
      <c r="L2212">
        <v>150</v>
      </c>
      <c r="M2212" t="str">
        <f t="shared" si="68"/>
        <v>Low</v>
      </c>
      <c r="N2212" t="str">
        <f t="shared" si="69"/>
        <v>Good</v>
      </c>
    </row>
    <row r="2213" spans="1:14">
      <c r="A2213" t="s">
        <v>26</v>
      </c>
      <c r="B2213">
        <v>2020</v>
      </c>
      <c r="C2213" t="s">
        <v>4850</v>
      </c>
      <c r="D2213" t="s">
        <v>14</v>
      </c>
      <c r="E2213" t="s">
        <v>4851</v>
      </c>
      <c r="F2213" t="s">
        <v>35</v>
      </c>
      <c r="G2213">
        <v>39.65</v>
      </c>
      <c r="H2213">
        <v>78</v>
      </c>
      <c r="I2213" t="s">
        <v>17</v>
      </c>
      <c r="J2213" t="s">
        <v>18</v>
      </c>
      <c r="K2213" t="s">
        <v>26</v>
      </c>
      <c r="L2213">
        <v>5</v>
      </c>
      <c r="M2213" t="str">
        <f t="shared" si="68"/>
        <v>High</v>
      </c>
      <c r="N2213" t="str">
        <f t="shared" si="69"/>
        <v>Good</v>
      </c>
    </row>
    <row r="2214" spans="1:14">
      <c r="A2214" t="s">
        <v>65</v>
      </c>
      <c r="B2214">
        <v>2002</v>
      </c>
      <c r="C2214" t="s">
        <v>4852</v>
      </c>
      <c r="D2214" t="s">
        <v>33</v>
      </c>
      <c r="E2214" t="s">
        <v>4853</v>
      </c>
      <c r="F2214" t="s">
        <v>42</v>
      </c>
      <c r="G2214">
        <v>9.58</v>
      </c>
      <c r="H2214">
        <v>100</v>
      </c>
      <c r="I2214" t="s">
        <v>36</v>
      </c>
      <c r="J2214" t="s">
        <v>18</v>
      </c>
      <c r="K2214" t="s">
        <v>12</v>
      </c>
      <c r="L2214">
        <v>166</v>
      </c>
      <c r="M2214" t="str">
        <f t="shared" si="68"/>
        <v>Low</v>
      </c>
      <c r="N2214" t="str">
        <f t="shared" si="69"/>
        <v>Excellent</v>
      </c>
    </row>
    <row r="2215" spans="1:14">
      <c r="A2215" t="s">
        <v>68</v>
      </c>
      <c r="B2215">
        <v>2013</v>
      </c>
      <c r="C2215" t="s">
        <v>4854</v>
      </c>
      <c r="D2215" t="s">
        <v>14</v>
      </c>
      <c r="E2215" t="s">
        <v>4855</v>
      </c>
      <c r="F2215" t="s">
        <v>42</v>
      </c>
      <c r="G2215">
        <v>6.68</v>
      </c>
      <c r="H2215">
        <v>89</v>
      </c>
      <c r="I2215" t="s">
        <v>23</v>
      </c>
      <c r="J2215" t="s">
        <v>37</v>
      </c>
      <c r="K2215" t="s">
        <v>4416</v>
      </c>
      <c r="L2215">
        <v>234</v>
      </c>
      <c r="M2215" t="str">
        <f t="shared" si="68"/>
        <v>Low</v>
      </c>
      <c r="N2215" t="str">
        <f t="shared" si="69"/>
        <v>Good</v>
      </c>
    </row>
    <row r="2216" spans="1:14">
      <c r="A2216" t="s">
        <v>65</v>
      </c>
      <c r="B2216">
        <v>2023</v>
      </c>
      <c r="C2216" t="s">
        <v>4856</v>
      </c>
      <c r="D2216" t="s">
        <v>14</v>
      </c>
      <c r="E2216" t="s">
        <v>4857</v>
      </c>
      <c r="F2216" t="s">
        <v>42</v>
      </c>
      <c r="G2216">
        <v>31.38</v>
      </c>
      <c r="H2216">
        <v>90</v>
      </c>
      <c r="I2216" t="s">
        <v>17</v>
      </c>
      <c r="J2216" t="s">
        <v>18</v>
      </c>
      <c r="K2216" t="s">
        <v>26</v>
      </c>
      <c r="L2216">
        <v>9</v>
      </c>
      <c r="M2216" t="str">
        <f t="shared" si="68"/>
        <v>Medium</v>
      </c>
      <c r="N2216" t="str">
        <f t="shared" si="69"/>
        <v>Excellent</v>
      </c>
    </row>
    <row r="2217" spans="1:14">
      <c r="A2217" t="s">
        <v>12</v>
      </c>
      <c r="B2217">
        <v>2005</v>
      </c>
      <c r="C2217" t="s">
        <v>4858</v>
      </c>
      <c r="D2217" t="s">
        <v>33</v>
      </c>
      <c r="E2217" t="s">
        <v>4859</v>
      </c>
      <c r="F2217" t="s">
        <v>16</v>
      </c>
      <c r="G2217">
        <v>48.08</v>
      </c>
      <c r="H2217">
        <v>59</v>
      </c>
      <c r="I2217" t="s">
        <v>61</v>
      </c>
      <c r="J2217" t="s">
        <v>37</v>
      </c>
      <c r="K2217" t="s">
        <v>48</v>
      </c>
      <c r="L2217">
        <v>283</v>
      </c>
      <c r="M2217" t="str">
        <f t="shared" si="68"/>
        <v>High</v>
      </c>
      <c r="N2217" t="str">
        <f t="shared" si="69"/>
        <v>Average</v>
      </c>
    </row>
    <row r="2218" spans="1:14">
      <c r="A2218" t="s">
        <v>31</v>
      </c>
      <c r="B2218">
        <v>2020</v>
      </c>
      <c r="C2218" t="s">
        <v>4860</v>
      </c>
      <c r="D2218" t="s">
        <v>33</v>
      </c>
      <c r="E2218" t="s">
        <v>4861</v>
      </c>
      <c r="F2218" t="s">
        <v>46</v>
      </c>
      <c r="G2218">
        <v>10.87</v>
      </c>
      <c r="H2218">
        <v>78</v>
      </c>
      <c r="I2218" t="s">
        <v>23</v>
      </c>
      <c r="J2218" t="s">
        <v>37</v>
      </c>
      <c r="K2218" t="s">
        <v>1604</v>
      </c>
      <c r="L2218">
        <v>54</v>
      </c>
      <c r="M2218" t="str">
        <f t="shared" si="68"/>
        <v>Low</v>
      </c>
      <c r="N2218" t="str">
        <f t="shared" si="69"/>
        <v>Good</v>
      </c>
    </row>
    <row r="2219" spans="1:14">
      <c r="A2219" t="s">
        <v>38</v>
      </c>
      <c r="B2219">
        <v>2002</v>
      </c>
      <c r="C2219" t="s">
        <v>4862</v>
      </c>
      <c r="D2219" t="s">
        <v>14</v>
      </c>
      <c r="E2219" t="s">
        <v>4863</v>
      </c>
      <c r="F2219" t="s">
        <v>42</v>
      </c>
      <c r="G2219">
        <v>28.37</v>
      </c>
      <c r="H2219">
        <v>51</v>
      </c>
      <c r="I2219" t="s">
        <v>29</v>
      </c>
      <c r="J2219" t="s">
        <v>24</v>
      </c>
      <c r="K2219" t="s">
        <v>48</v>
      </c>
      <c r="L2219">
        <v>336</v>
      </c>
      <c r="M2219" t="str">
        <f t="shared" si="68"/>
        <v>Medium</v>
      </c>
      <c r="N2219" t="str">
        <f t="shared" si="69"/>
        <v>Average</v>
      </c>
    </row>
    <row r="2220" spans="1:14">
      <c r="A2220" t="s">
        <v>12</v>
      </c>
      <c r="B2220">
        <v>2004</v>
      </c>
      <c r="C2220" t="s">
        <v>4864</v>
      </c>
      <c r="D2220" t="s">
        <v>14</v>
      </c>
      <c r="E2220" t="s">
        <v>4865</v>
      </c>
      <c r="F2220" t="s">
        <v>46</v>
      </c>
      <c r="G2220">
        <v>39.33</v>
      </c>
      <c r="H2220">
        <v>88</v>
      </c>
      <c r="I2220" t="s">
        <v>61</v>
      </c>
      <c r="J2220" t="s">
        <v>24</v>
      </c>
      <c r="K2220" t="s">
        <v>68</v>
      </c>
      <c r="L2220">
        <v>197</v>
      </c>
      <c r="M2220" t="str">
        <f t="shared" si="68"/>
        <v>High</v>
      </c>
      <c r="N2220" t="str">
        <f t="shared" si="69"/>
        <v>Good</v>
      </c>
    </row>
    <row r="2221" spans="1:14">
      <c r="A2221" t="s">
        <v>31</v>
      </c>
      <c r="B2221">
        <v>2017</v>
      </c>
      <c r="C2221" t="s">
        <v>4866</v>
      </c>
      <c r="D2221" t="s">
        <v>33</v>
      </c>
      <c r="E2221" t="s">
        <v>4867</v>
      </c>
      <c r="F2221" t="s">
        <v>35</v>
      </c>
      <c r="G2221">
        <v>22.29</v>
      </c>
      <c r="H2221">
        <v>98</v>
      </c>
      <c r="I2221" t="s">
        <v>17</v>
      </c>
      <c r="J2221" t="s">
        <v>18</v>
      </c>
      <c r="K2221" t="s">
        <v>47</v>
      </c>
      <c r="L2221">
        <v>50</v>
      </c>
      <c r="M2221" t="str">
        <f t="shared" si="68"/>
        <v>Medium</v>
      </c>
      <c r="N2221" t="str">
        <f t="shared" si="69"/>
        <v>Excellent</v>
      </c>
    </row>
    <row r="2222" spans="1:14">
      <c r="A2222" t="s">
        <v>20</v>
      </c>
      <c r="B2222">
        <v>2019</v>
      </c>
      <c r="C2222" t="s">
        <v>4868</v>
      </c>
      <c r="D2222" t="s">
        <v>14</v>
      </c>
      <c r="E2222" t="s">
        <v>234</v>
      </c>
      <c r="F2222" t="s">
        <v>16</v>
      </c>
      <c r="G2222">
        <v>18.440000000000001</v>
      </c>
      <c r="H2222">
        <v>91</v>
      </c>
      <c r="I2222" t="s">
        <v>61</v>
      </c>
      <c r="J2222" t="s">
        <v>24</v>
      </c>
      <c r="K2222" t="s">
        <v>65</v>
      </c>
      <c r="L2222">
        <v>176</v>
      </c>
      <c r="M2222" t="str">
        <f t="shared" si="68"/>
        <v>Medium</v>
      </c>
      <c r="N2222" t="str">
        <f t="shared" si="69"/>
        <v>Excellent</v>
      </c>
    </row>
    <row r="2223" spans="1:14">
      <c r="A2223" t="s">
        <v>12</v>
      </c>
      <c r="B2223">
        <v>2018</v>
      </c>
      <c r="C2223" t="s">
        <v>4869</v>
      </c>
      <c r="D2223" t="s">
        <v>33</v>
      </c>
      <c r="E2223" t="s">
        <v>4870</v>
      </c>
      <c r="F2223" t="s">
        <v>35</v>
      </c>
      <c r="G2223">
        <v>24.11</v>
      </c>
      <c r="H2223">
        <v>65</v>
      </c>
      <c r="I2223" t="s">
        <v>23</v>
      </c>
      <c r="J2223" t="s">
        <v>18</v>
      </c>
      <c r="K2223" t="s">
        <v>4871</v>
      </c>
      <c r="L2223">
        <v>153</v>
      </c>
      <c r="M2223" t="str">
        <f t="shared" si="68"/>
        <v>Medium</v>
      </c>
      <c r="N2223" t="str">
        <f t="shared" si="69"/>
        <v>Average</v>
      </c>
    </row>
    <row r="2224" spans="1:14">
      <c r="A2224" t="s">
        <v>26</v>
      </c>
      <c r="B2224">
        <v>2005</v>
      </c>
      <c r="C2224" t="s">
        <v>4872</v>
      </c>
      <c r="D2224" t="s">
        <v>33</v>
      </c>
      <c r="E2224" t="s">
        <v>4873</v>
      </c>
      <c r="F2224" t="s">
        <v>35</v>
      </c>
      <c r="G2224">
        <v>12.25</v>
      </c>
      <c r="H2224">
        <v>98</v>
      </c>
      <c r="I2224" t="s">
        <v>23</v>
      </c>
      <c r="J2224" t="s">
        <v>37</v>
      </c>
      <c r="K2224" t="s">
        <v>4874</v>
      </c>
      <c r="L2224">
        <v>221</v>
      </c>
      <c r="M2224" t="str">
        <f t="shared" si="68"/>
        <v>Low</v>
      </c>
      <c r="N2224" t="str">
        <f t="shared" si="69"/>
        <v>Excellent</v>
      </c>
    </row>
    <row r="2225" spans="1:14">
      <c r="A2225" t="s">
        <v>38</v>
      </c>
      <c r="B2225">
        <v>2021</v>
      </c>
      <c r="C2225" t="s">
        <v>4875</v>
      </c>
      <c r="D2225" t="s">
        <v>33</v>
      </c>
      <c r="E2225" t="s">
        <v>4876</v>
      </c>
      <c r="F2225" t="s">
        <v>35</v>
      </c>
      <c r="G2225">
        <v>31</v>
      </c>
      <c r="H2225">
        <v>64</v>
      </c>
      <c r="I2225" t="s">
        <v>36</v>
      </c>
      <c r="J2225" t="s">
        <v>24</v>
      </c>
      <c r="K2225" t="s">
        <v>795</v>
      </c>
      <c r="L2225">
        <v>189</v>
      </c>
      <c r="M2225" t="str">
        <f t="shared" si="68"/>
        <v>Medium</v>
      </c>
      <c r="N2225" t="str">
        <f t="shared" si="69"/>
        <v>Average</v>
      </c>
    </row>
    <row r="2226" spans="1:14">
      <c r="A2226" t="s">
        <v>65</v>
      </c>
      <c r="B2226">
        <v>2010</v>
      </c>
      <c r="C2226" t="s">
        <v>4877</v>
      </c>
      <c r="D2226" t="s">
        <v>33</v>
      </c>
      <c r="E2226" t="s">
        <v>4878</v>
      </c>
      <c r="F2226" t="s">
        <v>46</v>
      </c>
      <c r="G2226">
        <v>13.79</v>
      </c>
      <c r="H2226">
        <v>72</v>
      </c>
      <c r="I2226" t="s">
        <v>36</v>
      </c>
      <c r="J2226" t="s">
        <v>24</v>
      </c>
      <c r="K2226" t="s">
        <v>730</v>
      </c>
      <c r="L2226">
        <v>46</v>
      </c>
      <c r="M2226" t="str">
        <f t="shared" si="68"/>
        <v>Low</v>
      </c>
      <c r="N2226" t="str">
        <f t="shared" si="69"/>
        <v>Average</v>
      </c>
    </row>
    <row r="2227" spans="1:14">
      <c r="A2227" t="s">
        <v>48</v>
      </c>
      <c r="B2227">
        <v>2003</v>
      </c>
      <c r="C2227" t="s">
        <v>4879</v>
      </c>
      <c r="D2227" t="s">
        <v>33</v>
      </c>
      <c r="E2227" t="s">
        <v>4880</v>
      </c>
      <c r="F2227" t="s">
        <v>57</v>
      </c>
      <c r="G2227">
        <v>38.33</v>
      </c>
      <c r="H2227">
        <v>100</v>
      </c>
      <c r="I2227" t="s">
        <v>36</v>
      </c>
      <c r="J2227" t="s">
        <v>18</v>
      </c>
      <c r="K2227" t="s">
        <v>1597</v>
      </c>
      <c r="L2227">
        <v>148</v>
      </c>
      <c r="M2227" t="str">
        <f t="shared" si="68"/>
        <v>High</v>
      </c>
      <c r="N2227" t="str">
        <f t="shared" si="69"/>
        <v>Excellent</v>
      </c>
    </row>
    <row r="2228" spans="1:14">
      <c r="A2228" t="s">
        <v>68</v>
      </c>
      <c r="B2228">
        <v>2021</v>
      </c>
      <c r="C2228" t="s">
        <v>4881</v>
      </c>
      <c r="D2228" t="s">
        <v>33</v>
      </c>
      <c r="E2228" t="s">
        <v>4882</v>
      </c>
      <c r="F2228" t="s">
        <v>46</v>
      </c>
      <c r="G2228">
        <v>39.270000000000003</v>
      </c>
      <c r="H2228">
        <v>64</v>
      </c>
      <c r="I2228" t="s">
        <v>17</v>
      </c>
      <c r="J2228" t="s">
        <v>18</v>
      </c>
      <c r="K2228" t="s">
        <v>48</v>
      </c>
      <c r="L2228">
        <v>127</v>
      </c>
      <c r="M2228" t="str">
        <f t="shared" si="68"/>
        <v>High</v>
      </c>
      <c r="N2228" t="str">
        <f t="shared" si="69"/>
        <v>Average</v>
      </c>
    </row>
    <row r="2229" spans="1:14">
      <c r="A2229" t="s">
        <v>20</v>
      </c>
      <c r="B2229">
        <v>2012</v>
      </c>
      <c r="C2229" t="s">
        <v>4883</v>
      </c>
      <c r="D2229" t="s">
        <v>33</v>
      </c>
      <c r="E2229" t="s">
        <v>4884</v>
      </c>
      <c r="F2229" t="s">
        <v>46</v>
      </c>
      <c r="G2229">
        <v>38.99</v>
      </c>
      <c r="H2229">
        <v>72</v>
      </c>
      <c r="I2229" t="s">
        <v>61</v>
      </c>
      <c r="J2229" t="s">
        <v>37</v>
      </c>
      <c r="K2229" t="s">
        <v>1816</v>
      </c>
      <c r="L2229">
        <v>284</v>
      </c>
      <c r="M2229" t="str">
        <f t="shared" si="68"/>
        <v>High</v>
      </c>
      <c r="N2229" t="str">
        <f t="shared" si="69"/>
        <v>Average</v>
      </c>
    </row>
    <row r="2230" spans="1:14">
      <c r="A2230" t="s">
        <v>48</v>
      </c>
      <c r="B2230">
        <v>2003</v>
      </c>
      <c r="C2230" t="s">
        <v>4885</v>
      </c>
      <c r="D2230" t="s">
        <v>14</v>
      </c>
      <c r="E2230" t="s">
        <v>4886</v>
      </c>
      <c r="F2230" t="s">
        <v>57</v>
      </c>
      <c r="G2230">
        <v>27.82</v>
      </c>
      <c r="H2230">
        <v>95</v>
      </c>
      <c r="I2230" t="s">
        <v>23</v>
      </c>
      <c r="J2230" t="s">
        <v>37</v>
      </c>
      <c r="K2230" t="s">
        <v>1388</v>
      </c>
      <c r="L2230">
        <v>320</v>
      </c>
      <c r="M2230" t="str">
        <f t="shared" si="68"/>
        <v>Medium</v>
      </c>
      <c r="N2230" t="str">
        <f t="shared" si="69"/>
        <v>Excellent</v>
      </c>
    </row>
    <row r="2231" spans="1:14">
      <c r="A2231" t="s">
        <v>65</v>
      </c>
      <c r="B2231">
        <v>2021</v>
      </c>
      <c r="C2231" t="s">
        <v>4887</v>
      </c>
      <c r="D2231" t="s">
        <v>33</v>
      </c>
      <c r="E2231" t="s">
        <v>4888</v>
      </c>
      <c r="F2231" t="s">
        <v>42</v>
      </c>
      <c r="G2231">
        <v>0.96</v>
      </c>
      <c r="H2231">
        <v>71</v>
      </c>
      <c r="I2231" t="s">
        <v>17</v>
      </c>
      <c r="J2231" t="s">
        <v>37</v>
      </c>
      <c r="K2231" t="s">
        <v>1821</v>
      </c>
      <c r="L2231">
        <v>141</v>
      </c>
      <c r="M2231" t="str">
        <f t="shared" si="68"/>
        <v>Low</v>
      </c>
      <c r="N2231" t="str">
        <f t="shared" si="69"/>
        <v>Average</v>
      </c>
    </row>
    <row r="2232" spans="1:14">
      <c r="A2232" t="s">
        <v>20</v>
      </c>
      <c r="B2232">
        <v>2016</v>
      </c>
      <c r="C2232" t="s">
        <v>4889</v>
      </c>
      <c r="D2232" t="s">
        <v>33</v>
      </c>
      <c r="E2232" t="s">
        <v>4890</v>
      </c>
      <c r="F2232" t="s">
        <v>16</v>
      </c>
      <c r="G2232">
        <v>18.09</v>
      </c>
      <c r="H2232">
        <v>65</v>
      </c>
      <c r="I2232" t="s">
        <v>29</v>
      </c>
      <c r="J2232" t="s">
        <v>37</v>
      </c>
      <c r="K2232" t="s">
        <v>68</v>
      </c>
      <c r="L2232">
        <v>36</v>
      </c>
      <c r="M2232" t="str">
        <f t="shared" si="68"/>
        <v>Medium</v>
      </c>
      <c r="N2232" t="str">
        <f t="shared" si="69"/>
        <v>Average</v>
      </c>
    </row>
    <row r="2233" spans="1:14">
      <c r="A2233" t="s">
        <v>31</v>
      </c>
      <c r="B2233">
        <v>2019</v>
      </c>
      <c r="C2233" t="s">
        <v>4891</v>
      </c>
      <c r="D2233" t="s">
        <v>33</v>
      </c>
      <c r="E2233" t="s">
        <v>4892</v>
      </c>
      <c r="F2233" t="s">
        <v>42</v>
      </c>
      <c r="G2233">
        <v>41.32</v>
      </c>
      <c r="H2233">
        <v>94</v>
      </c>
      <c r="I2233" t="s">
        <v>36</v>
      </c>
      <c r="J2233" t="s">
        <v>37</v>
      </c>
      <c r="K2233" t="s">
        <v>26</v>
      </c>
      <c r="L2233">
        <v>345</v>
      </c>
      <c r="M2233" t="str">
        <f t="shared" si="68"/>
        <v>High</v>
      </c>
      <c r="N2233" t="str">
        <f t="shared" si="69"/>
        <v>Excellent</v>
      </c>
    </row>
    <row r="2234" spans="1:14">
      <c r="A2234" t="s">
        <v>48</v>
      </c>
      <c r="B2234">
        <v>2001</v>
      </c>
      <c r="C2234" t="s">
        <v>4893</v>
      </c>
      <c r="D2234" t="s">
        <v>33</v>
      </c>
      <c r="E2234" t="s">
        <v>4894</v>
      </c>
      <c r="F2234" t="s">
        <v>35</v>
      </c>
      <c r="G2234">
        <v>22.69</v>
      </c>
      <c r="H2234">
        <v>83</v>
      </c>
      <c r="I2234" t="s">
        <v>17</v>
      </c>
      <c r="J2234" t="s">
        <v>24</v>
      </c>
      <c r="K2234" t="s">
        <v>314</v>
      </c>
      <c r="L2234">
        <v>258</v>
      </c>
      <c r="M2234" t="str">
        <f t="shared" si="68"/>
        <v>Medium</v>
      </c>
      <c r="N2234" t="str">
        <f t="shared" si="69"/>
        <v>Good</v>
      </c>
    </row>
    <row r="2235" spans="1:14">
      <c r="A2235" t="s">
        <v>47</v>
      </c>
      <c r="B2235">
        <v>2018</v>
      </c>
      <c r="C2235" t="s">
        <v>4895</v>
      </c>
      <c r="D2235" t="s">
        <v>33</v>
      </c>
      <c r="E2235" t="s">
        <v>4896</v>
      </c>
      <c r="F2235" t="s">
        <v>42</v>
      </c>
      <c r="G2235">
        <v>35.880000000000003</v>
      </c>
      <c r="H2235">
        <v>60</v>
      </c>
      <c r="I2235" t="s">
        <v>61</v>
      </c>
      <c r="J2235" t="s">
        <v>37</v>
      </c>
      <c r="K2235" t="s">
        <v>2020</v>
      </c>
      <c r="L2235">
        <v>112</v>
      </c>
      <c r="M2235" t="str">
        <f t="shared" si="68"/>
        <v>High</v>
      </c>
      <c r="N2235" t="str">
        <f t="shared" si="69"/>
        <v>Average</v>
      </c>
    </row>
    <row r="2236" spans="1:14">
      <c r="A2236" t="s">
        <v>39</v>
      </c>
      <c r="B2236">
        <v>2001</v>
      </c>
      <c r="C2236" t="s">
        <v>4897</v>
      </c>
      <c r="D2236" t="s">
        <v>33</v>
      </c>
      <c r="E2236" t="s">
        <v>4898</v>
      </c>
      <c r="F2236" t="s">
        <v>16</v>
      </c>
      <c r="G2236">
        <v>46.86</v>
      </c>
      <c r="H2236">
        <v>65</v>
      </c>
      <c r="I2236" t="s">
        <v>61</v>
      </c>
      <c r="J2236" t="s">
        <v>24</v>
      </c>
      <c r="K2236" t="s">
        <v>48</v>
      </c>
      <c r="L2236">
        <v>204</v>
      </c>
      <c r="M2236" t="str">
        <f t="shared" si="68"/>
        <v>High</v>
      </c>
      <c r="N2236" t="str">
        <f t="shared" si="69"/>
        <v>Average</v>
      </c>
    </row>
    <row r="2237" spans="1:14">
      <c r="A2237" t="s">
        <v>38</v>
      </c>
      <c r="B2237">
        <v>2007</v>
      </c>
      <c r="C2237" t="s">
        <v>4899</v>
      </c>
      <c r="D2237" t="s">
        <v>33</v>
      </c>
      <c r="E2237" t="s">
        <v>4900</v>
      </c>
      <c r="F2237" t="s">
        <v>16</v>
      </c>
      <c r="G2237">
        <v>29.9</v>
      </c>
      <c r="H2237">
        <v>65</v>
      </c>
      <c r="I2237" t="s">
        <v>29</v>
      </c>
      <c r="J2237" t="s">
        <v>37</v>
      </c>
      <c r="K2237" t="s">
        <v>39</v>
      </c>
      <c r="L2237">
        <v>294</v>
      </c>
      <c r="M2237" t="str">
        <f t="shared" si="68"/>
        <v>Medium</v>
      </c>
      <c r="N2237" t="str">
        <f t="shared" si="69"/>
        <v>Average</v>
      </c>
    </row>
    <row r="2238" spans="1:14">
      <c r="A2238" t="s">
        <v>12</v>
      </c>
      <c r="B2238">
        <v>2015</v>
      </c>
      <c r="C2238" t="s">
        <v>4901</v>
      </c>
      <c r="D2238" t="s">
        <v>33</v>
      </c>
      <c r="E2238" t="s">
        <v>4902</v>
      </c>
      <c r="F2238" t="s">
        <v>57</v>
      </c>
      <c r="G2238">
        <v>25.1</v>
      </c>
      <c r="H2238">
        <v>98</v>
      </c>
      <c r="I2238" t="s">
        <v>17</v>
      </c>
      <c r="J2238" t="s">
        <v>24</v>
      </c>
      <c r="K2238" t="s">
        <v>2581</v>
      </c>
      <c r="L2238">
        <v>210</v>
      </c>
      <c r="M2238" t="str">
        <f t="shared" si="68"/>
        <v>Medium</v>
      </c>
      <c r="N2238" t="str">
        <f t="shared" si="69"/>
        <v>Excellent</v>
      </c>
    </row>
    <row r="2239" spans="1:14">
      <c r="A2239" t="s">
        <v>38</v>
      </c>
      <c r="B2239">
        <v>2011</v>
      </c>
      <c r="C2239" t="s">
        <v>4903</v>
      </c>
      <c r="D2239" t="s">
        <v>33</v>
      </c>
      <c r="E2239" t="s">
        <v>4904</v>
      </c>
      <c r="F2239" t="s">
        <v>46</v>
      </c>
      <c r="G2239">
        <v>36.06</v>
      </c>
      <c r="H2239">
        <v>98</v>
      </c>
      <c r="I2239" t="s">
        <v>23</v>
      </c>
      <c r="J2239" t="s">
        <v>37</v>
      </c>
      <c r="K2239" t="s">
        <v>68</v>
      </c>
      <c r="L2239">
        <v>143</v>
      </c>
      <c r="M2239" t="str">
        <f t="shared" si="68"/>
        <v>High</v>
      </c>
      <c r="N2239" t="str">
        <f t="shared" si="69"/>
        <v>Excellent</v>
      </c>
    </row>
    <row r="2240" spans="1:14">
      <c r="A2240" t="s">
        <v>38</v>
      </c>
      <c r="B2240">
        <v>2005</v>
      </c>
      <c r="C2240" t="s">
        <v>4905</v>
      </c>
      <c r="D2240" t="s">
        <v>14</v>
      </c>
      <c r="E2240" t="s">
        <v>4906</v>
      </c>
      <c r="F2240" t="s">
        <v>16</v>
      </c>
      <c r="G2240">
        <v>33.57</v>
      </c>
      <c r="H2240">
        <v>78</v>
      </c>
      <c r="I2240" t="s">
        <v>36</v>
      </c>
      <c r="J2240" t="s">
        <v>24</v>
      </c>
      <c r="K2240" t="s">
        <v>2563</v>
      </c>
      <c r="L2240">
        <v>120</v>
      </c>
      <c r="M2240" t="str">
        <f t="shared" si="68"/>
        <v>Medium</v>
      </c>
      <c r="N2240" t="str">
        <f t="shared" si="69"/>
        <v>Good</v>
      </c>
    </row>
    <row r="2241" spans="1:14">
      <c r="A2241" t="s">
        <v>39</v>
      </c>
      <c r="B2241">
        <v>2001</v>
      </c>
      <c r="C2241" t="s">
        <v>4907</v>
      </c>
      <c r="D2241" t="s">
        <v>33</v>
      </c>
      <c r="E2241" t="s">
        <v>4908</v>
      </c>
      <c r="F2241" t="s">
        <v>42</v>
      </c>
      <c r="G2241">
        <v>4.24</v>
      </c>
      <c r="H2241">
        <v>53</v>
      </c>
      <c r="I2241" t="s">
        <v>36</v>
      </c>
      <c r="J2241" t="s">
        <v>18</v>
      </c>
      <c r="K2241" t="s">
        <v>31</v>
      </c>
      <c r="L2241">
        <v>67</v>
      </c>
      <c r="M2241" t="str">
        <f t="shared" si="68"/>
        <v>Low</v>
      </c>
      <c r="N2241" t="str">
        <f t="shared" si="69"/>
        <v>Average</v>
      </c>
    </row>
    <row r="2242" spans="1:14">
      <c r="A2242" t="s">
        <v>39</v>
      </c>
      <c r="B2242">
        <v>2021</v>
      </c>
      <c r="C2242" t="s">
        <v>4909</v>
      </c>
      <c r="D2242" t="s">
        <v>14</v>
      </c>
      <c r="E2242" t="s">
        <v>4910</v>
      </c>
      <c r="F2242" t="s">
        <v>57</v>
      </c>
      <c r="G2242">
        <v>30.59</v>
      </c>
      <c r="H2242">
        <v>78</v>
      </c>
      <c r="I2242" t="s">
        <v>61</v>
      </c>
      <c r="J2242" t="s">
        <v>37</v>
      </c>
      <c r="K2242" t="s">
        <v>1320</v>
      </c>
      <c r="L2242">
        <v>337</v>
      </c>
      <c r="M2242" t="str">
        <f t="shared" si="68"/>
        <v>Medium</v>
      </c>
      <c r="N2242" t="str">
        <f t="shared" si="69"/>
        <v>Good</v>
      </c>
    </row>
    <row r="2243" spans="1:14">
      <c r="A2243" t="s">
        <v>20</v>
      </c>
      <c r="B2243">
        <v>2009</v>
      </c>
      <c r="C2243" t="s">
        <v>4911</v>
      </c>
      <c r="D2243" t="s">
        <v>14</v>
      </c>
      <c r="E2243" t="s">
        <v>4912</v>
      </c>
      <c r="F2243" t="s">
        <v>57</v>
      </c>
      <c r="G2243">
        <v>45.73</v>
      </c>
      <c r="H2243">
        <v>68</v>
      </c>
      <c r="I2243" t="s">
        <v>23</v>
      </c>
      <c r="J2243" t="s">
        <v>18</v>
      </c>
      <c r="K2243" t="s">
        <v>81</v>
      </c>
      <c r="L2243">
        <v>259</v>
      </c>
      <c r="M2243" t="str">
        <f t="shared" ref="M2243:M2306" si="70">IF(G2243&lt;15,"Low",IF(G2243&lt;35,"Medium","High"))</f>
        <v>High</v>
      </c>
      <c r="N2243" t="str">
        <f t="shared" ref="N2243:N2306" si="71">IF(H2243&gt;=90,"Excellent",IF(H2243&gt;=75,"Good","Average"))</f>
        <v>Average</v>
      </c>
    </row>
    <row r="2244" spans="1:14">
      <c r="A2244" t="s">
        <v>20</v>
      </c>
      <c r="B2244">
        <v>2011</v>
      </c>
      <c r="C2244" t="s">
        <v>4913</v>
      </c>
      <c r="D2244" t="s">
        <v>33</v>
      </c>
      <c r="E2244" t="s">
        <v>4914</v>
      </c>
      <c r="F2244" t="s">
        <v>46</v>
      </c>
      <c r="G2244">
        <v>8.6999999999999993</v>
      </c>
      <c r="H2244">
        <v>98</v>
      </c>
      <c r="I2244" t="s">
        <v>29</v>
      </c>
      <c r="J2244" t="s">
        <v>24</v>
      </c>
      <c r="K2244" t="s">
        <v>26</v>
      </c>
      <c r="L2244">
        <v>306</v>
      </c>
      <c r="M2244" t="str">
        <f t="shared" si="70"/>
        <v>Low</v>
      </c>
      <c r="N2244" t="str">
        <f t="shared" si="71"/>
        <v>Excellent</v>
      </c>
    </row>
    <row r="2245" spans="1:14">
      <c r="A2245" t="s">
        <v>39</v>
      </c>
      <c r="B2245">
        <v>2009</v>
      </c>
      <c r="C2245" t="s">
        <v>4915</v>
      </c>
      <c r="D2245" t="s">
        <v>33</v>
      </c>
      <c r="E2245" t="s">
        <v>1379</v>
      </c>
      <c r="F2245" t="s">
        <v>57</v>
      </c>
      <c r="G2245">
        <v>42.22</v>
      </c>
      <c r="H2245">
        <v>65</v>
      </c>
      <c r="I2245" t="s">
        <v>29</v>
      </c>
      <c r="J2245" t="s">
        <v>18</v>
      </c>
      <c r="K2245" t="s">
        <v>752</v>
      </c>
      <c r="L2245">
        <v>149</v>
      </c>
      <c r="M2245" t="str">
        <f t="shared" si="70"/>
        <v>High</v>
      </c>
      <c r="N2245" t="str">
        <f t="shared" si="71"/>
        <v>Average</v>
      </c>
    </row>
    <row r="2246" spans="1:14">
      <c r="A2246" t="s">
        <v>68</v>
      </c>
      <c r="B2246">
        <v>2021</v>
      </c>
      <c r="C2246" t="s">
        <v>4916</v>
      </c>
      <c r="D2246" t="s">
        <v>14</v>
      </c>
      <c r="E2246" t="s">
        <v>4917</v>
      </c>
      <c r="F2246" t="s">
        <v>35</v>
      </c>
      <c r="G2246">
        <v>41.47</v>
      </c>
      <c r="H2246">
        <v>69</v>
      </c>
      <c r="I2246" t="s">
        <v>61</v>
      </c>
      <c r="J2246" t="s">
        <v>18</v>
      </c>
      <c r="K2246" t="s">
        <v>279</v>
      </c>
      <c r="L2246">
        <v>88</v>
      </c>
      <c r="M2246" t="str">
        <f t="shared" si="70"/>
        <v>High</v>
      </c>
      <c r="N2246" t="str">
        <f t="shared" si="71"/>
        <v>Average</v>
      </c>
    </row>
    <row r="2247" spans="1:14">
      <c r="A2247" t="s">
        <v>65</v>
      </c>
      <c r="B2247">
        <v>2018</v>
      </c>
      <c r="C2247" t="s">
        <v>4918</v>
      </c>
      <c r="D2247" t="s">
        <v>33</v>
      </c>
      <c r="E2247" t="s">
        <v>4919</v>
      </c>
      <c r="F2247" t="s">
        <v>42</v>
      </c>
      <c r="G2247">
        <v>41.93</v>
      </c>
      <c r="H2247">
        <v>63</v>
      </c>
      <c r="I2247" t="s">
        <v>23</v>
      </c>
      <c r="J2247" t="s">
        <v>24</v>
      </c>
      <c r="K2247" t="s">
        <v>286</v>
      </c>
      <c r="L2247">
        <v>236</v>
      </c>
      <c r="M2247" t="str">
        <f t="shared" si="70"/>
        <v>High</v>
      </c>
      <c r="N2247" t="str">
        <f t="shared" si="71"/>
        <v>Average</v>
      </c>
    </row>
    <row r="2248" spans="1:14">
      <c r="A2248" t="s">
        <v>47</v>
      </c>
      <c r="B2248">
        <v>2001</v>
      </c>
      <c r="C2248" t="s">
        <v>4920</v>
      </c>
      <c r="D2248" t="s">
        <v>33</v>
      </c>
      <c r="E2248" t="s">
        <v>4921</v>
      </c>
      <c r="F2248" t="s">
        <v>57</v>
      </c>
      <c r="G2248">
        <v>16.05</v>
      </c>
      <c r="H2248">
        <v>80</v>
      </c>
      <c r="I2248" t="s">
        <v>23</v>
      </c>
      <c r="J2248" t="s">
        <v>24</v>
      </c>
      <c r="K2248" t="s">
        <v>65</v>
      </c>
      <c r="L2248">
        <v>356</v>
      </c>
      <c r="M2248" t="str">
        <f t="shared" si="70"/>
        <v>Medium</v>
      </c>
      <c r="N2248" t="str">
        <f t="shared" si="71"/>
        <v>Good</v>
      </c>
    </row>
    <row r="2249" spans="1:14">
      <c r="A2249" t="s">
        <v>68</v>
      </c>
      <c r="B2249">
        <v>2012</v>
      </c>
      <c r="C2249" t="s">
        <v>4922</v>
      </c>
      <c r="D2249" t="s">
        <v>14</v>
      </c>
      <c r="E2249" t="s">
        <v>4923</v>
      </c>
      <c r="F2249" t="s">
        <v>42</v>
      </c>
      <c r="G2249">
        <v>35.89</v>
      </c>
      <c r="H2249">
        <v>62</v>
      </c>
      <c r="I2249" t="s">
        <v>23</v>
      </c>
      <c r="J2249" t="s">
        <v>24</v>
      </c>
      <c r="K2249" t="s">
        <v>4553</v>
      </c>
      <c r="L2249">
        <v>124</v>
      </c>
      <c r="M2249" t="str">
        <f t="shared" si="70"/>
        <v>High</v>
      </c>
      <c r="N2249" t="str">
        <f t="shared" si="71"/>
        <v>Average</v>
      </c>
    </row>
    <row r="2250" spans="1:14">
      <c r="A2250" t="s">
        <v>26</v>
      </c>
      <c r="B2250">
        <v>2010</v>
      </c>
      <c r="C2250" t="s">
        <v>4924</v>
      </c>
      <c r="D2250" t="s">
        <v>14</v>
      </c>
      <c r="E2250" t="s">
        <v>4925</v>
      </c>
      <c r="F2250" t="s">
        <v>16</v>
      </c>
      <c r="G2250">
        <v>41.4</v>
      </c>
      <c r="H2250">
        <v>95</v>
      </c>
      <c r="I2250" t="s">
        <v>23</v>
      </c>
      <c r="J2250" t="s">
        <v>37</v>
      </c>
      <c r="K2250" t="s">
        <v>705</v>
      </c>
      <c r="L2250">
        <v>224</v>
      </c>
      <c r="M2250" t="str">
        <f t="shared" si="70"/>
        <v>High</v>
      </c>
      <c r="N2250" t="str">
        <f t="shared" si="71"/>
        <v>Excellent</v>
      </c>
    </row>
    <row r="2251" spans="1:14">
      <c r="A2251" t="s">
        <v>47</v>
      </c>
      <c r="B2251">
        <v>2008</v>
      </c>
      <c r="C2251" t="s">
        <v>4926</v>
      </c>
      <c r="D2251" t="s">
        <v>14</v>
      </c>
      <c r="E2251" t="s">
        <v>850</v>
      </c>
      <c r="F2251" t="s">
        <v>35</v>
      </c>
      <c r="G2251">
        <v>47.5</v>
      </c>
      <c r="H2251">
        <v>97</v>
      </c>
      <c r="I2251" t="s">
        <v>17</v>
      </c>
      <c r="J2251" t="s">
        <v>18</v>
      </c>
      <c r="K2251" t="s">
        <v>68</v>
      </c>
      <c r="L2251">
        <v>144</v>
      </c>
      <c r="M2251" t="str">
        <f t="shared" si="70"/>
        <v>High</v>
      </c>
      <c r="N2251" t="str">
        <f t="shared" si="71"/>
        <v>Excellent</v>
      </c>
    </row>
    <row r="2252" spans="1:14">
      <c r="A2252" t="s">
        <v>65</v>
      </c>
      <c r="B2252">
        <v>2018</v>
      </c>
      <c r="C2252" t="s">
        <v>4927</v>
      </c>
      <c r="D2252" t="s">
        <v>14</v>
      </c>
      <c r="E2252" t="s">
        <v>4928</v>
      </c>
      <c r="F2252" t="s">
        <v>42</v>
      </c>
      <c r="G2252">
        <v>10.130000000000001</v>
      </c>
      <c r="H2252">
        <v>53</v>
      </c>
      <c r="I2252" t="s">
        <v>61</v>
      </c>
      <c r="J2252" t="s">
        <v>24</v>
      </c>
      <c r="K2252" t="s">
        <v>4929</v>
      </c>
      <c r="L2252">
        <v>176</v>
      </c>
      <c r="M2252" t="str">
        <f t="shared" si="70"/>
        <v>Low</v>
      </c>
      <c r="N2252" t="str">
        <f t="shared" si="71"/>
        <v>Average</v>
      </c>
    </row>
    <row r="2253" spans="1:14">
      <c r="A2253" t="s">
        <v>39</v>
      </c>
      <c r="B2253">
        <v>2011</v>
      </c>
      <c r="C2253" t="s">
        <v>4930</v>
      </c>
      <c r="D2253" t="s">
        <v>14</v>
      </c>
      <c r="E2253" t="s">
        <v>4931</v>
      </c>
      <c r="F2253" t="s">
        <v>46</v>
      </c>
      <c r="G2253">
        <v>37.270000000000003</v>
      </c>
      <c r="H2253">
        <v>94</v>
      </c>
      <c r="I2253" t="s">
        <v>23</v>
      </c>
      <c r="J2253" t="s">
        <v>37</v>
      </c>
      <c r="K2253" t="s">
        <v>78</v>
      </c>
      <c r="L2253">
        <v>7</v>
      </c>
      <c r="M2253" t="str">
        <f t="shared" si="70"/>
        <v>High</v>
      </c>
      <c r="N2253" t="str">
        <f t="shared" si="71"/>
        <v>Excellent</v>
      </c>
    </row>
    <row r="2254" spans="1:14">
      <c r="A2254" t="s">
        <v>39</v>
      </c>
      <c r="B2254">
        <v>2000</v>
      </c>
      <c r="C2254" t="s">
        <v>4932</v>
      </c>
      <c r="D2254" t="s">
        <v>33</v>
      </c>
      <c r="E2254" t="s">
        <v>4933</v>
      </c>
      <c r="F2254" t="s">
        <v>16</v>
      </c>
      <c r="G2254">
        <v>17.27</v>
      </c>
      <c r="H2254">
        <v>90</v>
      </c>
      <c r="I2254" t="s">
        <v>29</v>
      </c>
      <c r="J2254" t="s">
        <v>18</v>
      </c>
      <c r="K2254" t="s">
        <v>1578</v>
      </c>
      <c r="L2254">
        <v>229</v>
      </c>
      <c r="M2254" t="str">
        <f t="shared" si="70"/>
        <v>Medium</v>
      </c>
      <c r="N2254" t="str">
        <f t="shared" si="71"/>
        <v>Excellent</v>
      </c>
    </row>
    <row r="2255" spans="1:14">
      <c r="A2255" t="s">
        <v>26</v>
      </c>
      <c r="B2255">
        <v>2000</v>
      </c>
      <c r="C2255" t="s">
        <v>4934</v>
      </c>
      <c r="D2255" t="s">
        <v>33</v>
      </c>
      <c r="E2255" t="s">
        <v>4935</v>
      </c>
      <c r="F2255" t="s">
        <v>35</v>
      </c>
      <c r="G2255">
        <v>27.59</v>
      </c>
      <c r="H2255">
        <v>86</v>
      </c>
      <c r="I2255" t="s">
        <v>36</v>
      </c>
      <c r="J2255" t="s">
        <v>24</v>
      </c>
      <c r="K2255" t="s">
        <v>1540</v>
      </c>
      <c r="L2255">
        <v>115</v>
      </c>
      <c r="M2255" t="str">
        <f t="shared" si="70"/>
        <v>Medium</v>
      </c>
      <c r="N2255" t="str">
        <f t="shared" si="71"/>
        <v>Good</v>
      </c>
    </row>
    <row r="2256" spans="1:14">
      <c r="A2256" t="s">
        <v>38</v>
      </c>
      <c r="B2256">
        <v>2013</v>
      </c>
      <c r="C2256" t="s">
        <v>4936</v>
      </c>
      <c r="D2256" t="s">
        <v>33</v>
      </c>
      <c r="E2256" t="s">
        <v>4937</v>
      </c>
      <c r="F2256" t="s">
        <v>57</v>
      </c>
      <c r="G2256">
        <v>36.450000000000003</v>
      </c>
      <c r="H2256">
        <v>62</v>
      </c>
      <c r="I2256" t="s">
        <v>36</v>
      </c>
      <c r="J2256" t="s">
        <v>18</v>
      </c>
      <c r="K2256" t="s">
        <v>2517</v>
      </c>
      <c r="L2256">
        <v>226</v>
      </c>
      <c r="M2256" t="str">
        <f t="shared" si="70"/>
        <v>High</v>
      </c>
      <c r="N2256" t="str">
        <f t="shared" si="71"/>
        <v>Average</v>
      </c>
    </row>
    <row r="2257" spans="1:14">
      <c r="A2257" t="s">
        <v>65</v>
      </c>
      <c r="B2257">
        <v>2011</v>
      </c>
      <c r="C2257" t="s">
        <v>4938</v>
      </c>
      <c r="D2257" t="s">
        <v>14</v>
      </c>
      <c r="E2257" t="s">
        <v>1112</v>
      </c>
      <c r="F2257" t="s">
        <v>16</v>
      </c>
      <c r="G2257">
        <v>8</v>
      </c>
      <c r="H2257">
        <v>75</v>
      </c>
      <c r="I2257" t="s">
        <v>23</v>
      </c>
      <c r="J2257" t="s">
        <v>24</v>
      </c>
      <c r="K2257" t="s">
        <v>1612</v>
      </c>
      <c r="L2257">
        <v>277</v>
      </c>
      <c r="M2257" t="str">
        <f t="shared" si="70"/>
        <v>Low</v>
      </c>
      <c r="N2257" t="str">
        <f t="shared" si="71"/>
        <v>Good</v>
      </c>
    </row>
    <row r="2258" spans="1:14">
      <c r="A2258" t="s">
        <v>12</v>
      </c>
      <c r="B2258">
        <v>2004</v>
      </c>
      <c r="C2258" t="s">
        <v>4939</v>
      </c>
      <c r="D2258" t="s">
        <v>33</v>
      </c>
      <c r="E2258" t="s">
        <v>4940</v>
      </c>
      <c r="F2258" t="s">
        <v>46</v>
      </c>
      <c r="G2258">
        <v>3.76</v>
      </c>
      <c r="H2258">
        <v>95</v>
      </c>
      <c r="I2258" t="s">
        <v>29</v>
      </c>
      <c r="J2258" t="s">
        <v>37</v>
      </c>
      <c r="K2258" t="s">
        <v>65</v>
      </c>
      <c r="L2258">
        <v>328</v>
      </c>
      <c r="M2258" t="str">
        <f t="shared" si="70"/>
        <v>Low</v>
      </c>
      <c r="N2258" t="str">
        <f t="shared" si="71"/>
        <v>Excellent</v>
      </c>
    </row>
    <row r="2259" spans="1:14">
      <c r="A2259" t="s">
        <v>47</v>
      </c>
      <c r="B2259">
        <v>2014</v>
      </c>
      <c r="C2259" t="s">
        <v>4941</v>
      </c>
      <c r="D2259" t="s">
        <v>14</v>
      </c>
      <c r="E2259" t="s">
        <v>4942</v>
      </c>
      <c r="F2259" t="s">
        <v>35</v>
      </c>
      <c r="G2259">
        <v>30.55</v>
      </c>
      <c r="H2259">
        <v>62</v>
      </c>
      <c r="I2259" t="s">
        <v>23</v>
      </c>
      <c r="J2259" t="s">
        <v>37</v>
      </c>
      <c r="K2259" t="s">
        <v>12</v>
      </c>
      <c r="L2259">
        <v>69</v>
      </c>
      <c r="M2259" t="str">
        <f t="shared" si="70"/>
        <v>Medium</v>
      </c>
      <c r="N2259" t="str">
        <f t="shared" si="71"/>
        <v>Average</v>
      </c>
    </row>
    <row r="2260" spans="1:14">
      <c r="A2260" t="s">
        <v>38</v>
      </c>
      <c r="B2260">
        <v>2016</v>
      </c>
      <c r="C2260" t="s">
        <v>4943</v>
      </c>
      <c r="D2260" t="s">
        <v>33</v>
      </c>
      <c r="E2260" t="s">
        <v>4944</v>
      </c>
      <c r="F2260" t="s">
        <v>46</v>
      </c>
      <c r="G2260">
        <v>19.149999999999999</v>
      </c>
      <c r="H2260">
        <v>56</v>
      </c>
      <c r="I2260" t="s">
        <v>36</v>
      </c>
      <c r="J2260" t="s">
        <v>37</v>
      </c>
      <c r="K2260" t="s">
        <v>123</v>
      </c>
      <c r="L2260">
        <v>3</v>
      </c>
      <c r="M2260" t="str">
        <f t="shared" si="70"/>
        <v>Medium</v>
      </c>
      <c r="N2260" t="str">
        <f t="shared" si="71"/>
        <v>Average</v>
      </c>
    </row>
    <row r="2261" spans="1:14">
      <c r="A2261" t="s">
        <v>47</v>
      </c>
      <c r="B2261">
        <v>2008</v>
      </c>
      <c r="C2261" t="s">
        <v>4945</v>
      </c>
      <c r="D2261" t="s">
        <v>14</v>
      </c>
      <c r="E2261" t="s">
        <v>4946</v>
      </c>
      <c r="F2261" t="s">
        <v>42</v>
      </c>
      <c r="G2261">
        <v>15.25</v>
      </c>
      <c r="H2261">
        <v>84</v>
      </c>
      <c r="I2261" t="s">
        <v>36</v>
      </c>
      <c r="J2261" t="s">
        <v>24</v>
      </c>
      <c r="K2261" t="s">
        <v>38</v>
      </c>
      <c r="L2261">
        <v>221</v>
      </c>
      <c r="M2261" t="str">
        <f t="shared" si="70"/>
        <v>Medium</v>
      </c>
      <c r="N2261" t="str">
        <f t="shared" si="71"/>
        <v>Good</v>
      </c>
    </row>
    <row r="2262" spans="1:14">
      <c r="A2262" t="s">
        <v>31</v>
      </c>
      <c r="B2262">
        <v>2004</v>
      </c>
      <c r="C2262" t="s">
        <v>4947</v>
      </c>
      <c r="D2262" t="s">
        <v>33</v>
      </c>
      <c r="E2262" t="s">
        <v>4948</v>
      </c>
      <c r="F2262" t="s">
        <v>46</v>
      </c>
      <c r="G2262">
        <v>6.98</v>
      </c>
      <c r="H2262">
        <v>78</v>
      </c>
      <c r="I2262" t="s">
        <v>61</v>
      </c>
      <c r="J2262" t="s">
        <v>24</v>
      </c>
      <c r="K2262" t="s">
        <v>3711</v>
      </c>
      <c r="L2262">
        <v>51</v>
      </c>
      <c r="M2262" t="str">
        <f t="shared" si="70"/>
        <v>Low</v>
      </c>
      <c r="N2262" t="str">
        <f t="shared" si="71"/>
        <v>Good</v>
      </c>
    </row>
    <row r="2263" spans="1:14">
      <c r="A2263" t="s">
        <v>47</v>
      </c>
      <c r="B2263">
        <v>2020</v>
      </c>
      <c r="C2263" t="s">
        <v>4949</v>
      </c>
      <c r="D2263" t="s">
        <v>14</v>
      </c>
      <c r="E2263" t="s">
        <v>4950</v>
      </c>
      <c r="F2263" t="s">
        <v>42</v>
      </c>
      <c r="G2263">
        <v>12.19</v>
      </c>
      <c r="H2263">
        <v>60</v>
      </c>
      <c r="I2263" t="s">
        <v>23</v>
      </c>
      <c r="J2263" t="s">
        <v>24</v>
      </c>
      <c r="K2263" t="s">
        <v>505</v>
      </c>
      <c r="L2263">
        <v>113</v>
      </c>
      <c r="M2263" t="str">
        <f t="shared" si="70"/>
        <v>Low</v>
      </c>
      <c r="N2263" t="str">
        <f t="shared" si="71"/>
        <v>Average</v>
      </c>
    </row>
    <row r="2264" spans="1:14">
      <c r="A2264" t="s">
        <v>38</v>
      </c>
      <c r="B2264">
        <v>2013</v>
      </c>
      <c r="C2264" t="s">
        <v>4951</v>
      </c>
      <c r="D2264" t="s">
        <v>33</v>
      </c>
      <c r="E2264" t="s">
        <v>4952</v>
      </c>
      <c r="F2264" t="s">
        <v>42</v>
      </c>
      <c r="G2264">
        <v>5.05</v>
      </c>
      <c r="H2264">
        <v>62</v>
      </c>
      <c r="I2264" t="s">
        <v>29</v>
      </c>
      <c r="J2264" t="s">
        <v>37</v>
      </c>
      <c r="K2264" t="s">
        <v>68</v>
      </c>
      <c r="L2264">
        <v>272</v>
      </c>
      <c r="M2264" t="str">
        <f t="shared" si="70"/>
        <v>Low</v>
      </c>
      <c r="N2264" t="str">
        <f t="shared" si="71"/>
        <v>Average</v>
      </c>
    </row>
    <row r="2265" spans="1:14">
      <c r="A2265" t="s">
        <v>26</v>
      </c>
      <c r="B2265">
        <v>2021</v>
      </c>
      <c r="C2265" t="s">
        <v>4953</v>
      </c>
      <c r="D2265" t="s">
        <v>33</v>
      </c>
      <c r="E2265" t="s">
        <v>4954</v>
      </c>
      <c r="F2265" t="s">
        <v>16</v>
      </c>
      <c r="G2265">
        <v>19.420000000000002</v>
      </c>
      <c r="H2265">
        <v>69</v>
      </c>
      <c r="I2265" t="s">
        <v>36</v>
      </c>
      <c r="J2265" t="s">
        <v>24</v>
      </c>
      <c r="K2265" t="s">
        <v>4955</v>
      </c>
      <c r="L2265">
        <v>225</v>
      </c>
      <c r="M2265" t="str">
        <f t="shared" si="70"/>
        <v>Medium</v>
      </c>
      <c r="N2265" t="str">
        <f t="shared" si="71"/>
        <v>Average</v>
      </c>
    </row>
    <row r="2266" spans="1:14">
      <c r="A2266" t="s">
        <v>48</v>
      </c>
      <c r="B2266">
        <v>2025</v>
      </c>
      <c r="C2266" t="s">
        <v>4956</v>
      </c>
      <c r="D2266" t="s">
        <v>14</v>
      </c>
      <c r="E2266" t="s">
        <v>4957</v>
      </c>
      <c r="F2266" t="s">
        <v>16</v>
      </c>
      <c r="G2266">
        <v>8.14</v>
      </c>
      <c r="H2266">
        <v>89</v>
      </c>
      <c r="I2266" t="s">
        <v>61</v>
      </c>
      <c r="J2266" t="s">
        <v>18</v>
      </c>
      <c r="K2266" t="s">
        <v>4958</v>
      </c>
      <c r="L2266">
        <v>159</v>
      </c>
      <c r="M2266" t="str">
        <f t="shared" si="70"/>
        <v>Low</v>
      </c>
      <c r="N2266" t="str">
        <f t="shared" si="71"/>
        <v>Good</v>
      </c>
    </row>
    <row r="2267" spans="1:14">
      <c r="A2267" t="s">
        <v>65</v>
      </c>
      <c r="B2267">
        <v>2022</v>
      </c>
      <c r="C2267" t="s">
        <v>4959</v>
      </c>
      <c r="D2267" t="s">
        <v>14</v>
      </c>
      <c r="E2267" t="s">
        <v>4409</v>
      </c>
      <c r="F2267" t="s">
        <v>46</v>
      </c>
      <c r="G2267">
        <v>9.44</v>
      </c>
      <c r="H2267">
        <v>80</v>
      </c>
      <c r="I2267" t="s">
        <v>23</v>
      </c>
      <c r="J2267" t="s">
        <v>37</v>
      </c>
      <c r="K2267" t="s">
        <v>4960</v>
      </c>
      <c r="L2267">
        <v>103</v>
      </c>
      <c r="M2267" t="str">
        <f t="shared" si="70"/>
        <v>Low</v>
      </c>
      <c r="N2267" t="str">
        <f t="shared" si="71"/>
        <v>Good</v>
      </c>
    </row>
    <row r="2268" spans="1:14">
      <c r="A2268" t="s">
        <v>39</v>
      </c>
      <c r="B2268">
        <v>2004</v>
      </c>
      <c r="C2268" t="s">
        <v>4961</v>
      </c>
      <c r="D2268" t="s">
        <v>33</v>
      </c>
      <c r="E2268" t="s">
        <v>4962</v>
      </c>
      <c r="F2268" t="s">
        <v>57</v>
      </c>
      <c r="G2268">
        <v>9.74</v>
      </c>
      <c r="H2268">
        <v>55</v>
      </c>
      <c r="I2268" t="s">
        <v>23</v>
      </c>
      <c r="J2268" t="s">
        <v>18</v>
      </c>
      <c r="K2268" t="s">
        <v>68</v>
      </c>
      <c r="L2268">
        <v>94</v>
      </c>
      <c r="M2268" t="str">
        <f t="shared" si="70"/>
        <v>Low</v>
      </c>
      <c r="N2268" t="str">
        <f t="shared" si="71"/>
        <v>Average</v>
      </c>
    </row>
    <row r="2269" spans="1:14">
      <c r="A2269" t="s">
        <v>39</v>
      </c>
      <c r="B2269">
        <v>2007</v>
      </c>
      <c r="C2269" t="s">
        <v>4963</v>
      </c>
      <c r="D2269" t="s">
        <v>14</v>
      </c>
      <c r="E2269" t="s">
        <v>4964</v>
      </c>
      <c r="F2269" t="s">
        <v>57</v>
      </c>
      <c r="G2269">
        <v>44.84</v>
      </c>
      <c r="H2269">
        <v>82</v>
      </c>
      <c r="I2269" t="s">
        <v>17</v>
      </c>
      <c r="J2269" t="s">
        <v>37</v>
      </c>
      <c r="K2269" t="s">
        <v>2128</v>
      </c>
      <c r="L2269">
        <v>335</v>
      </c>
      <c r="M2269" t="str">
        <f t="shared" si="70"/>
        <v>High</v>
      </c>
      <c r="N2269" t="str">
        <f t="shared" si="71"/>
        <v>Good</v>
      </c>
    </row>
    <row r="2270" spans="1:14">
      <c r="A2270" t="s">
        <v>48</v>
      </c>
      <c r="B2270">
        <v>2021</v>
      </c>
      <c r="C2270" t="s">
        <v>4965</v>
      </c>
      <c r="D2270" t="s">
        <v>14</v>
      </c>
      <c r="E2270" t="s">
        <v>4966</v>
      </c>
      <c r="F2270" t="s">
        <v>57</v>
      </c>
      <c r="G2270">
        <v>9.86</v>
      </c>
      <c r="H2270">
        <v>85</v>
      </c>
      <c r="I2270" t="s">
        <v>23</v>
      </c>
      <c r="J2270" t="s">
        <v>18</v>
      </c>
      <c r="K2270" t="s">
        <v>38</v>
      </c>
      <c r="L2270">
        <v>222</v>
      </c>
      <c r="M2270" t="str">
        <f t="shared" si="70"/>
        <v>Low</v>
      </c>
      <c r="N2270" t="str">
        <f t="shared" si="71"/>
        <v>Good</v>
      </c>
    </row>
    <row r="2271" spans="1:14">
      <c r="A2271" t="s">
        <v>65</v>
      </c>
      <c r="B2271">
        <v>2018</v>
      </c>
      <c r="C2271" t="s">
        <v>4967</v>
      </c>
      <c r="D2271" t="s">
        <v>14</v>
      </c>
      <c r="E2271" t="s">
        <v>4968</v>
      </c>
      <c r="F2271" t="s">
        <v>46</v>
      </c>
      <c r="G2271">
        <v>37.54</v>
      </c>
      <c r="H2271">
        <v>59</v>
      </c>
      <c r="I2271" t="s">
        <v>29</v>
      </c>
      <c r="J2271" t="s">
        <v>37</v>
      </c>
      <c r="K2271" t="s">
        <v>3957</v>
      </c>
      <c r="L2271">
        <v>306</v>
      </c>
      <c r="M2271" t="str">
        <f t="shared" si="70"/>
        <v>High</v>
      </c>
      <c r="N2271" t="str">
        <f t="shared" si="71"/>
        <v>Average</v>
      </c>
    </row>
    <row r="2272" spans="1:14">
      <c r="A2272" t="s">
        <v>65</v>
      </c>
      <c r="B2272">
        <v>2002</v>
      </c>
      <c r="C2272" t="s">
        <v>4969</v>
      </c>
      <c r="D2272" t="s">
        <v>33</v>
      </c>
      <c r="E2272" t="s">
        <v>4970</v>
      </c>
      <c r="F2272" t="s">
        <v>42</v>
      </c>
      <c r="G2272">
        <v>34.81</v>
      </c>
      <c r="H2272">
        <v>82</v>
      </c>
      <c r="I2272" t="s">
        <v>36</v>
      </c>
      <c r="J2272" t="s">
        <v>18</v>
      </c>
      <c r="K2272" t="s">
        <v>441</v>
      </c>
      <c r="L2272">
        <v>210</v>
      </c>
      <c r="M2272" t="str">
        <f t="shared" si="70"/>
        <v>Medium</v>
      </c>
      <c r="N2272" t="str">
        <f t="shared" si="71"/>
        <v>Good</v>
      </c>
    </row>
    <row r="2273" spans="1:14">
      <c r="A2273" t="s">
        <v>48</v>
      </c>
      <c r="B2273">
        <v>2003</v>
      </c>
      <c r="C2273" t="s">
        <v>4971</v>
      </c>
      <c r="D2273" t="s">
        <v>33</v>
      </c>
      <c r="E2273" t="s">
        <v>4972</v>
      </c>
      <c r="F2273" t="s">
        <v>35</v>
      </c>
      <c r="G2273">
        <v>17.57</v>
      </c>
      <c r="H2273">
        <v>60</v>
      </c>
      <c r="I2273" t="s">
        <v>23</v>
      </c>
      <c r="J2273" t="s">
        <v>37</v>
      </c>
      <c r="K2273" t="s">
        <v>65</v>
      </c>
      <c r="L2273">
        <v>285</v>
      </c>
      <c r="M2273" t="str">
        <f t="shared" si="70"/>
        <v>Medium</v>
      </c>
      <c r="N2273" t="str">
        <f t="shared" si="71"/>
        <v>Average</v>
      </c>
    </row>
    <row r="2274" spans="1:14">
      <c r="A2274" t="s">
        <v>39</v>
      </c>
      <c r="B2274">
        <v>2000</v>
      </c>
      <c r="C2274" t="s">
        <v>4973</v>
      </c>
      <c r="D2274" t="s">
        <v>33</v>
      </c>
      <c r="E2274" t="s">
        <v>459</v>
      </c>
      <c r="F2274" t="s">
        <v>42</v>
      </c>
      <c r="G2274">
        <v>22.34</v>
      </c>
      <c r="H2274">
        <v>97</v>
      </c>
      <c r="I2274" t="s">
        <v>36</v>
      </c>
      <c r="J2274" t="s">
        <v>24</v>
      </c>
      <c r="K2274" t="s">
        <v>2517</v>
      </c>
      <c r="L2274">
        <v>10</v>
      </c>
      <c r="M2274" t="str">
        <f t="shared" si="70"/>
        <v>Medium</v>
      </c>
      <c r="N2274" t="str">
        <f t="shared" si="71"/>
        <v>Excellent</v>
      </c>
    </row>
    <row r="2275" spans="1:14">
      <c r="A2275" t="s">
        <v>31</v>
      </c>
      <c r="B2275">
        <v>2007</v>
      </c>
      <c r="C2275" t="s">
        <v>4974</v>
      </c>
      <c r="D2275" t="s">
        <v>14</v>
      </c>
      <c r="E2275" t="s">
        <v>4975</v>
      </c>
      <c r="F2275" t="s">
        <v>42</v>
      </c>
      <c r="G2275">
        <v>24.02</v>
      </c>
      <c r="H2275">
        <v>90</v>
      </c>
      <c r="I2275" t="s">
        <v>29</v>
      </c>
      <c r="J2275" t="s">
        <v>37</v>
      </c>
      <c r="K2275" t="s">
        <v>12</v>
      </c>
      <c r="L2275">
        <v>244</v>
      </c>
      <c r="M2275" t="str">
        <f t="shared" si="70"/>
        <v>Medium</v>
      </c>
      <c r="N2275" t="str">
        <f t="shared" si="71"/>
        <v>Excellent</v>
      </c>
    </row>
    <row r="2276" spans="1:14">
      <c r="A2276" t="s">
        <v>38</v>
      </c>
      <c r="B2276">
        <v>2022</v>
      </c>
      <c r="C2276" t="s">
        <v>4976</v>
      </c>
      <c r="D2276" t="s">
        <v>14</v>
      </c>
      <c r="E2276" t="s">
        <v>4977</v>
      </c>
      <c r="F2276" t="s">
        <v>46</v>
      </c>
      <c r="G2276">
        <v>29.03</v>
      </c>
      <c r="H2276">
        <v>77</v>
      </c>
      <c r="I2276" t="s">
        <v>17</v>
      </c>
      <c r="J2276" t="s">
        <v>37</v>
      </c>
      <c r="K2276" t="s">
        <v>38</v>
      </c>
      <c r="L2276">
        <v>298</v>
      </c>
      <c r="M2276" t="str">
        <f t="shared" si="70"/>
        <v>Medium</v>
      </c>
      <c r="N2276" t="str">
        <f t="shared" si="71"/>
        <v>Good</v>
      </c>
    </row>
    <row r="2277" spans="1:14">
      <c r="A2277" t="s">
        <v>48</v>
      </c>
      <c r="B2277">
        <v>2018</v>
      </c>
      <c r="C2277" t="s">
        <v>4978</v>
      </c>
      <c r="D2277" t="s">
        <v>33</v>
      </c>
      <c r="E2277" t="s">
        <v>4979</v>
      </c>
      <c r="F2277" t="s">
        <v>57</v>
      </c>
      <c r="G2277">
        <v>33.119999999999997</v>
      </c>
      <c r="H2277">
        <v>63</v>
      </c>
      <c r="I2277" t="s">
        <v>61</v>
      </c>
      <c r="J2277" t="s">
        <v>37</v>
      </c>
      <c r="K2277" t="s">
        <v>548</v>
      </c>
      <c r="L2277">
        <v>312</v>
      </c>
      <c r="M2277" t="str">
        <f t="shared" si="70"/>
        <v>Medium</v>
      </c>
      <c r="N2277" t="str">
        <f t="shared" si="71"/>
        <v>Average</v>
      </c>
    </row>
    <row r="2278" spans="1:14">
      <c r="A2278" t="s">
        <v>68</v>
      </c>
      <c r="B2278">
        <v>2011</v>
      </c>
      <c r="C2278" t="s">
        <v>4980</v>
      </c>
      <c r="D2278" t="s">
        <v>14</v>
      </c>
      <c r="E2278" t="s">
        <v>2083</v>
      </c>
      <c r="F2278" t="s">
        <v>16</v>
      </c>
      <c r="G2278">
        <v>1.08</v>
      </c>
      <c r="H2278">
        <v>57</v>
      </c>
      <c r="I2278" t="s">
        <v>23</v>
      </c>
      <c r="J2278" t="s">
        <v>18</v>
      </c>
      <c r="K2278" t="s">
        <v>26</v>
      </c>
      <c r="L2278">
        <v>77</v>
      </c>
      <c r="M2278" t="str">
        <f t="shared" si="70"/>
        <v>Low</v>
      </c>
      <c r="N2278" t="str">
        <f t="shared" si="71"/>
        <v>Average</v>
      </c>
    </row>
    <row r="2279" spans="1:14">
      <c r="A2279" t="s">
        <v>68</v>
      </c>
      <c r="B2279">
        <v>2022</v>
      </c>
      <c r="C2279" t="s">
        <v>4981</v>
      </c>
      <c r="D2279" t="s">
        <v>33</v>
      </c>
      <c r="E2279" t="s">
        <v>4982</v>
      </c>
      <c r="F2279" t="s">
        <v>35</v>
      </c>
      <c r="G2279">
        <v>48.28</v>
      </c>
      <c r="H2279">
        <v>88</v>
      </c>
      <c r="I2279" t="s">
        <v>23</v>
      </c>
      <c r="J2279" t="s">
        <v>24</v>
      </c>
      <c r="K2279" t="s">
        <v>931</v>
      </c>
      <c r="L2279">
        <v>51</v>
      </c>
      <c r="M2279" t="str">
        <f t="shared" si="70"/>
        <v>High</v>
      </c>
      <c r="N2279" t="str">
        <f t="shared" si="71"/>
        <v>Good</v>
      </c>
    </row>
    <row r="2280" spans="1:14">
      <c r="A2280" t="s">
        <v>48</v>
      </c>
      <c r="B2280">
        <v>2006</v>
      </c>
      <c r="C2280" t="s">
        <v>4983</v>
      </c>
      <c r="D2280" t="s">
        <v>33</v>
      </c>
      <c r="E2280" t="s">
        <v>4984</v>
      </c>
      <c r="F2280" t="s">
        <v>57</v>
      </c>
      <c r="G2280">
        <v>13.93</v>
      </c>
      <c r="H2280">
        <v>52</v>
      </c>
      <c r="I2280" t="s">
        <v>36</v>
      </c>
      <c r="J2280" t="s">
        <v>37</v>
      </c>
      <c r="K2280" t="s">
        <v>4985</v>
      </c>
      <c r="L2280">
        <v>58</v>
      </c>
      <c r="M2280" t="str">
        <f t="shared" si="70"/>
        <v>Low</v>
      </c>
      <c r="N2280" t="str">
        <f t="shared" si="71"/>
        <v>Average</v>
      </c>
    </row>
    <row r="2281" spans="1:14">
      <c r="A2281" t="s">
        <v>12</v>
      </c>
      <c r="B2281">
        <v>2005</v>
      </c>
      <c r="C2281" t="s">
        <v>4986</v>
      </c>
      <c r="D2281" t="s">
        <v>33</v>
      </c>
      <c r="E2281" t="s">
        <v>4987</v>
      </c>
      <c r="F2281" t="s">
        <v>42</v>
      </c>
      <c r="G2281">
        <v>41.15</v>
      </c>
      <c r="H2281">
        <v>91</v>
      </c>
      <c r="I2281" t="s">
        <v>17</v>
      </c>
      <c r="J2281" t="s">
        <v>37</v>
      </c>
      <c r="K2281" t="s">
        <v>2463</v>
      </c>
      <c r="L2281">
        <v>240</v>
      </c>
      <c r="M2281" t="str">
        <f t="shared" si="70"/>
        <v>High</v>
      </c>
      <c r="N2281" t="str">
        <f t="shared" si="71"/>
        <v>Excellent</v>
      </c>
    </row>
    <row r="2282" spans="1:14">
      <c r="A2282" t="s">
        <v>47</v>
      </c>
      <c r="B2282">
        <v>2022</v>
      </c>
      <c r="C2282" t="s">
        <v>4988</v>
      </c>
      <c r="D2282" t="s">
        <v>33</v>
      </c>
      <c r="E2282" t="s">
        <v>4989</v>
      </c>
      <c r="F2282" t="s">
        <v>42</v>
      </c>
      <c r="G2282">
        <v>12.73</v>
      </c>
      <c r="H2282">
        <v>66</v>
      </c>
      <c r="I2282" t="s">
        <v>29</v>
      </c>
      <c r="J2282" t="s">
        <v>18</v>
      </c>
      <c r="K2282" t="s">
        <v>1064</v>
      </c>
      <c r="L2282">
        <v>124</v>
      </c>
      <c r="M2282" t="str">
        <f t="shared" si="70"/>
        <v>Low</v>
      </c>
      <c r="N2282" t="str">
        <f t="shared" si="71"/>
        <v>Average</v>
      </c>
    </row>
    <row r="2283" spans="1:14">
      <c r="A2283" t="s">
        <v>20</v>
      </c>
      <c r="B2283">
        <v>2000</v>
      </c>
      <c r="C2283" t="s">
        <v>4990</v>
      </c>
      <c r="D2283" t="s">
        <v>33</v>
      </c>
      <c r="E2283" t="s">
        <v>4991</v>
      </c>
      <c r="F2283" t="s">
        <v>57</v>
      </c>
      <c r="G2283">
        <v>5.61</v>
      </c>
      <c r="H2283">
        <v>73</v>
      </c>
      <c r="I2283" t="s">
        <v>29</v>
      </c>
      <c r="J2283" t="s">
        <v>37</v>
      </c>
      <c r="K2283" t="s">
        <v>4992</v>
      </c>
      <c r="L2283">
        <v>28</v>
      </c>
      <c r="M2283" t="str">
        <f t="shared" si="70"/>
        <v>Low</v>
      </c>
      <c r="N2283" t="str">
        <f t="shared" si="71"/>
        <v>Average</v>
      </c>
    </row>
    <row r="2284" spans="1:14">
      <c r="A2284" t="s">
        <v>68</v>
      </c>
      <c r="B2284">
        <v>2003</v>
      </c>
      <c r="C2284" t="s">
        <v>4993</v>
      </c>
      <c r="D2284" t="s">
        <v>14</v>
      </c>
      <c r="E2284" t="s">
        <v>4994</v>
      </c>
      <c r="F2284" t="s">
        <v>16</v>
      </c>
      <c r="G2284">
        <v>38.270000000000003</v>
      </c>
      <c r="H2284">
        <v>55</v>
      </c>
      <c r="I2284" t="s">
        <v>23</v>
      </c>
      <c r="J2284" t="s">
        <v>24</v>
      </c>
      <c r="K2284" t="s">
        <v>4995</v>
      </c>
      <c r="L2284">
        <v>292</v>
      </c>
      <c r="M2284" t="str">
        <f t="shared" si="70"/>
        <v>High</v>
      </c>
      <c r="N2284" t="str">
        <f t="shared" si="71"/>
        <v>Average</v>
      </c>
    </row>
    <row r="2285" spans="1:14">
      <c r="A2285" t="s">
        <v>12</v>
      </c>
      <c r="B2285">
        <v>2006</v>
      </c>
      <c r="C2285" t="s">
        <v>4996</v>
      </c>
      <c r="D2285" t="s">
        <v>33</v>
      </c>
      <c r="E2285" t="s">
        <v>4997</v>
      </c>
      <c r="F2285" t="s">
        <v>35</v>
      </c>
      <c r="G2285">
        <v>20.440000000000001</v>
      </c>
      <c r="H2285">
        <v>72</v>
      </c>
      <c r="I2285" t="s">
        <v>23</v>
      </c>
      <c r="J2285" t="s">
        <v>24</v>
      </c>
      <c r="K2285" t="s">
        <v>430</v>
      </c>
      <c r="L2285">
        <v>13</v>
      </c>
      <c r="M2285" t="str">
        <f t="shared" si="70"/>
        <v>Medium</v>
      </c>
      <c r="N2285" t="str">
        <f t="shared" si="71"/>
        <v>Average</v>
      </c>
    </row>
    <row r="2286" spans="1:14">
      <c r="A2286" t="s">
        <v>20</v>
      </c>
      <c r="B2286">
        <v>2013</v>
      </c>
      <c r="C2286" t="s">
        <v>4998</v>
      </c>
      <c r="D2286" t="s">
        <v>14</v>
      </c>
      <c r="E2286" t="s">
        <v>4999</v>
      </c>
      <c r="F2286" t="s">
        <v>16</v>
      </c>
      <c r="G2286">
        <v>29.41</v>
      </c>
      <c r="H2286">
        <v>69</v>
      </c>
      <c r="I2286" t="s">
        <v>23</v>
      </c>
      <c r="J2286" t="s">
        <v>37</v>
      </c>
      <c r="K2286" t="s">
        <v>4240</v>
      </c>
      <c r="L2286">
        <v>222</v>
      </c>
      <c r="M2286" t="str">
        <f t="shared" si="70"/>
        <v>Medium</v>
      </c>
      <c r="N2286" t="str">
        <f t="shared" si="71"/>
        <v>Average</v>
      </c>
    </row>
    <row r="2287" spans="1:14">
      <c r="A2287" t="s">
        <v>38</v>
      </c>
      <c r="B2287">
        <v>2005</v>
      </c>
      <c r="C2287" t="s">
        <v>5000</v>
      </c>
      <c r="D2287" t="s">
        <v>33</v>
      </c>
      <c r="E2287" t="s">
        <v>5001</v>
      </c>
      <c r="F2287" t="s">
        <v>35</v>
      </c>
      <c r="G2287">
        <v>21.7</v>
      </c>
      <c r="H2287">
        <v>90</v>
      </c>
      <c r="I2287" t="s">
        <v>36</v>
      </c>
      <c r="J2287" t="s">
        <v>18</v>
      </c>
      <c r="K2287" t="s">
        <v>26</v>
      </c>
      <c r="L2287">
        <v>283</v>
      </c>
      <c r="M2287" t="str">
        <f t="shared" si="70"/>
        <v>Medium</v>
      </c>
      <c r="N2287" t="str">
        <f t="shared" si="71"/>
        <v>Excellent</v>
      </c>
    </row>
    <row r="2288" spans="1:14">
      <c r="A2288" t="s">
        <v>26</v>
      </c>
      <c r="B2288">
        <v>2011</v>
      </c>
      <c r="C2288" t="s">
        <v>5002</v>
      </c>
      <c r="D2288" t="s">
        <v>33</v>
      </c>
      <c r="E2288" t="s">
        <v>5003</v>
      </c>
      <c r="F2288" t="s">
        <v>35</v>
      </c>
      <c r="G2288">
        <v>49.39</v>
      </c>
      <c r="H2288">
        <v>68</v>
      </c>
      <c r="I2288" t="s">
        <v>36</v>
      </c>
      <c r="J2288" t="s">
        <v>37</v>
      </c>
      <c r="K2288" t="s">
        <v>259</v>
      </c>
      <c r="L2288">
        <v>217</v>
      </c>
      <c r="M2288" t="str">
        <f t="shared" si="70"/>
        <v>High</v>
      </c>
      <c r="N2288" t="str">
        <f t="shared" si="71"/>
        <v>Average</v>
      </c>
    </row>
    <row r="2289" spans="1:14">
      <c r="A2289" t="s">
        <v>48</v>
      </c>
      <c r="B2289">
        <v>2022</v>
      </c>
      <c r="C2289" t="s">
        <v>5004</v>
      </c>
      <c r="D2289" t="s">
        <v>33</v>
      </c>
      <c r="E2289" t="s">
        <v>5005</v>
      </c>
      <c r="F2289" t="s">
        <v>16</v>
      </c>
      <c r="G2289">
        <v>47.6</v>
      </c>
      <c r="H2289">
        <v>56</v>
      </c>
      <c r="I2289" t="s">
        <v>17</v>
      </c>
      <c r="J2289" t="s">
        <v>18</v>
      </c>
      <c r="K2289" t="s">
        <v>5006</v>
      </c>
      <c r="L2289">
        <v>277</v>
      </c>
      <c r="M2289" t="str">
        <f t="shared" si="70"/>
        <v>High</v>
      </c>
      <c r="N2289" t="str">
        <f t="shared" si="71"/>
        <v>Average</v>
      </c>
    </row>
    <row r="2290" spans="1:14">
      <c r="A2290" t="s">
        <v>39</v>
      </c>
      <c r="B2290">
        <v>2021</v>
      </c>
      <c r="C2290" t="s">
        <v>5007</v>
      </c>
      <c r="D2290" t="s">
        <v>14</v>
      </c>
      <c r="E2290" t="s">
        <v>5008</v>
      </c>
      <c r="F2290" t="s">
        <v>35</v>
      </c>
      <c r="G2290">
        <v>28.43</v>
      </c>
      <c r="H2290">
        <v>92</v>
      </c>
      <c r="I2290" t="s">
        <v>29</v>
      </c>
      <c r="J2290" t="s">
        <v>18</v>
      </c>
      <c r="K2290" t="s">
        <v>31</v>
      </c>
      <c r="L2290">
        <v>102</v>
      </c>
      <c r="M2290" t="str">
        <f t="shared" si="70"/>
        <v>Medium</v>
      </c>
      <c r="N2290" t="str">
        <f t="shared" si="71"/>
        <v>Excellent</v>
      </c>
    </row>
    <row r="2291" spans="1:14">
      <c r="A2291" t="s">
        <v>48</v>
      </c>
      <c r="B2291">
        <v>2021</v>
      </c>
      <c r="C2291" t="s">
        <v>5009</v>
      </c>
      <c r="D2291" t="s">
        <v>33</v>
      </c>
      <c r="E2291" t="s">
        <v>5010</v>
      </c>
      <c r="F2291" t="s">
        <v>57</v>
      </c>
      <c r="G2291">
        <v>1.48</v>
      </c>
      <c r="H2291">
        <v>77</v>
      </c>
      <c r="I2291" t="s">
        <v>36</v>
      </c>
      <c r="J2291" t="s">
        <v>37</v>
      </c>
      <c r="K2291" t="s">
        <v>1180</v>
      </c>
      <c r="L2291">
        <v>42</v>
      </c>
      <c r="M2291" t="str">
        <f t="shared" si="70"/>
        <v>Low</v>
      </c>
      <c r="N2291" t="str">
        <f t="shared" si="71"/>
        <v>Good</v>
      </c>
    </row>
    <row r="2292" spans="1:14">
      <c r="A2292" t="s">
        <v>12</v>
      </c>
      <c r="B2292">
        <v>2004</v>
      </c>
      <c r="C2292" t="s">
        <v>5011</v>
      </c>
      <c r="D2292" t="s">
        <v>33</v>
      </c>
      <c r="E2292" t="s">
        <v>5012</v>
      </c>
      <c r="F2292" t="s">
        <v>16</v>
      </c>
      <c r="G2292">
        <v>4.79</v>
      </c>
      <c r="H2292">
        <v>88</v>
      </c>
      <c r="I2292" t="s">
        <v>61</v>
      </c>
      <c r="J2292" t="s">
        <v>37</v>
      </c>
      <c r="K2292" t="s">
        <v>931</v>
      </c>
      <c r="L2292">
        <v>322</v>
      </c>
      <c r="M2292" t="str">
        <f t="shared" si="70"/>
        <v>Low</v>
      </c>
      <c r="N2292" t="str">
        <f t="shared" si="71"/>
        <v>Good</v>
      </c>
    </row>
    <row r="2293" spans="1:14">
      <c r="A2293" t="s">
        <v>65</v>
      </c>
      <c r="B2293">
        <v>2019</v>
      </c>
      <c r="C2293" t="s">
        <v>5013</v>
      </c>
      <c r="D2293" t="s">
        <v>33</v>
      </c>
      <c r="E2293" t="s">
        <v>5014</v>
      </c>
      <c r="F2293" t="s">
        <v>42</v>
      </c>
      <c r="G2293">
        <v>45.85</v>
      </c>
      <c r="H2293">
        <v>91</v>
      </c>
      <c r="I2293" t="s">
        <v>17</v>
      </c>
      <c r="J2293" t="s">
        <v>24</v>
      </c>
      <c r="K2293" t="s">
        <v>1326</v>
      </c>
      <c r="L2293">
        <v>176</v>
      </c>
      <c r="M2293" t="str">
        <f t="shared" si="70"/>
        <v>High</v>
      </c>
      <c r="N2293" t="str">
        <f t="shared" si="71"/>
        <v>Excellent</v>
      </c>
    </row>
    <row r="2294" spans="1:14">
      <c r="A2294" t="s">
        <v>47</v>
      </c>
      <c r="B2294">
        <v>2014</v>
      </c>
      <c r="C2294" t="s">
        <v>5015</v>
      </c>
      <c r="D2294" t="s">
        <v>14</v>
      </c>
      <c r="E2294" t="s">
        <v>5016</v>
      </c>
      <c r="F2294" t="s">
        <v>35</v>
      </c>
      <c r="G2294">
        <v>37.78</v>
      </c>
      <c r="H2294">
        <v>94</v>
      </c>
      <c r="I2294" t="s">
        <v>61</v>
      </c>
      <c r="J2294" t="s">
        <v>37</v>
      </c>
      <c r="K2294" t="s">
        <v>2151</v>
      </c>
      <c r="L2294">
        <v>241</v>
      </c>
      <c r="M2294" t="str">
        <f t="shared" si="70"/>
        <v>High</v>
      </c>
      <c r="N2294" t="str">
        <f t="shared" si="71"/>
        <v>Excellent</v>
      </c>
    </row>
    <row r="2295" spans="1:14">
      <c r="A2295" t="s">
        <v>38</v>
      </c>
      <c r="B2295">
        <v>2025</v>
      </c>
      <c r="C2295" t="s">
        <v>5017</v>
      </c>
      <c r="D2295" t="s">
        <v>14</v>
      </c>
      <c r="E2295" t="s">
        <v>5018</v>
      </c>
      <c r="F2295" t="s">
        <v>16</v>
      </c>
      <c r="G2295">
        <v>39.840000000000003</v>
      </c>
      <c r="H2295">
        <v>54</v>
      </c>
      <c r="I2295" t="s">
        <v>23</v>
      </c>
      <c r="J2295" t="s">
        <v>18</v>
      </c>
      <c r="K2295" t="s">
        <v>12</v>
      </c>
      <c r="L2295">
        <v>24</v>
      </c>
      <c r="M2295" t="str">
        <f t="shared" si="70"/>
        <v>High</v>
      </c>
      <c r="N2295" t="str">
        <f t="shared" si="71"/>
        <v>Average</v>
      </c>
    </row>
    <row r="2296" spans="1:14">
      <c r="A2296" t="s">
        <v>65</v>
      </c>
      <c r="B2296">
        <v>2017</v>
      </c>
      <c r="C2296" t="s">
        <v>5019</v>
      </c>
      <c r="D2296" t="s">
        <v>33</v>
      </c>
      <c r="E2296" t="s">
        <v>5020</v>
      </c>
      <c r="F2296" t="s">
        <v>42</v>
      </c>
      <c r="G2296">
        <v>5.81</v>
      </c>
      <c r="H2296">
        <v>95</v>
      </c>
      <c r="I2296" t="s">
        <v>61</v>
      </c>
      <c r="J2296" t="s">
        <v>18</v>
      </c>
      <c r="K2296" t="s">
        <v>26</v>
      </c>
      <c r="L2296">
        <v>158</v>
      </c>
      <c r="M2296" t="str">
        <f t="shared" si="70"/>
        <v>Low</v>
      </c>
      <c r="N2296" t="str">
        <f t="shared" si="71"/>
        <v>Excellent</v>
      </c>
    </row>
    <row r="2297" spans="1:14">
      <c r="A2297" t="s">
        <v>65</v>
      </c>
      <c r="B2297">
        <v>2022</v>
      </c>
      <c r="C2297" t="s">
        <v>5021</v>
      </c>
      <c r="D2297" t="s">
        <v>33</v>
      </c>
      <c r="E2297" t="s">
        <v>5022</v>
      </c>
      <c r="F2297" t="s">
        <v>46</v>
      </c>
      <c r="G2297">
        <v>11.08</v>
      </c>
      <c r="H2297">
        <v>65</v>
      </c>
      <c r="I2297" t="s">
        <v>23</v>
      </c>
      <c r="J2297" t="s">
        <v>18</v>
      </c>
      <c r="K2297" t="s">
        <v>5023</v>
      </c>
      <c r="L2297">
        <v>172</v>
      </c>
      <c r="M2297" t="str">
        <f t="shared" si="70"/>
        <v>Low</v>
      </c>
      <c r="N2297" t="str">
        <f t="shared" si="71"/>
        <v>Average</v>
      </c>
    </row>
    <row r="2298" spans="1:14">
      <c r="A2298" t="s">
        <v>20</v>
      </c>
      <c r="B2298">
        <v>2020</v>
      </c>
      <c r="C2298" t="s">
        <v>5024</v>
      </c>
      <c r="D2298" t="s">
        <v>14</v>
      </c>
      <c r="E2298" t="s">
        <v>1608</v>
      </c>
      <c r="F2298" t="s">
        <v>35</v>
      </c>
      <c r="G2298">
        <v>37.950000000000003</v>
      </c>
      <c r="H2298">
        <v>90</v>
      </c>
      <c r="I2298" t="s">
        <v>29</v>
      </c>
      <c r="J2298" t="s">
        <v>37</v>
      </c>
      <c r="K2298" t="s">
        <v>3949</v>
      </c>
      <c r="L2298">
        <v>265</v>
      </c>
      <c r="M2298" t="str">
        <f t="shared" si="70"/>
        <v>High</v>
      </c>
      <c r="N2298" t="str">
        <f t="shared" si="71"/>
        <v>Excellent</v>
      </c>
    </row>
    <row r="2299" spans="1:14">
      <c r="A2299" t="s">
        <v>26</v>
      </c>
      <c r="B2299">
        <v>2022</v>
      </c>
      <c r="C2299" t="s">
        <v>5025</v>
      </c>
      <c r="D2299" t="s">
        <v>33</v>
      </c>
      <c r="E2299" t="s">
        <v>5026</v>
      </c>
      <c r="F2299" t="s">
        <v>46</v>
      </c>
      <c r="G2299">
        <v>13.75</v>
      </c>
      <c r="H2299">
        <v>68</v>
      </c>
      <c r="I2299" t="s">
        <v>23</v>
      </c>
      <c r="J2299" t="s">
        <v>18</v>
      </c>
      <c r="K2299" t="s">
        <v>1019</v>
      </c>
      <c r="L2299">
        <v>150</v>
      </c>
      <c r="M2299" t="str">
        <f t="shared" si="70"/>
        <v>Low</v>
      </c>
      <c r="N2299" t="str">
        <f t="shared" si="71"/>
        <v>Average</v>
      </c>
    </row>
    <row r="2300" spans="1:14">
      <c r="A2300" t="s">
        <v>47</v>
      </c>
      <c r="B2300">
        <v>2003</v>
      </c>
      <c r="C2300" t="s">
        <v>5027</v>
      </c>
      <c r="D2300" t="s">
        <v>33</v>
      </c>
      <c r="E2300" t="s">
        <v>5028</v>
      </c>
      <c r="F2300" t="s">
        <v>57</v>
      </c>
      <c r="G2300">
        <v>15.02</v>
      </c>
      <c r="H2300">
        <v>92</v>
      </c>
      <c r="I2300" t="s">
        <v>29</v>
      </c>
      <c r="J2300" t="s">
        <v>24</v>
      </c>
      <c r="K2300" t="s">
        <v>1900</v>
      </c>
      <c r="L2300">
        <v>199</v>
      </c>
      <c r="M2300" t="str">
        <f t="shared" si="70"/>
        <v>Medium</v>
      </c>
      <c r="N2300" t="str">
        <f t="shared" si="71"/>
        <v>Excellent</v>
      </c>
    </row>
    <row r="2301" spans="1:14">
      <c r="A2301" t="s">
        <v>20</v>
      </c>
      <c r="B2301">
        <v>2005</v>
      </c>
      <c r="C2301" t="s">
        <v>5029</v>
      </c>
      <c r="D2301" t="s">
        <v>14</v>
      </c>
      <c r="E2301" t="s">
        <v>5030</v>
      </c>
      <c r="F2301" t="s">
        <v>16</v>
      </c>
      <c r="G2301">
        <v>12.33</v>
      </c>
      <c r="H2301">
        <v>54</v>
      </c>
      <c r="I2301" t="s">
        <v>23</v>
      </c>
      <c r="J2301" t="s">
        <v>18</v>
      </c>
      <c r="K2301" t="s">
        <v>3650</v>
      </c>
      <c r="L2301">
        <v>67</v>
      </c>
      <c r="M2301" t="str">
        <f t="shared" si="70"/>
        <v>Low</v>
      </c>
      <c r="N2301" t="str">
        <f t="shared" si="71"/>
        <v>Average</v>
      </c>
    </row>
    <row r="2302" spans="1:14">
      <c r="A2302" t="s">
        <v>31</v>
      </c>
      <c r="B2302">
        <v>2003</v>
      </c>
      <c r="C2302" t="s">
        <v>5031</v>
      </c>
      <c r="D2302" t="s">
        <v>33</v>
      </c>
      <c r="E2302" t="s">
        <v>5032</v>
      </c>
      <c r="F2302" t="s">
        <v>35</v>
      </c>
      <c r="G2302">
        <v>15.42</v>
      </c>
      <c r="H2302">
        <v>65</v>
      </c>
      <c r="I2302" t="s">
        <v>36</v>
      </c>
      <c r="J2302" t="s">
        <v>24</v>
      </c>
      <c r="K2302" t="s">
        <v>926</v>
      </c>
      <c r="L2302">
        <v>62</v>
      </c>
      <c r="M2302" t="str">
        <f t="shared" si="70"/>
        <v>Medium</v>
      </c>
      <c r="N2302" t="str">
        <f t="shared" si="71"/>
        <v>Average</v>
      </c>
    </row>
    <row r="2303" spans="1:14">
      <c r="A2303" t="s">
        <v>47</v>
      </c>
      <c r="B2303">
        <v>2016</v>
      </c>
      <c r="C2303" t="s">
        <v>5033</v>
      </c>
      <c r="D2303" t="s">
        <v>33</v>
      </c>
      <c r="E2303" t="s">
        <v>5034</v>
      </c>
      <c r="F2303" t="s">
        <v>16</v>
      </c>
      <c r="G2303">
        <v>32.33</v>
      </c>
      <c r="H2303">
        <v>86</v>
      </c>
      <c r="I2303" t="s">
        <v>17</v>
      </c>
      <c r="J2303" t="s">
        <v>37</v>
      </c>
      <c r="K2303" t="s">
        <v>20</v>
      </c>
      <c r="L2303">
        <v>78</v>
      </c>
      <c r="M2303" t="str">
        <f t="shared" si="70"/>
        <v>Medium</v>
      </c>
      <c r="N2303" t="str">
        <f t="shared" si="71"/>
        <v>Good</v>
      </c>
    </row>
    <row r="2304" spans="1:14">
      <c r="A2304" t="s">
        <v>39</v>
      </c>
      <c r="B2304">
        <v>2018</v>
      </c>
      <c r="C2304" t="s">
        <v>5035</v>
      </c>
      <c r="D2304" t="s">
        <v>33</v>
      </c>
      <c r="E2304" t="s">
        <v>5036</v>
      </c>
      <c r="F2304" t="s">
        <v>46</v>
      </c>
      <c r="G2304">
        <v>26.64</v>
      </c>
      <c r="H2304">
        <v>58</v>
      </c>
      <c r="I2304" t="s">
        <v>29</v>
      </c>
      <c r="J2304" t="s">
        <v>37</v>
      </c>
      <c r="K2304" t="s">
        <v>68</v>
      </c>
      <c r="L2304">
        <v>353</v>
      </c>
      <c r="M2304" t="str">
        <f t="shared" si="70"/>
        <v>Medium</v>
      </c>
      <c r="N2304" t="str">
        <f t="shared" si="71"/>
        <v>Average</v>
      </c>
    </row>
    <row r="2305" spans="1:14">
      <c r="A2305" t="s">
        <v>20</v>
      </c>
      <c r="B2305">
        <v>2002</v>
      </c>
      <c r="C2305" t="s">
        <v>5037</v>
      </c>
      <c r="D2305" t="s">
        <v>14</v>
      </c>
      <c r="E2305" t="s">
        <v>5038</v>
      </c>
      <c r="F2305" t="s">
        <v>16</v>
      </c>
      <c r="G2305">
        <v>21.94</v>
      </c>
      <c r="H2305">
        <v>93</v>
      </c>
      <c r="I2305" t="s">
        <v>17</v>
      </c>
      <c r="J2305" t="s">
        <v>18</v>
      </c>
      <c r="K2305" t="s">
        <v>114</v>
      </c>
      <c r="L2305">
        <v>243</v>
      </c>
      <c r="M2305" t="str">
        <f t="shared" si="70"/>
        <v>Medium</v>
      </c>
      <c r="N2305" t="str">
        <f t="shared" si="71"/>
        <v>Excellent</v>
      </c>
    </row>
    <row r="2306" spans="1:14">
      <c r="A2306" t="s">
        <v>65</v>
      </c>
      <c r="B2306">
        <v>2025</v>
      </c>
      <c r="C2306" t="s">
        <v>5039</v>
      </c>
      <c r="D2306" t="s">
        <v>33</v>
      </c>
      <c r="E2306" t="s">
        <v>5040</v>
      </c>
      <c r="F2306" t="s">
        <v>46</v>
      </c>
      <c r="G2306">
        <v>1.83</v>
      </c>
      <c r="H2306">
        <v>73</v>
      </c>
      <c r="I2306" t="s">
        <v>17</v>
      </c>
      <c r="J2306" t="s">
        <v>37</v>
      </c>
      <c r="K2306" t="s">
        <v>3058</v>
      </c>
      <c r="L2306">
        <v>315</v>
      </c>
      <c r="M2306" t="str">
        <f t="shared" si="70"/>
        <v>Low</v>
      </c>
      <c r="N2306" t="str">
        <f t="shared" si="71"/>
        <v>Average</v>
      </c>
    </row>
    <row r="2307" spans="1:14">
      <c r="A2307" t="s">
        <v>65</v>
      </c>
      <c r="B2307">
        <v>2023</v>
      </c>
      <c r="C2307" t="s">
        <v>5041</v>
      </c>
      <c r="D2307" t="s">
        <v>14</v>
      </c>
      <c r="E2307" t="s">
        <v>5042</v>
      </c>
      <c r="F2307" t="s">
        <v>35</v>
      </c>
      <c r="G2307">
        <v>46.98</v>
      </c>
      <c r="H2307">
        <v>65</v>
      </c>
      <c r="I2307" t="s">
        <v>23</v>
      </c>
      <c r="J2307" t="s">
        <v>37</v>
      </c>
      <c r="K2307" t="s">
        <v>48</v>
      </c>
      <c r="L2307">
        <v>311</v>
      </c>
      <c r="M2307" t="str">
        <f t="shared" ref="M2307:M2370" si="72">IF(G2307&lt;15,"Low",IF(G2307&lt;35,"Medium","High"))</f>
        <v>High</v>
      </c>
      <c r="N2307" t="str">
        <f t="shared" ref="N2307:N2370" si="73">IF(H2307&gt;=90,"Excellent",IF(H2307&gt;=75,"Good","Average"))</f>
        <v>Average</v>
      </c>
    </row>
    <row r="2308" spans="1:14">
      <c r="A2308" t="s">
        <v>68</v>
      </c>
      <c r="B2308">
        <v>2017</v>
      </c>
      <c r="C2308" t="s">
        <v>5043</v>
      </c>
      <c r="D2308" t="s">
        <v>14</v>
      </c>
      <c r="E2308" t="s">
        <v>3017</v>
      </c>
      <c r="F2308" t="s">
        <v>46</v>
      </c>
      <c r="G2308">
        <v>36.28</v>
      </c>
      <c r="H2308">
        <v>76</v>
      </c>
      <c r="I2308" t="s">
        <v>29</v>
      </c>
      <c r="J2308" t="s">
        <v>24</v>
      </c>
      <c r="K2308" t="s">
        <v>39</v>
      </c>
      <c r="L2308">
        <v>289</v>
      </c>
      <c r="M2308" t="str">
        <f t="shared" si="72"/>
        <v>High</v>
      </c>
      <c r="N2308" t="str">
        <f t="shared" si="73"/>
        <v>Good</v>
      </c>
    </row>
    <row r="2309" spans="1:14">
      <c r="A2309" t="s">
        <v>65</v>
      </c>
      <c r="B2309">
        <v>2018</v>
      </c>
      <c r="C2309" t="s">
        <v>5044</v>
      </c>
      <c r="D2309" t="s">
        <v>33</v>
      </c>
      <c r="E2309" t="s">
        <v>5045</v>
      </c>
      <c r="F2309" t="s">
        <v>42</v>
      </c>
      <c r="G2309">
        <v>6.06</v>
      </c>
      <c r="H2309">
        <v>57</v>
      </c>
      <c r="I2309" t="s">
        <v>61</v>
      </c>
      <c r="J2309" t="s">
        <v>18</v>
      </c>
      <c r="K2309" t="s">
        <v>38</v>
      </c>
      <c r="L2309">
        <v>273</v>
      </c>
      <c r="M2309" t="str">
        <f t="shared" si="72"/>
        <v>Low</v>
      </c>
      <c r="N2309" t="str">
        <f t="shared" si="73"/>
        <v>Average</v>
      </c>
    </row>
    <row r="2310" spans="1:14">
      <c r="A2310" t="s">
        <v>68</v>
      </c>
      <c r="B2310">
        <v>2006</v>
      </c>
      <c r="C2310" t="s">
        <v>5046</v>
      </c>
      <c r="D2310" t="s">
        <v>33</v>
      </c>
      <c r="E2310" t="s">
        <v>5047</v>
      </c>
      <c r="F2310" t="s">
        <v>35</v>
      </c>
      <c r="G2310">
        <v>12.71</v>
      </c>
      <c r="H2310">
        <v>77</v>
      </c>
      <c r="I2310" t="s">
        <v>61</v>
      </c>
      <c r="J2310" t="s">
        <v>18</v>
      </c>
      <c r="K2310" t="s">
        <v>39</v>
      </c>
      <c r="L2310">
        <v>353</v>
      </c>
      <c r="M2310" t="str">
        <f t="shared" si="72"/>
        <v>Low</v>
      </c>
      <c r="N2310" t="str">
        <f t="shared" si="73"/>
        <v>Good</v>
      </c>
    </row>
    <row r="2311" spans="1:14">
      <c r="A2311" t="s">
        <v>68</v>
      </c>
      <c r="B2311">
        <v>2004</v>
      </c>
      <c r="C2311" t="s">
        <v>5048</v>
      </c>
      <c r="D2311" t="s">
        <v>14</v>
      </c>
      <c r="E2311" t="s">
        <v>5049</v>
      </c>
      <c r="F2311" t="s">
        <v>16</v>
      </c>
      <c r="G2311">
        <v>11.18</v>
      </c>
      <c r="H2311">
        <v>57</v>
      </c>
      <c r="I2311" t="s">
        <v>17</v>
      </c>
      <c r="J2311" t="s">
        <v>18</v>
      </c>
      <c r="K2311" t="s">
        <v>5050</v>
      </c>
      <c r="L2311">
        <v>220</v>
      </c>
      <c r="M2311" t="str">
        <f t="shared" si="72"/>
        <v>Low</v>
      </c>
      <c r="N2311" t="str">
        <f t="shared" si="73"/>
        <v>Average</v>
      </c>
    </row>
    <row r="2312" spans="1:14">
      <c r="A2312" t="s">
        <v>65</v>
      </c>
      <c r="B2312">
        <v>2007</v>
      </c>
      <c r="C2312" t="s">
        <v>5051</v>
      </c>
      <c r="D2312" t="s">
        <v>33</v>
      </c>
      <c r="E2312" t="s">
        <v>5052</v>
      </c>
      <c r="F2312" t="s">
        <v>46</v>
      </c>
      <c r="G2312">
        <v>19.420000000000002</v>
      </c>
      <c r="H2312">
        <v>90</v>
      </c>
      <c r="I2312" t="s">
        <v>29</v>
      </c>
      <c r="J2312" t="s">
        <v>24</v>
      </c>
      <c r="K2312" t="s">
        <v>12</v>
      </c>
      <c r="L2312">
        <v>329</v>
      </c>
      <c r="M2312" t="str">
        <f t="shared" si="72"/>
        <v>Medium</v>
      </c>
      <c r="N2312" t="str">
        <f t="shared" si="73"/>
        <v>Excellent</v>
      </c>
    </row>
    <row r="2313" spans="1:14">
      <c r="A2313" t="s">
        <v>26</v>
      </c>
      <c r="B2313">
        <v>2014</v>
      </c>
      <c r="C2313" t="s">
        <v>5053</v>
      </c>
      <c r="D2313" t="s">
        <v>14</v>
      </c>
      <c r="E2313" t="s">
        <v>5054</v>
      </c>
      <c r="F2313" t="s">
        <v>35</v>
      </c>
      <c r="G2313">
        <v>42.96</v>
      </c>
      <c r="H2313">
        <v>75</v>
      </c>
      <c r="I2313" t="s">
        <v>36</v>
      </c>
      <c r="J2313" t="s">
        <v>37</v>
      </c>
      <c r="K2313" t="s">
        <v>20</v>
      </c>
      <c r="L2313">
        <v>202</v>
      </c>
      <c r="M2313" t="str">
        <f t="shared" si="72"/>
        <v>High</v>
      </c>
      <c r="N2313" t="str">
        <f t="shared" si="73"/>
        <v>Good</v>
      </c>
    </row>
    <row r="2314" spans="1:14">
      <c r="A2314" t="s">
        <v>39</v>
      </c>
      <c r="B2314">
        <v>2023</v>
      </c>
      <c r="C2314" t="s">
        <v>5055</v>
      </c>
      <c r="D2314" t="s">
        <v>14</v>
      </c>
      <c r="E2314" t="s">
        <v>5056</v>
      </c>
      <c r="F2314" t="s">
        <v>35</v>
      </c>
      <c r="G2314">
        <v>19.11</v>
      </c>
      <c r="H2314">
        <v>54</v>
      </c>
      <c r="I2314" t="s">
        <v>36</v>
      </c>
      <c r="J2314" t="s">
        <v>24</v>
      </c>
      <c r="K2314" t="s">
        <v>420</v>
      </c>
      <c r="L2314">
        <v>70</v>
      </c>
      <c r="M2314" t="str">
        <f t="shared" si="72"/>
        <v>Medium</v>
      </c>
      <c r="N2314" t="str">
        <f t="shared" si="73"/>
        <v>Average</v>
      </c>
    </row>
    <row r="2315" spans="1:14">
      <c r="A2315" t="s">
        <v>38</v>
      </c>
      <c r="B2315">
        <v>2023</v>
      </c>
      <c r="C2315" t="s">
        <v>5057</v>
      </c>
      <c r="D2315" t="s">
        <v>14</v>
      </c>
      <c r="E2315" t="s">
        <v>5058</v>
      </c>
      <c r="F2315" t="s">
        <v>35</v>
      </c>
      <c r="G2315">
        <v>35.86</v>
      </c>
      <c r="H2315">
        <v>99</v>
      </c>
      <c r="I2315" t="s">
        <v>17</v>
      </c>
      <c r="J2315" t="s">
        <v>18</v>
      </c>
      <c r="K2315" t="s">
        <v>1058</v>
      </c>
      <c r="L2315">
        <v>362</v>
      </c>
      <c r="M2315" t="str">
        <f t="shared" si="72"/>
        <v>High</v>
      </c>
      <c r="N2315" t="str">
        <f t="shared" si="73"/>
        <v>Excellent</v>
      </c>
    </row>
    <row r="2316" spans="1:14">
      <c r="A2316" t="s">
        <v>68</v>
      </c>
      <c r="B2316">
        <v>2003</v>
      </c>
      <c r="C2316" t="s">
        <v>5059</v>
      </c>
      <c r="D2316" t="s">
        <v>14</v>
      </c>
      <c r="E2316" t="s">
        <v>2162</v>
      </c>
      <c r="F2316" t="s">
        <v>35</v>
      </c>
      <c r="G2316">
        <v>17.93</v>
      </c>
      <c r="H2316">
        <v>92</v>
      </c>
      <c r="I2316" t="s">
        <v>36</v>
      </c>
      <c r="J2316" t="s">
        <v>18</v>
      </c>
      <c r="K2316" t="s">
        <v>348</v>
      </c>
      <c r="L2316">
        <v>24</v>
      </c>
      <c r="M2316" t="str">
        <f t="shared" si="72"/>
        <v>Medium</v>
      </c>
      <c r="N2316" t="str">
        <f t="shared" si="73"/>
        <v>Excellent</v>
      </c>
    </row>
    <row r="2317" spans="1:14">
      <c r="A2317" t="s">
        <v>31</v>
      </c>
      <c r="B2317">
        <v>2012</v>
      </c>
      <c r="C2317" t="s">
        <v>5060</v>
      </c>
      <c r="D2317" t="s">
        <v>33</v>
      </c>
      <c r="E2317" t="s">
        <v>1016</v>
      </c>
      <c r="F2317" t="s">
        <v>16</v>
      </c>
      <c r="G2317">
        <v>47.72</v>
      </c>
      <c r="H2317">
        <v>72</v>
      </c>
      <c r="I2317" t="s">
        <v>29</v>
      </c>
      <c r="J2317" t="s">
        <v>37</v>
      </c>
      <c r="K2317" t="s">
        <v>5061</v>
      </c>
      <c r="L2317">
        <v>183</v>
      </c>
      <c r="M2317" t="str">
        <f t="shared" si="72"/>
        <v>High</v>
      </c>
      <c r="N2317" t="str">
        <f t="shared" si="73"/>
        <v>Average</v>
      </c>
    </row>
    <row r="2318" spans="1:14">
      <c r="A2318" t="s">
        <v>26</v>
      </c>
      <c r="B2318">
        <v>2025</v>
      </c>
      <c r="C2318" t="s">
        <v>5062</v>
      </c>
      <c r="D2318" t="s">
        <v>33</v>
      </c>
      <c r="E2318" t="s">
        <v>5063</v>
      </c>
      <c r="F2318" t="s">
        <v>57</v>
      </c>
      <c r="G2318">
        <v>8.9</v>
      </c>
      <c r="H2318">
        <v>54</v>
      </c>
      <c r="I2318" t="s">
        <v>23</v>
      </c>
      <c r="J2318" t="s">
        <v>18</v>
      </c>
      <c r="K2318" t="s">
        <v>795</v>
      </c>
      <c r="L2318">
        <v>177</v>
      </c>
      <c r="M2318" t="str">
        <f t="shared" si="72"/>
        <v>Low</v>
      </c>
      <c r="N2318" t="str">
        <f t="shared" si="73"/>
        <v>Average</v>
      </c>
    </row>
    <row r="2319" spans="1:14">
      <c r="A2319" t="s">
        <v>38</v>
      </c>
      <c r="B2319">
        <v>2023</v>
      </c>
      <c r="C2319" t="s">
        <v>5064</v>
      </c>
      <c r="D2319" t="s">
        <v>33</v>
      </c>
      <c r="E2319" t="s">
        <v>5065</v>
      </c>
      <c r="F2319" t="s">
        <v>35</v>
      </c>
      <c r="G2319">
        <v>35.549999999999997</v>
      </c>
      <c r="H2319">
        <v>68</v>
      </c>
      <c r="I2319" t="s">
        <v>23</v>
      </c>
      <c r="J2319" t="s">
        <v>18</v>
      </c>
      <c r="K2319" t="s">
        <v>5066</v>
      </c>
      <c r="L2319">
        <v>104</v>
      </c>
      <c r="M2319" t="str">
        <f t="shared" si="72"/>
        <v>High</v>
      </c>
      <c r="N2319" t="str">
        <f t="shared" si="73"/>
        <v>Average</v>
      </c>
    </row>
    <row r="2320" spans="1:14">
      <c r="A2320" t="s">
        <v>48</v>
      </c>
      <c r="B2320">
        <v>2003</v>
      </c>
      <c r="C2320" t="s">
        <v>5067</v>
      </c>
      <c r="D2320" t="s">
        <v>14</v>
      </c>
      <c r="E2320" t="s">
        <v>1039</v>
      </c>
      <c r="F2320" t="s">
        <v>35</v>
      </c>
      <c r="G2320">
        <v>16.02</v>
      </c>
      <c r="H2320">
        <v>90</v>
      </c>
      <c r="I2320" t="s">
        <v>36</v>
      </c>
      <c r="J2320" t="s">
        <v>18</v>
      </c>
      <c r="K2320" t="s">
        <v>25</v>
      </c>
      <c r="L2320">
        <v>77</v>
      </c>
      <c r="M2320" t="str">
        <f t="shared" si="72"/>
        <v>Medium</v>
      </c>
      <c r="N2320" t="str">
        <f t="shared" si="73"/>
        <v>Excellent</v>
      </c>
    </row>
    <row r="2321" spans="1:14">
      <c r="A2321" t="s">
        <v>12</v>
      </c>
      <c r="B2321">
        <v>2011</v>
      </c>
      <c r="C2321" t="s">
        <v>5068</v>
      </c>
      <c r="D2321" t="s">
        <v>14</v>
      </c>
      <c r="E2321" t="s">
        <v>5069</v>
      </c>
      <c r="F2321" t="s">
        <v>42</v>
      </c>
      <c r="G2321">
        <v>34.04</v>
      </c>
      <c r="H2321">
        <v>53</v>
      </c>
      <c r="I2321" t="s">
        <v>36</v>
      </c>
      <c r="J2321" t="s">
        <v>37</v>
      </c>
      <c r="K2321" t="s">
        <v>305</v>
      </c>
      <c r="L2321">
        <v>158</v>
      </c>
      <c r="M2321" t="str">
        <f t="shared" si="72"/>
        <v>Medium</v>
      </c>
      <c r="N2321" t="str">
        <f t="shared" si="73"/>
        <v>Average</v>
      </c>
    </row>
    <row r="2322" spans="1:14">
      <c r="A2322" t="s">
        <v>48</v>
      </c>
      <c r="B2322">
        <v>2013</v>
      </c>
      <c r="C2322" t="s">
        <v>5070</v>
      </c>
      <c r="D2322" t="s">
        <v>33</v>
      </c>
      <c r="E2322" t="s">
        <v>5071</v>
      </c>
      <c r="F2322" t="s">
        <v>35</v>
      </c>
      <c r="G2322">
        <v>30.38</v>
      </c>
      <c r="H2322">
        <v>65</v>
      </c>
      <c r="I2322" t="s">
        <v>29</v>
      </c>
      <c r="J2322" t="s">
        <v>24</v>
      </c>
      <c r="K2322" t="s">
        <v>220</v>
      </c>
      <c r="L2322">
        <v>35</v>
      </c>
      <c r="M2322" t="str">
        <f t="shared" si="72"/>
        <v>Medium</v>
      </c>
      <c r="N2322" t="str">
        <f t="shared" si="73"/>
        <v>Average</v>
      </c>
    </row>
    <row r="2323" spans="1:14">
      <c r="A2323" t="s">
        <v>20</v>
      </c>
      <c r="B2323">
        <v>2000</v>
      </c>
      <c r="C2323" t="s">
        <v>5072</v>
      </c>
      <c r="D2323" t="s">
        <v>33</v>
      </c>
      <c r="E2323" t="s">
        <v>5073</v>
      </c>
      <c r="F2323" t="s">
        <v>35</v>
      </c>
      <c r="G2323">
        <v>13.08</v>
      </c>
      <c r="H2323">
        <v>85</v>
      </c>
      <c r="I2323" t="s">
        <v>29</v>
      </c>
      <c r="J2323" t="s">
        <v>37</v>
      </c>
      <c r="K2323" t="s">
        <v>254</v>
      </c>
      <c r="L2323">
        <v>336</v>
      </c>
      <c r="M2323" t="str">
        <f t="shared" si="72"/>
        <v>Low</v>
      </c>
      <c r="N2323" t="str">
        <f t="shared" si="73"/>
        <v>Good</v>
      </c>
    </row>
    <row r="2324" spans="1:14">
      <c r="A2324" t="s">
        <v>20</v>
      </c>
      <c r="B2324">
        <v>2019</v>
      </c>
      <c r="C2324" t="s">
        <v>5074</v>
      </c>
      <c r="D2324" t="s">
        <v>14</v>
      </c>
      <c r="E2324" t="s">
        <v>5075</v>
      </c>
      <c r="F2324" t="s">
        <v>35</v>
      </c>
      <c r="G2324">
        <v>16.170000000000002</v>
      </c>
      <c r="H2324">
        <v>94</v>
      </c>
      <c r="I2324" t="s">
        <v>29</v>
      </c>
      <c r="J2324" t="s">
        <v>24</v>
      </c>
      <c r="K2324" t="s">
        <v>65</v>
      </c>
      <c r="L2324">
        <v>43</v>
      </c>
      <c r="M2324" t="str">
        <f t="shared" si="72"/>
        <v>Medium</v>
      </c>
      <c r="N2324" t="str">
        <f t="shared" si="73"/>
        <v>Excellent</v>
      </c>
    </row>
    <row r="2325" spans="1:14">
      <c r="A2325" t="s">
        <v>31</v>
      </c>
      <c r="B2325">
        <v>2000</v>
      </c>
      <c r="C2325" t="s">
        <v>5076</v>
      </c>
      <c r="D2325" t="s">
        <v>14</v>
      </c>
      <c r="E2325" t="s">
        <v>5077</v>
      </c>
      <c r="F2325" t="s">
        <v>16</v>
      </c>
      <c r="G2325">
        <v>12.2</v>
      </c>
      <c r="H2325">
        <v>81</v>
      </c>
      <c r="I2325" t="s">
        <v>23</v>
      </c>
      <c r="J2325" t="s">
        <v>18</v>
      </c>
      <c r="K2325" t="s">
        <v>48</v>
      </c>
      <c r="L2325">
        <v>310</v>
      </c>
      <c r="M2325" t="str">
        <f t="shared" si="72"/>
        <v>Low</v>
      </c>
      <c r="N2325" t="str">
        <f t="shared" si="73"/>
        <v>Good</v>
      </c>
    </row>
    <row r="2326" spans="1:14">
      <c r="A2326" t="s">
        <v>20</v>
      </c>
      <c r="B2326">
        <v>2016</v>
      </c>
      <c r="C2326" t="s">
        <v>5078</v>
      </c>
      <c r="D2326" t="s">
        <v>14</v>
      </c>
      <c r="E2326" t="s">
        <v>5079</v>
      </c>
      <c r="F2326" t="s">
        <v>35</v>
      </c>
      <c r="G2326">
        <v>2.5099999999999998</v>
      </c>
      <c r="H2326">
        <v>86</v>
      </c>
      <c r="I2326" t="s">
        <v>23</v>
      </c>
      <c r="J2326" t="s">
        <v>37</v>
      </c>
      <c r="K2326" t="s">
        <v>65</v>
      </c>
      <c r="L2326">
        <v>78</v>
      </c>
      <c r="M2326" t="str">
        <f t="shared" si="72"/>
        <v>Low</v>
      </c>
      <c r="N2326" t="str">
        <f t="shared" si="73"/>
        <v>Good</v>
      </c>
    </row>
    <row r="2327" spans="1:14">
      <c r="A2327" t="s">
        <v>12</v>
      </c>
      <c r="B2327">
        <v>2022</v>
      </c>
      <c r="C2327" t="s">
        <v>5080</v>
      </c>
      <c r="D2327" t="s">
        <v>14</v>
      </c>
      <c r="E2327" t="s">
        <v>5081</v>
      </c>
      <c r="F2327" t="s">
        <v>46</v>
      </c>
      <c r="G2327">
        <v>41.83</v>
      </c>
      <c r="H2327">
        <v>66</v>
      </c>
      <c r="I2327" t="s">
        <v>61</v>
      </c>
      <c r="J2327" t="s">
        <v>37</v>
      </c>
      <c r="K2327" t="s">
        <v>25</v>
      </c>
      <c r="L2327">
        <v>288</v>
      </c>
      <c r="M2327" t="str">
        <f t="shared" si="72"/>
        <v>High</v>
      </c>
      <c r="N2327" t="str">
        <f t="shared" si="73"/>
        <v>Average</v>
      </c>
    </row>
    <row r="2328" spans="1:14">
      <c r="A2328" t="s">
        <v>48</v>
      </c>
      <c r="B2328">
        <v>2012</v>
      </c>
      <c r="C2328" t="s">
        <v>5082</v>
      </c>
      <c r="D2328" t="s">
        <v>33</v>
      </c>
      <c r="E2328" t="s">
        <v>5083</v>
      </c>
      <c r="F2328" t="s">
        <v>46</v>
      </c>
      <c r="G2328">
        <v>21.46</v>
      </c>
      <c r="H2328">
        <v>95</v>
      </c>
      <c r="I2328" t="s">
        <v>36</v>
      </c>
      <c r="J2328" t="s">
        <v>18</v>
      </c>
      <c r="K2328" t="s">
        <v>4786</v>
      </c>
      <c r="L2328">
        <v>300</v>
      </c>
      <c r="M2328" t="str">
        <f t="shared" si="72"/>
        <v>Medium</v>
      </c>
      <c r="N2328" t="str">
        <f t="shared" si="73"/>
        <v>Excellent</v>
      </c>
    </row>
    <row r="2329" spans="1:14">
      <c r="A2329" t="s">
        <v>38</v>
      </c>
      <c r="B2329">
        <v>2009</v>
      </c>
      <c r="C2329" t="s">
        <v>5084</v>
      </c>
      <c r="D2329" t="s">
        <v>14</v>
      </c>
      <c r="E2329" t="s">
        <v>5085</v>
      </c>
      <c r="F2329" t="s">
        <v>57</v>
      </c>
      <c r="G2329">
        <v>12.39</v>
      </c>
      <c r="H2329">
        <v>91</v>
      </c>
      <c r="I2329" t="s">
        <v>29</v>
      </c>
      <c r="J2329" t="s">
        <v>18</v>
      </c>
      <c r="K2329" t="s">
        <v>537</v>
      </c>
      <c r="L2329">
        <v>127</v>
      </c>
      <c r="M2329" t="str">
        <f t="shared" si="72"/>
        <v>Low</v>
      </c>
      <c r="N2329" t="str">
        <f t="shared" si="73"/>
        <v>Excellent</v>
      </c>
    </row>
    <row r="2330" spans="1:14">
      <c r="A2330" t="s">
        <v>47</v>
      </c>
      <c r="B2330">
        <v>2021</v>
      </c>
      <c r="C2330" t="s">
        <v>5086</v>
      </c>
      <c r="D2330" t="s">
        <v>14</v>
      </c>
      <c r="E2330" t="s">
        <v>5087</v>
      </c>
      <c r="F2330" t="s">
        <v>35</v>
      </c>
      <c r="G2330">
        <v>3.02</v>
      </c>
      <c r="H2330">
        <v>52</v>
      </c>
      <c r="I2330" t="s">
        <v>36</v>
      </c>
      <c r="J2330" t="s">
        <v>18</v>
      </c>
      <c r="K2330" t="s">
        <v>5088</v>
      </c>
      <c r="L2330">
        <v>17</v>
      </c>
      <c r="M2330" t="str">
        <f t="shared" si="72"/>
        <v>Low</v>
      </c>
      <c r="N2330" t="str">
        <f t="shared" si="73"/>
        <v>Average</v>
      </c>
    </row>
    <row r="2331" spans="1:14">
      <c r="A2331" t="s">
        <v>31</v>
      </c>
      <c r="B2331">
        <v>2012</v>
      </c>
      <c r="C2331" t="s">
        <v>5089</v>
      </c>
      <c r="D2331" t="s">
        <v>33</v>
      </c>
      <c r="E2331" t="s">
        <v>5090</v>
      </c>
      <c r="F2331" t="s">
        <v>16</v>
      </c>
      <c r="G2331">
        <v>38.51</v>
      </c>
      <c r="H2331">
        <v>59</v>
      </c>
      <c r="I2331" t="s">
        <v>61</v>
      </c>
      <c r="J2331" t="s">
        <v>18</v>
      </c>
      <c r="K2331" t="s">
        <v>667</v>
      </c>
      <c r="L2331">
        <v>115</v>
      </c>
      <c r="M2331" t="str">
        <f t="shared" si="72"/>
        <v>High</v>
      </c>
      <c r="N2331" t="str">
        <f t="shared" si="73"/>
        <v>Average</v>
      </c>
    </row>
    <row r="2332" spans="1:14">
      <c r="A2332" t="s">
        <v>39</v>
      </c>
      <c r="B2332">
        <v>2007</v>
      </c>
      <c r="C2332" t="s">
        <v>5091</v>
      </c>
      <c r="D2332" t="s">
        <v>33</v>
      </c>
      <c r="E2332" t="s">
        <v>5092</v>
      </c>
      <c r="F2332" t="s">
        <v>16</v>
      </c>
      <c r="G2332">
        <v>7.88</v>
      </c>
      <c r="H2332">
        <v>85</v>
      </c>
      <c r="I2332" t="s">
        <v>23</v>
      </c>
      <c r="J2332" t="s">
        <v>18</v>
      </c>
      <c r="K2332" t="s">
        <v>12</v>
      </c>
      <c r="L2332">
        <v>249</v>
      </c>
      <c r="M2332" t="str">
        <f t="shared" si="72"/>
        <v>Low</v>
      </c>
      <c r="N2332" t="str">
        <f t="shared" si="73"/>
        <v>Good</v>
      </c>
    </row>
    <row r="2333" spans="1:14">
      <c r="A2333" t="s">
        <v>26</v>
      </c>
      <c r="B2333">
        <v>2022</v>
      </c>
      <c r="C2333" t="s">
        <v>5093</v>
      </c>
      <c r="D2333" t="s">
        <v>33</v>
      </c>
      <c r="E2333" t="s">
        <v>5094</v>
      </c>
      <c r="F2333" t="s">
        <v>46</v>
      </c>
      <c r="G2333">
        <v>45.43</v>
      </c>
      <c r="H2333">
        <v>50</v>
      </c>
      <c r="I2333" t="s">
        <v>23</v>
      </c>
      <c r="J2333" t="s">
        <v>18</v>
      </c>
      <c r="K2333" t="s">
        <v>38</v>
      </c>
      <c r="L2333">
        <v>23</v>
      </c>
      <c r="M2333" t="str">
        <f t="shared" si="72"/>
        <v>High</v>
      </c>
      <c r="N2333" t="str">
        <f t="shared" si="73"/>
        <v>Average</v>
      </c>
    </row>
    <row r="2334" spans="1:14">
      <c r="A2334" t="s">
        <v>65</v>
      </c>
      <c r="B2334">
        <v>2013</v>
      </c>
      <c r="C2334" t="s">
        <v>5095</v>
      </c>
      <c r="D2334" t="s">
        <v>33</v>
      </c>
      <c r="E2334" t="s">
        <v>5096</v>
      </c>
      <c r="F2334" t="s">
        <v>16</v>
      </c>
      <c r="G2334">
        <v>17.739999999999998</v>
      </c>
      <c r="H2334">
        <v>84</v>
      </c>
      <c r="I2334" t="s">
        <v>36</v>
      </c>
      <c r="J2334" t="s">
        <v>18</v>
      </c>
      <c r="K2334" t="s">
        <v>20</v>
      </c>
      <c r="L2334">
        <v>280</v>
      </c>
      <c r="M2334" t="str">
        <f t="shared" si="72"/>
        <v>Medium</v>
      </c>
      <c r="N2334" t="str">
        <f t="shared" si="73"/>
        <v>Good</v>
      </c>
    </row>
    <row r="2335" spans="1:14">
      <c r="A2335" t="s">
        <v>12</v>
      </c>
      <c r="B2335">
        <v>2002</v>
      </c>
      <c r="C2335" t="s">
        <v>5097</v>
      </c>
      <c r="D2335" t="s">
        <v>14</v>
      </c>
      <c r="E2335" t="s">
        <v>5098</v>
      </c>
      <c r="F2335" t="s">
        <v>57</v>
      </c>
      <c r="G2335">
        <v>10.84</v>
      </c>
      <c r="H2335">
        <v>91</v>
      </c>
      <c r="I2335" t="s">
        <v>29</v>
      </c>
      <c r="J2335" t="s">
        <v>37</v>
      </c>
      <c r="K2335" t="s">
        <v>2563</v>
      </c>
      <c r="L2335">
        <v>38</v>
      </c>
      <c r="M2335" t="str">
        <f t="shared" si="72"/>
        <v>Low</v>
      </c>
      <c r="N2335" t="str">
        <f t="shared" si="73"/>
        <v>Excellent</v>
      </c>
    </row>
    <row r="2336" spans="1:14">
      <c r="A2336" t="s">
        <v>20</v>
      </c>
      <c r="B2336">
        <v>2025</v>
      </c>
      <c r="C2336" t="s">
        <v>5099</v>
      </c>
      <c r="D2336" t="s">
        <v>14</v>
      </c>
      <c r="E2336" t="s">
        <v>5100</v>
      </c>
      <c r="F2336" t="s">
        <v>35</v>
      </c>
      <c r="G2336">
        <v>3.63</v>
      </c>
      <c r="H2336">
        <v>74</v>
      </c>
      <c r="I2336" t="s">
        <v>23</v>
      </c>
      <c r="J2336" t="s">
        <v>24</v>
      </c>
      <c r="K2336" t="s">
        <v>157</v>
      </c>
      <c r="L2336">
        <v>332</v>
      </c>
      <c r="M2336" t="str">
        <f t="shared" si="72"/>
        <v>Low</v>
      </c>
      <c r="N2336" t="str">
        <f t="shared" si="73"/>
        <v>Average</v>
      </c>
    </row>
    <row r="2337" spans="1:14">
      <c r="A2337" t="s">
        <v>48</v>
      </c>
      <c r="B2337">
        <v>2022</v>
      </c>
      <c r="C2337" t="s">
        <v>5101</v>
      </c>
      <c r="D2337" t="s">
        <v>14</v>
      </c>
      <c r="E2337" t="s">
        <v>3607</v>
      </c>
      <c r="F2337" t="s">
        <v>35</v>
      </c>
      <c r="G2337">
        <v>23.55</v>
      </c>
      <c r="H2337">
        <v>60</v>
      </c>
      <c r="I2337" t="s">
        <v>17</v>
      </c>
      <c r="J2337" t="s">
        <v>37</v>
      </c>
      <c r="K2337" t="s">
        <v>48</v>
      </c>
      <c r="L2337">
        <v>353</v>
      </c>
      <c r="M2337" t="str">
        <f t="shared" si="72"/>
        <v>Medium</v>
      </c>
      <c r="N2337" t="str">
        <f t="shared" si="73"/>
        <v>Average</v>
      </c>
    </row>
    <row r="2338" spans="1:14">
      <c r="A2338" t="s">
        <v>39</v>
      </c>
      <c r="B2338">
        <v>2008</v>
      </c>
      <c r="C2338" t="s">
        <v>5102</v>
      </c>
      <c r="D2338" t="s">
        <v>33</v>
      </c>
      <c r="E2338" t="s">
        <v>5103</v>
      </c>
      <c r="F2338" t="s">
        <v>57</v>
      </c>
      <c r="G2338">
        <v>24.74</v>
      </c>
      <c r="H2338">
        <v>55</v>
      </c>
      <c r="I2338" t="s">
        <v>36</v>
      </c>
      <c r="J2338" t="s">
        <v>18</v>
      </c>
      <c r="K2338" t="s">
        <v>942</v>
      </c>
      <c r="L2338">
        <v>211</v>
      </c>
      <c r="M2338" t="str">
        <f t="shared" si="72"/>
        <v>Medium</v>
      </c>
      <c r="N2338" t="str">
        <f t="shared" si="73"/>
        <v>Average</v>
      </c>
    </row>
    <row r="2339" spans="1:14">
      <c r="A2339" t="s">
        <v>26</v>
      </c>
      <c r="B2339">
        <v>2017</v>
      </c>
      <c r="C2339" t="s">
        <v>5104</v>
      </c>
      <c r="D2339" t="s">
        <v>14</v>
      </c>
      <c r="E2339" t="s">
        <v>3524</v>
      </c>
      <c r="F2339" t="s">
        <v>46</v>
      </c>
      <c r="G2339">
        <v>0.88</v>
      </c>
      <c r="H2339">
        <v>85</v>
      </c>
      <c r="I2339" t="s">
        <v>36</v>
      </c>
      <c r="J2339" t="s">
        <v>24</v>
      </c>
      <c r="K2339" t="s">
        <v>68</v>
      </c>
      <c r="L2339">
        <v>101</v>
      </c>
      <c r="M2339" t="str">
        <f t="shared" si="72"/>
        <v>Low</v>
      </c>
      <c r="N2339" t="str">
        <f t="shared" si="73"/>
        <v>Good</v>
      </c>
    </row>
    <row r="2340" spans="1:14">
      <c r="A2340" t="s">
        <v>47</v>
      </c>
      <c r="B2340">
        <v>2009</v>
      </c>
      <c r="C2340" t="s">
        <v>5105</v>
      </c>
      <c r="D2340" t="s">
        <v>14</v>
      </c>
      <c r="E2340" t="s">
        <v>5106</v>
      </c>
      <c r="F2340" t="s">
        <v>57</v>
      </c>
      <c r="G2340">
        <v>49.22</v>
      </c>
      <c r="H2340">
        <v>85</v>
      </c>
      <c r="I2340" t="s">
        <v>36</v>
      </c>
      <c r="J2340" t="s">
        <v>18</v>
      </c>
      <c r="K2340" t="s">
        <v>232</v>
      </c>
      <c r="L2340">
        <v>307</v>
      </c>
      <c r="M2340" t="str">
        <f t="shared" si="72"/>
        <v>High</v>
      </c>
      <c r="N2340" t="str">
        <f t="shared" si="73"/>
        <v>Good</v>
      </c>
    </row>
    <row r="2341" spans="1:14">
      <c r="A2341" t="s">
        <v>47</v>
      </c>
      <c r="B2341">
        <v>2003</v>
      </c>
      <c r="C2341" t="s">
        <v>5107</v>
      </c>
      <c r="D2341" t="s">
        <v>33</v>
      </c>
      <c r="E2341" t="s">
        <v>5108</v>
      </c>
      <c r="F2341" t="s">
        <v>35</v>
      </c>
      <c r="G2341">
        <v>28.47</v>
      </c>
      <c r="H2341">
        <v>58</v>
      </c>
      <c r="I2341" t="s">
        <v>36</v>
      </c>
      <c r="J2341" t="s">
        <v>37</v>
      </c>
      <c r="K2341" t="s">
        <v>26</v>
      </c>
      <c r="L2341">
        <v>231</v>
      </c>
      <c r="M2341" t="str">
        <f t="shared" si="72"/>
        <v>Medium</v>
      </c>
      <c r="N2341" t="str">
        <f t="shared" si="73"/>
        <v>Average</v>
      </c>
    </row>
    <row r="2342" spans="1:14">
      <c r="A2342" t="s">
        <v>48</v>
      </c>
      <c r="B2342">
        <v>2006</v>
      </c>
      <c r="C2342" t="s">
        <v>5109</v>
      </c>
      <c r="D2342" t="s">
        <v>14</v>
      </c>
      <c r="E2342" t="s">
        <v>5110</v>
      </c>
      <c r="F2342" t="s">
        <v>42</v>
      </c>
      <c r="G2342">
        <v>29.53</v>
      </c>
      <c r="H2342">
        <v>72</v>
      </c>
      <c r="I2342" t="s">
        <v>23</v>
      </c>
      <c r="J2342" t="s">
        <v>24</v>
      </c>
      <c r="K2342" t="s">
        <v>48</v>
      </c>
      <c r="L2342">
        <v>137</v>
      </c>
      <c r="M2342" t="str">
        <f t="shared" si="72"/>
        <v>Medium</v>
      </c>
      <c r="N2342" t="str">
        <f t="shared" si="73"/>
        <v>Average</v>
      </c>
    </row>
    <row r="2343" spans="1:14">
      <c r="A2343" t="s">
        <v>20</v>
      </c>
      <c r="B2343">
        <v>2002</v>
      </c>
      <c r="C2343" t="s">
        <v>5111</v>
      </c>
      <c r="D2343" t="s">
        <v>14</v>
      </c>
      <c r="E2343" t="s">
        <v>5112</v>
      </c>
      <c r="F2343" t="s">
        <v>42</v>
      </c>
      <c r="G2343">
        <v>20.05</v>
      </c>
      <c r="H2343">
        <v>69</v>
      </c>
      <c r="I2343" t="s">
        <v>17</v>
      </c>
      <c r="J2343" t="s">
        <v>18</v>
      </c>
      <c r="K2343" t="s">
        <v>705</v>
      </c>
      <c r="L2343">
        <v>359</v>
      </c>
      <c r="M2343" t="str">
        <f t="shared" si="72"/>
        <v>Medium</v>
      </c>
      <c r="N2343" t="str">
        <f t="shared" si="73"/>
        <v>Average</v>
      </c>
    </row>
    <row r="2344" spans="1:14">
      <c r="A2344" t="s">
        <v>38</v>
      </c>
      <c r="B2344">
        <v>2006</v>
      </c>
      <c r="C2344" t="s">
        <v>5113</v>
      </c>
      <c r="D2344" t="s">
        <v>14</v>
      </c>
      <c r="E2344" t="s">
        <v>148</v>
      </c>
      <c r="F2344" t="s">
        <v>57</v>
      </c>
      <c r="G2344">
        <v>1.58</v>
      </c>
      <c r="H2344">
        <v>70</v>
      </c>
      <c r="I2344" t="s">
        <v>17</v>
      </c>
      <c r="J2344" t="s">
        <v>37</v>
      </c>
      <c r="K2344" t="s">
        <v>65</v>
      </c>
      <c r="L2344">
        <v>19</v>
      </c>
      <c r="M2344" t="str">
        <f t="shared" si="72"/>
        <v>Low</v>
      </c>
      <c r="N2344" t="str">
        <f t="shared" si="73"/>
        <v>Average</v>
      </c>
    </row>
    <row r="2345" spans="1:14">
      <c r="A2345" t="s">
        <v>68</v>
      </c>
      <c r="B2345">
        <v>2017</v>
      </c>
      <c r="C2345" t="s">
        <v>5114</v>
      </c>
      <c r="D2345" t="s">
        <v>14</v>
      </c>
      <c r="E2345" t="s">
        <v>5115</v>
      </c>
      <c r="F2345" t="s">
        <v>16</v>
      </c>
      <c r="G2345">
        <v>47.75</v>
      </c>
      <c r="H2345">
        <v>57</v>
      </c>
      <c r="I2345" t="s">
        <v>36</v>
      </c>
      <c r="J2345" t="s">
        <v>24</v>
      </c>
      <c r="K2345" t="s">
        <v>1283</v>
      </c>
      <c r="L2345">
        <v>305</v>
      </c>
      <c r="M2345" t="str">
        <f t="shared" si="72"/>
        <v>High</v>
      </c>
      <c r="N2345" t="str">
        <f t="shared" si="73"/>
        <v>Average</v>
      </c>
    </row>
    <row r="2346" spans="1:14">
      <c r="A2346" t="s">
        <v>26</v>
      </c>
      <c r="B2346">
        <v>2011</v>
      </c>
      <c r="C2346" t="s">
        <v>5116</v>
      </c>
      <c r="D2346" t="s">
        <v>14</v>
      </c>
      <c r="E2346" t="s">
        <v>594</v>
      </c>
      <c r="F2346" t="s">
        <v>35</v>
      </c>
      <c r="G2346">
        <v>39.15</v>
      </c>
      <c r="H2346">
        <v>93</v>
      </c>
      <c r="I2346" t="s">
        <v>36</v>
      </c>
      <c r="J2346" t="s">
        <v>18</v>
      </c>
      <c r="K2346" t="s">
        <v>636</v>
      </c>
      <c r="L2346">
        <v>95</v>
      </c>
      <c r="M2346" t="str">
        <f t="shared" si="72"/>
        <v>High</v>
      </c>
      <c r="N2346" t="str">
        <f t="shared" si="73"/>
        <v>Excellent</v>
      </c>
    </row>
    <row r="2347" spans="1:14">
      <c r="A2347" t="s">
        <v>31</v>
      </c>
      <c r="B2347">
        <v>2007</v>
      </c>
      <c r="C2347" t="s">
        <v>5117</v>
      </c>
      <c r="D2347" t="s">
        <v>14</v>
      </c>
      <c r="E2347" t="s">
        <v>5118</v>
      </c>
      <c r="F2347" t="s">
        <v>35</v>
      </c>
      <c r="G2347">
        <v>39.65</v>
      </c>
      <c r="H2347">
        <v>51</v>
      </c>
      <c r="I2347" t="s">
        <v>17</v>
      </c>
      <c r="J2347" t="s">
        <v>18</v>
      </c>
      <c r="K2347" t="s">
        <v>129</v>
      </c>
      <c r="L2347">
        <v>200</v>
      </c>
      <c r="M2347" t="str">
        <f t="shared" si="72"/>
        <v>High</v>
      </c>
      <c r="N2347" t="str">
        <f t="shared" si="73"/>
        <v>Average</v>
      </c>
    </row>
    <row r="2348" spans="1:14">
      <c r="A2348" t="s">
        <v>65</v>
      </c>
      <c r="B2348">
        <v>2025</v>
      </c>
      <c r="C2348" t="s">
        <v>5119</v>
      </c>
      <c r="D2348" t="s">
        <v>33</v>
      </c>
      <c r="E2348" t="s">
        <v>5120</v>
      </c>
      <c r="F2348" t="s">
        <v>35</v>
      </c>
      <c r="G2348">
        <v>6.07</v>
      </c>
      <c r="H2348">
        <v>93</v>
      </c>
      <c r="I2348" t="s">
        <v>61</v>
      </c>
      <c r="J2348" t="s">
        <v>37</v>
      </c>
      <c r="K2348" t="s">
        <v>26</v>
      </c>
      <c r="L2348">
        <v>114</v>
      </c>
      <c r="M2348" t="str">
        <f t="shared" si="72"/>
        <v>Low</v>
      </c>
      <c r="N2348" t="str">
        <f t="shared" si="73"/>
        <v>Excellent</v>
      </c>
    </row>
    <row r="2349" spans="1:14">
      <c r="A2349" t="s">
        <v>47</v>
      </c>
      <c r="B2349">
        <v>2007</v>
      </c>
      <c r="C2349" t="s">
        <v>5121</v>
      </c>
      <c r="D2349" t="s">
        <v>14</v>
      </c>
      <c r="E2349" t="s">
        <v>5122</v>
      </c>
      <c r="F2349" t="s">
        <v>57</v>
      </c>
      <c r="G2349">
        <v>28.04</v>
      </c>
      <c r="H2349">
        <v>54</v>
      </c>
      <c r="I2349" t="s">
        <v>23</v>
      </c>
      <c r="J2349" t="s">
        <v>24</v>
      </c>
      <c r="K2349" t="s">
        <v>595</v>
      </c>
      <c r="L2349">
        <v>315</v>
      </c>
      <c r="M2349" t="str">
        <f t="shared" si="72"/>
        <v>Medium</v>
      </c>
      <c r="N2349" t="str">
        <f t="shared" si="73"/>
        <v>Average</v>
      </c>
    </row>
    <row r="2350" spans="1:14">
      <c r="A2350" t="s">
        <v>48</v>
      </c>
      <c r="B2350">
        <v>2022</v>
      </c>
      <c r="C2350" t="s">
        <v>5123</v>
      </c>
      <c r="D2350" t="s">
        <v>14</v>
      </c>
      <c r="E2350" t="s">
        <v>1780</v>
      </c>
      <c r="F2350" t="s">
        <v>16</v>
      </c>
      <c r="G2350">
        <v>2.38</v>
      </c>
      <c r="H2350">
        <v>84</v>
      </c>
      <c r="I2350" t="s">
        <v>23</v>
      </c>
      <c r="J2350" t="s">
        <v>18</v>
      </c>
      <c r="K2350" t="s">
        <v>2110</v>
      </c>
      <c r="L2350">
        <v>69</v>
      </c>
      <c r="M2350" t="str">
        <f t="shared" si="72"/>
        <v>Low</v>
      </c>
      <c r="N2350" t="str">
        <f t="shared" si="73"/>
        <v>Good</v>
      </c>
    </row>
    <row r="2351" spans="1:14">
      <c r="A2351" t="s">
        <v>68</v>
      </c>
      <c r="B2351">
        <v>2006</v>
      </c>
      <c r="C2351" t="s">
        <v>5124</v>
      </c>
      <c r="D2351" t="s">
        <v>33</v>
      </c>
      <c r="E2351" t="s">
        <v>5125</v>
      </c>
      <c r="F2351" t="s">
        <v>42</v>
      </c>
      <c r="G2351">
        <v>25.44</v>
      </c>
      <c r="H2351">
        <v>99</v>
      </c>
      <c r="I2351" t="s">
        <v>36</v>
      </c>
      <c r="J2351" t="s">
        <v>18</v>
      </c>
      <c r="K2351" t="s">
        <v>488</v>
      </c>
      <c r="L2351">
        <v>231</v>
      </c>
      <c r="M2351" t="str">
        <f t="shared" si="72"/>
        <v>Medium</v>
      </c>
      <c r="N2351" t="str">
        <f t="shared" si="73"/>
        <v>Excellent</v>
      </c>
    </row>
    <row r="2352" spans="1:14">
      <c r="A2352" t="s">
        <v>47</v>
      </c>
      <c r="B2352">
        <v>2014</v>
      </c>
      <c r="C2352" t="s">
        <v>5126</v>
      </c>
      <c r="D2352" t="s">
        <v>14</v>
      </c>
      <c r="E2352" t="s">
        <v>5127</v>
      </c>
      <c r="F2352" t="s">
        <v>46</v>
      </c>
      <c r="G2352">
        <v>41.42</v>
      </c>
      <c r="H2352">
        <v>90</v>
      </c>
      <c r="I2352" t="s">
        <v>23</v>
      </c>
      <c r="J2352" t="s">
        <v>37</v>
      </c>
      <c r="K2352" t="s">
        <v>279</v>
      </c>
      <c r="L2352">
        <v>45</v>
      </c>
      <c r="M2352" t="str">
        <f t="shared" si="72"/>
        <v>High</v>
      </c>
      <c r="N2352" t="str">
        <f t="shared" si="73"/>
        <v>Excellent</v>
      </c>
    </row>
    <row r="2353" spans="1:14">
      <c r="A2353" t="s">
        <v>20</v>
      </c>
      <c r="B2353">
        <v>2014</v>
      </c>
      <c r="C2353" t="s">
        <v>5128</v>
      </c>
      <c r="D2353" t="s">
        <v>33</v>
      </c>
      <c r="E2353" t="s">
        <v>5129</v>
      </c>
      <c r="F2353" t="s">
        <v>46</v>
      </c>
      <c r="G2353">
        <v>40.82</v>
      </c>
      <c r="H2353">
        <v>86</v>
      </c>
      <c r="I2353" t="s">
        <v>17</v>
      </c>
      <c r="J2353" t="s">
        <v>37</v>
      </c>
      <c r="K2353" t="s">
        <v>5130</v>
      </c>
      <c r="L2353">
        <v>39</v>
      </c>
      <c r="M2353" t="str">
        <f t="shared" si="72"/>
        <v>High</v>
      </c>
      <c r="N2353" t="str">
        <f t="shared" si="73"/>
        <v>Good</v>
      </c>
    </row>
    <row r="2354" spans="1:14">
      <c r="A2354" t="s">
        <v>31</v>
      </c>
      <c r="B2354">
        <v>2014</v>
      </c>
      <c r="C2354" t="s">
        <v>5131</v>
      </c>
      <c r="D2354" t="s">
        <v>33</v>
      </c>
      <c r="E2354" t="s">
        <v>5132</v>
      </c>
      <c r="F2354" t="s">
        <v>42</v>
      </c>
      <c r="G2354">
        <v>41.97</v>
      </c>
      <c r="H2354">
        <v>67</v>
      </c>
      <c r="I2354" t="s">
        <v>29</v>
      </c>
      <c r="J2354" t="s">
        <v>24</v>
      </c>
      <c r="K2354" t="s">
        <v>5133</v>
      </c>
      <c r="L2354">
        <v>42</v>
      </c>
      <c r="M2354" t="str">
        <f t="shared" si="72"/>
        <v>High</v>
      </c>
      <c r="N2354" t="str">
        <f t="shared" si="73"/>
        <v>Average</v>
      </c>
    </row>
    <row r="2355" spans="1:14">
      <c r="A2355" t="s">
        <v>47</v>
      </c>
      <c r="B2355">
        <v>2001</v>
      </c>
      <c r="C2355" t="s">
        <v>5134</v>
      </c>
      <c r="D2355" t="s">
        <v>33</v>
      </c>
      <c r="E2355" t="s">
        <v>5135</v>
      </c>
      <c r="F2355" t="s">
        <v>35</v>
      </c>
      <c r="G2355">
        <v>9.24</v>
      </c>
      <c r="H2355">
        <v>100</v>
      </c>
      <c r="I2355" t="s">
        <v>29</v>
      </c>
      <c r="J2355" t="s">
        <v>18</v>
      </c>
      <c r="K2355" t="s">
        <v>5136</v>
      </c>
      <c r="L2355">
        <v>71</v>
      </c>
      <c r="M2355" t="str">
        <f t="shared" si="72"/>
        <v>Low</v>
      </c>
      <c r="N2355" t="str">
        <f t="shared" si="73"/>
        <v>Excellent</v>
      </c>
    </row>
    <row r="2356" spans="1:14">
      <c r="A2356" t="s">
        <v>68</v>
      </c>
      <c r="B2356">
        <v>2025</v>
      </c>
      <c r="C2356" t="s">
        <v>5137</v>
      </c>
      <c r="D2356" t="s">
        <v>14</v>
      </c>
      <c r="E2356" t="s">
        <v>5138</v>
      </c>
      <c r="F2356" t="s">
        <v>42</v>
      </c>
      <c r="G2356">
        <v>13.92</v>
      </c>
      <c r="H2356">
        <v>96</v>
      </c>
      <c r="I2356" t="s">
        <v>29</v>
      </c>
      <c r="J2356" t="s">
        <v>37</v>
      </c>
      <c r="K2356" t="s">
        <v>856</v>
      </c>
      <c r="L2356">
        <v>111</v>
      </c>
      <c r="M2356" t="str">
        <f t="shared" si="72"/>
        <v>Low</v>
      </c>
      <c r="N2356" t="str">
        <f t="shared" si="73"/>
        <v>Excellent</v>
      </c>
    </row>
    <row r="2357" spans="1:14">
      <c r="A2357" t="s">
        <v>47</v>
      </c>
      <c r="B2357">
        <v>2021</v>
      </c>
      <c r="C2357" t="s">
        <v>5139</v>
      </c>
      <c r="D2357" t="s">
        <v>33</v>
      </c>
      <c r="E2357" t="s">
        <v>5140</v>
      </c>
      <c r="F2357" t="s">
        <v>16</v>
      </c>
      <c r="G2357">
        <v>40.159999999999997</v>
      </c>
      <c r="H2357">
        <v>65</v>
      </c>
      <c r="I2357" t="s">
        <v>23</v>
      </c>
      <c r="J2357" t="s">
        <v>24</v>
      </c>
      <c r="K2357" t="s">
        <v>38</v>
      </c>
      <c r="L2357">
        <v>191</v>
      </c>
      <c r="M2357" t="str">
        <f t="shared" si="72"/>
        <v>High</v>
      </c>
      <c r="N2357" t="str">
        <f t="shared" si="73"/>
        <v>Average</v>
      </c>
    </row>
    <row r="2358" spans="1:14">
      <c r="A2358" t="s">
        <v>20</v>
      </c>
      <c r="B2358">
        <v>2001</v>
      </c>
      <c r="C2358" t="s">
        <v>5141</v>
      </c>
      <c r="D2358" t="s">
        <v>33</v>
      </c>
      <c r="E2358" t="s">
        <v>5142</v>
      </c>
      <c r="F2358" t="s">
        <v>35</v>
      </c>
      <c r="G2358">
        <v>29</v>
      </c>
      <c r="H2358">
        <v>74</v>
      </c>
      <c r="I2358" t="s">
        <v>29</v>
      </c>
      <c r="J2358" t="s">
        <v>18</v>
      </c>
      <c r="K2358" t="s">
        <v>956</v>
      </c>
      <c r="L2358">
        <v>177</v>
      </c>
      <c r="M2358" t="str">
        <f t="shared" si="72"/>
        <v>Medium</v>
      </c>
      <c r="N2358" t="str">
        <f t="shared" si="73"/>
        <v>Average</v>
      </c>
    </row>
    <row r="2359" spans="1:14">
      <c r="A2359" t="s">
        <v>31</v>
      </c>
      <c r="B2359">
        <v>2004</v>
      </c>
      <c r="C2359" t="s">
        <v>5143</v>
      </c>
      <c r="D2359" t="s">
        <v>33</v>
      </c>
      <c r="E2359" t="s">
        <v>5144</v>
      </c>
      <c r="F2359" t="s">
        <v>35</v>
      </c>
      <c r="G2359">
        <v>44.31</v>
      </c>
      <c r="H2359">
        <v>57</v>
      </c>
      <c r="I2359" t="s">
        <v>17</v>
      </c>
      <c r="J2359" t="s">
        <v>37</v>
      </c>
      <c r="K2359" t="s">
        <v>667</v>
      </c>
      <c r="L2359">
        <v>164</v>
      </c>
      <c r="M2359" t="str">
        <f t="shared" si="72"/>
        <v>High</v>
      </c>
      <c r="N2359" t="str">
        <f t="shared" si="73"/>
        <v>Average</v>
      </c>
    </row>
    <row r="2360" spans="1:14">
      <c r="A2360" t="s">
        <v>48</v>
      </c>
      <c r="B2360">
        <v>2008</v>
      </c>
      <c r="C2360" t="s">
        <v>5145</v>
      </c>
      <c r="D2360" t="s">
        <v>14</v>
      </c>
      <c r="E2360" t="s">
        <v>5146</v>
      </c>
      <c r="F2360" t="s">
        <v>42</v>
      </c>
      <c r="G2360">
        <v>6.32</v>
      </c>
      <c r="H2360">
        <v>55</v>
      </c>
      <c r="I2360" t="s">
        <v>23</v>
      </c>
      <c r="J2360" t="s">
        <v>24</v>
      </c>
      <c r="K2360" t="s">
        <v>31</v>
      </c>
      <c r="L2360">
        <v>344</v>
      </c>
      <c r="M2360" t="str">
        <f t="shared" si="72"/>
        <v>Low</v>
      </c>
      <c r="N2360" t="str">
        <f t="shared" si="73"/>
        <v>Average</v>
      </c>
    </row>
    <row r="2361" spans="1:14">
      <c r="A2361" t="s">
        <v>12</v>
      </c>
      <c r="B2361">
        <v>2010</v>
      </c>
      <c r="C2361" t="s">
        <v>5147</v>
      </c>
      <c r="D2361" t="s">
        <v>33</v>
      </c>
      <c r="E2361" t="s">
        <v>5148</v>
      </c>
      <c r="F2361" t="s">
        <v>35</v>
      </c>
      <c r="G2361">
        <v>33.56</v>
      </c>
      <c r="H2361">
        <v>81</v>
      </c>
      <c r="I2361" t="s">
        <v>23</v>
      </c>
      <c r="J2361" t="s">
        <v>37</v>
      </c>
      <c r="K2361" t="s">
        <v>5149</v>
      </c>
      <c r="L2361">
        <v>241</v>
      </c>
      <c r="M2361" t="str">
        <f t="shared" si="72"/>
        <v>Medium</v>
      </c>
      <c r="N2361" t="str">
        <f t="shared" si="73"/>
        <v>Good</v>
      </c>
    </row>
    <row r="2362" spans="1:14">
      <c r="A2362" t="s">
        <v>48</v>
      </c>
      <c r="B2362">
        <v>2017</v>
      </c>
      <c r="C2362" t="s">
        <v>5150</v>
      </c>
      <c r="D2362" t="s">
        <v>33</v>
      </c>
      <c r="E2362" t="s">
        <v>5151</v>
      </c>
      <c r="F2362" t="s">
        <v>46</v>
      </c>
      <c r="G2362">
        <v>11.43</v>
      </c>
      <c r="H2362">
        <v>85</v>
      </c>
      <c r="I2362" t="s">
        <v>17</v>
      </c>
      <c r="J2362" t="s">
        <v>24</v>
      </c>
      <c r="K2362" t="s">
        <v>114</v>
      </c>
      <c r="L2362">
        <v>342</v>
      </c>
      <c r="M2362" t="str">
        <f t="shared" si="72"/>
        <v>Low</v>
      </c>
      <c r="N2362" t="str">
        <f t="shared" si="73"/>
        <v>Good</v>
      </c>
    </row>
    <row r="2363" spans="1:14">
      <c r="A2363" t="s">
        <v>31</v>
      </c>
      <c r="B2363">
        <v>2008</v>
      </c>
      <c r="C2363" t="s">
        <v>5152</v>
      </c>
      <c r="D2363" t="s">
        <v>33</v>
      </c>
      <c r="E2363" t="s">
        <v>5153</v>
      </c>
      <c r="F2363" t="s">
        <v>35</v>
      </c>
      <c r="G2363">
        <v>8.42</v>
      </c>
      <c r="H2363">
        <v>51</v>
      </c>
      <c r="I2363" t="s">
        <v>23</v>
      </c>
      <c r="J2363" t="s">
        <v>24</v>
      </c>
      <c r="K2363" t="s">
        <v>151</v>
      </c>
      <c r="L2363">
        <v>15</v>
      </c>
      <c r="M2363" t="str">
        <f t="shared" si="72"/>
        <v>Low</v>
      </c>
      <c r="N2363" t="str">
        <f t="shared" si="73"/>
        <v>Average</v>
      </c>
    </row>
    <row r="2364" spans="1:14">
      <c r="A2364" t="s">
        <v>31</v>
      </c>
      <c r="B2364">
        <v>2005</v>
      </c>
      <c r="C2364" t="s">
        <v>5154</v>
      </c>
      <c r="D2364" t="s">
        <v>33</v>
      </c>
      <c r="E2364" t="s">
        <v>161</v>
      </c>
      <c r="F2364" t="s">
        <v>57</v>
      </c>
      <c r="G2364">
        <v>45.37</v>
      </c>
      <c r="H2364">
        <v>85</v>
      </c>
      <c r="I2364" t="s">
        <v>61</v>
      </c>
      <c r="J2364" t="s">
        <v>18</v>
      </c>
      <c r="K2364" t="s">
        <v>220</v>
      </c>
      <c r="L2364">
        <v>116</v>
      </c>
      <c r="M2364" t="str">
        <f t="shared" si="72"/>
        <v>High</v>
      </c>
      <c r="N2364" t="str">
        <f t="shared" si="73"/>
        <v>Good</v>
      </c>
    </row>
    <row r="2365" spans="1:14">
      <c r="A2365" t="s">
        <v>26</v>
      </c>
      <c r="B2365">
        <v>2025</v>
      </c>
      <c r="C2365" t="s">
        <v>5155</v>
      </c>
      <c r="D2365" t="s">
        <v>33</v>
      </c>
      <c r="E2365" t="s">
        <v>5156</v>
      </c>
      <c r="F2365" t="s">
        <v>16</v>
      </c>
      <c r="G2365">
        <v>23.2</v>
      </c>
      <c r="H2365">
        <v>90</v>
      </c>
      <c r="I2365" t="s">
        <v>23</v>
      </c>
      <c r="J2365" t="s">
        <v>24</v>
      </c>
      <c r="K2365" t="s">
        <v>5157</v>
      </c>
      <c r="L2365">
        <v>84</v>
      </c>
      <c r="M2365" t="str">
        <f t="shared" si="72"/>
        <v>Medium</v>
      </c>
      <c r="N2365" t="str">
        <f t="shared" si="73"/>
        <v>Excellent</v>
      </c>
    </row>
    <row r="2366" spans="1:14">
      <c r="A2366" t="s">
        <v>68</v>
      </c>
      <c r="B2366">
        <v>2021</v>
      </c>
      <c r="C2366" t="s">
        <v>5158</v>
      </c>
      <c r="D2366" t="s">
        <v>33</v>
      </c>
      <c r="E2366" t="s">
        <v>5159</v>
      </c>
      <c r="F2366" t="s">
        <v>57</v>
      </c>
      <c r="G2366">
        <v>43.9</v>
      </c>
      <c r="H2366">
        <v>87</v>
      </c>
      <c r="I2366" t="s">
        <v>36</v>
      </c>
      <c r="J2366" t="s">
        <v>24</v>
      </c>
      <c r="K2366" t="s">
        <v>68</v>
      </c>
      <c r="L2366">
        <v>255</v>
      </c>
      <c r="M2366" t="str">
        <f t="shared" si="72"/>
        <v>High</v>
      </c>
      <c r="N2366" t="str">
        <f t="shared" si="73"/>
        <v>Good</v>
      </c>
    </row>
    <row r="2367" spans="1:14">
      <c r="A2367" t="s">
        <v>38</v>
      </c>
      <c r="B2367">
        <v>2019</v>
      </c>
      <c r="C2367" t="s">
        <v>5160</v>
      </c>
      <c r="D2367" t="s">
        <v>33</v>
      </c>
      <c r="E2367" t="s">
        <v>5161</v>
      </c>
      <c r="F2367" t="s">
        <v>57</v>
      </c>
      <c r="G2367">
        <v>8.4</v>
      </c>
      <c r="H2367">
        <v>95</v>
      </c>
      <c r="I2367" t="s">
        <v>23</v>
      </c>
      <c r="J2367" t="s">
        <v>18</v>
      </c>
      <c r="K2367" t="s">
        <v>68</v>
      </c>
      <c r="L2367">
        <v>247</v>
      </c>
      <c r="M2367" t="str">
        <f t="shared" si="72"/>
        <v>Low</v>
      </c>
      <c r="N2367" t="str">
        <f t="shared" si="73"/>
        <v>Excellent</v>
      </c>
    </row>
    <row r="2368" spans="1:14">
      <c r="A2368" t="s">
        <v>38</v>
      </c>
      <c r="B2368">
        <v>2021</v>
      </c>
      <c r="C2368" t="s">
        <v>5162</v>
      </c>
      <c r="D2368" t="s">
        <v>14</v>
      </c>
      <c r="E2368" t="s">
        <v>5163</v>
      </c>
      <c r="F2368" t="s">
        <v>57</v>
      </c>
      <c r="G2368">
        <v>46.94</v>
      </c>
      <c r="H2368">
        <v>85</v>
      </c>
      <c r="I2368" t="s">
        <v>61</v>
      </c>
      <c r="J2368" t="s">
        <v>18</v>
      </c>
      <c r="K2368" t="s">
        <v>1873</v>
      </c>
      <c r="L2368">
        <v>162</v>
      </c>
      <c r="M2368" t="str">
        <f t="shared" si="72"/>
        <v>High</v>
      </c>
      <c r="N2368" t="str">
        <f t="shared" si="73"/>
        <v>Good</v>
      </c>
    </row>
    <row r="2369" spans="1:14">
      <c r="A2369" t="s">
        <v>31</v>
      </c>
      <c r="B2369">
        <v>2006</v>
      </c>
      <c r="C2369" t="s">
        <v>5164</v>
      </c>
      <c r="D2369" t="s">
        <v>14</v>
      </c>
      <c r="E2369" t="s">
        <v>5165</v>
      </c>
      <c r="F2369" t="s">
        <v>16</v>
      </c>
      <c r="G2369">
        <v>49.51</v>
      </c>
      <c r="H2369">
        <v>97</v>
      </c>
      <c r="I2369" t="s">
        <v>17</v>
      </c>
      <c r="J2369" t="s">
        <v>24</v>
      </c>
      <c r="K2369" t="s">
        <v>114</v>
      </c>
      <c r="L2369">
        <v>29</v>
      </c>
      <c r="M2369" t="str">
        <f t="shared" si="72"/>
        <v>High</v>
      </c>
      <c r="N2369" t="str">
        <f t="shared" si="73"/>
        <v>Excellent</v>
      </c>
    </row>
    <row r="2370" spans="1:14">
      <c r="A2370" t="s">
        <v>68</v>
      </c>
      <c r="B2370">
        <v>2012</v>
      </c>
      <c r="C2370" t="s">
        <v>5166</v>
      </c>
      <c r="D2370" t="s">
        <v>14</v>
      </c>
      <c r="E2370" t="s">
        <v>5167</v>
      </c>
      <c r="F2370" t="s">
        <v>35</v>
      </c>
      <c r="G2370">
        <v>41.28</v>
      </c>
      <c r="H2370">
        <v>57</v>
      </c>
      <c r="I2370" t="s">
        <v>23</v>
      </c>
      <c r="J2370" t="s">
        <v>18</v>
      </c>
      <c r="K2370" t="s">
        <v>320</v>
      </c>
      <c r="L2370">
        <v>136</v>
      </c>
      <c r="M2370" t="str">
        <f t="shared" si="72"/>
        <v>High</v>
      </c>
      <c r="N2370" t="str">
        <f t="shared" si="73"/>
        <v>Average</v>
      </c>
    </row>
    <row r="2371" spans="1:14">
      <c r="A2371" t="s">
        <v>39</v>
      </c>
      <c r="B2371">
        <v>2000</v>
      </c>
      <c r="C2371" t="s">
        <v>5168</v>
      </c>
      <c r="D2371" t="s">
        <v>14</v>
      </c>
      <c r="E2371" t="s">
        <v>5169</v>
      </c>
      <c r="F2371" t="s">
        <v>57</v>
      </c>
      <c r="G2371">
        <v>3.27</v>
      </c>
      <c r="H2371">
        <v>63</v>
      </c>
      <c r="I2371" t="s">
        <v>61</v>
      </c>
      <c r="J2371" t="s">
        <v>24</v>
      </c>
      <c r="K2371" t="s">
        <v>12</v>
      </c>
      <c r="L2371">
        <v>172</v>
      </c>
      <c r="M2371" t="str">
        <f t="shared" ref="M2371:M2434" si="74">IF(G2371&lt;15,"Low",IF(G2371&lt;35,"Medium","High"))</f>
        <v>Low</v>
      </c>
      <c r="N2371" t="str">
        <f t="shared" ref="N2371:N2434" si="75">IF(H2371&gt;=90,"Excellent",IF(H2371&gt;=75,"Good","Average"))</f>
        <v>Average</v>
      </c>
    </row>
    <row r="2372" spans="1:14">
      <c r="A2372" t="s">
        <v>48</v>
      </c>
      <c r="B2372">
        <v>2010</v>
      </c>
      <c r="C2372" t="s">
        <v>5170</v>
      </c>
      <c r="D2372" t="s">
        <v>33</v>
      </c>
      <c r="E2372" t="s">
        <v>5171</v>
      </c>
      <c r="F2372" t="s">
        <v>16</v>
      </c>
      <c r="G2372">
        <v>2.96</v>
      </c>
      <c r="H2372">
        <v>60</v>
      </c>
      <c r="I2372" t="s">
        <v>23</v>
      </c>
      <c r="J2372" t="s">
        <v>18</v>
      </c>
      <c r="K2372" t="s">
        <v>31</v>
      </c>
      <c r="L2372">
        <v>25</v>
      </c>
      <c r="M2372" t="str">
        <f t="shared" si="74"/>
        <v>Low</v>
      </c>
      <c r="N2372" t="str">
        <f t="shared" si="75"/>
        <v>Average</v>
      </c>
    </row>
    <row r="2373" spans="1:14">
      <c r="A2373" t="s">
        <v>68</v>
      </c>
      <c r="B2373">
        <v>2018</v>
      </c>
      <c r="C2373" t="s">
        <v>5172</v>
      </c>
      <c r="D2373" t="s">
        <v>14</v>
      </c>
      <c r="E2373" t="s">
        <v>5173</v>
      </c>
      <c r="F2373" t="s">
        <v>42</v>
      </c>
      <c r="G2373">
        <v>29.2</v>
      </c>
      <c r="H2373">
        <v>86</v>
      </c>
      <c r="I2373" t="s">
        <v>36</v>
      </c>
      <c r="J2373" t="s">
        <v>18</v>
      </c>
      <c r="K2373" t="s">
        <v>1558</v>
      </c>
      <c r="L2373">
        <v>298</v>
      </c>
      <c r="M2373" t="str">
        <f t="shared" si="74"/>
        <v>Medium</v>
      </c>
      <c r="N2373" t="str">
        <f t="shared" si="75"/>
        <v>Good</v>
      </c>
    </row>
    <row r="2374" spans="1:14">
      <c r="A2374" t="s">
        <v>47</v>
      </c>
      <c r="B2374">
        <v>2009</v>
      </c>
      <c r="C2374" t="s">
        <v>5174</v>
      </c>
      <c r="D2374" t="s">
        <v>33</v>
      </c>
      <c r="E2374" t="s">
        <v>5175</v>
      </c>
      <c r="F2374" t="s">
        <v>35</v>
      </c>
      <c r="G2374">
        <v>10.1</v>
      </c>
      <c r="H2374">
        <v>81</v>
      </c>
      <c r="I2374" t="s">
        <v>36</v>
      </c>
      <c r="J2374" t="s">
        <v>37</v>
      </c>
      <c r="K2374" t="s">
        <v>65</v>
      </c>
      <c r="L2374">
        <v>12</v>
      </c>
      <c r="M2374" t="str">
        <f t="shared" si="74"/>
        <v>Low</v>
      </c>
      <c r="N2374" t="str">
        <f t="shared" si="75"/>
        <v>Good</v>
      </c>
    </row>
    <row r="2375" spans="1:14">
      <c r="A2375" t="s">
        <v>20</v>
      </c>
      <c r="B2375">
        <v>2001</v>
      </c>
      <c r="C2375" t="s">
        <v>5176</v>
      </c>
      <c r="D2375" t="s">
        <v>33</v>
      </c>
      <c r="E2375" t="s">
        <v>4510</v>
      </c>
      <c r="F2375" t="s">
        <v>35</v>
      </c>
      <c r="G2375">
        <v>25.85</v>
      </c>
      <c r="H2375">
        <v>77</v>
      </c>
      <c r="I2375" t="s">
        <v>61</v>
      </c>
      <c r="J2375" t="s">
        <v>18</v>
      </c>
      <c r="K2375" t="s">
        <v>3858</v>
      </c>
      <c r="L2375">
        <v>200</v>
      </c>
      <c r="M2375" t="str">
        <f t="shared" si="74"/>
        <v>Medium</v>
      </c>
      <c r="N2375" t="str">
        <f t="shared" si="75"/>
        <v>Good</v>
      </c>
    </row>
    <row r="2376" spans="1:14">
      <c r="A2376" t="s">
        <v>38</v>
      </c>
      <c r="B2376">
        <v>2022</v>
      </c>
      <c r="C2376" t="s">
        <v>5177</v>
      </c>
      <c r="D2376" t="s">
        <v>14</v>
      </c>
      <c r="E2376" t="s">
        <v>5178</v>
      </c>
      <c r="F2376" t="s">
        <v>42</v>
      </c>
      <c r="G2376">
        <v>10.32</v>
      </c>
      <c r="H2376">
        <v>86</v>
      </c>
      <c r="I2376" t="s">
        <v>61</v>
      </c>
      <c r="J2376" t="s">
        <v>24</v>
      </c>
      <c r="K2376" t="s">
        <v>508</v>
      </c>
      <c r="L2376">
        <v>260</v>
      </c>
      <c r="M2376" t="str">
        <f t="shared" si="74"/>
        <v>Low</v>
      </c>
      <c r="N2376" t="str">
        <f t="shared" si="75"/>
        <v>Good</v>
      </c>
    </row>
    <row r="2377" spans="1:14">
      <c r="A2377" t="s">
        <v>39</v>
      </c>
      <c r="B2377">
        <v>2019</v>
      </c>
      <c r="C2377" t="s">
        <v>5179</v>
      </c>
      <c r="D2377" t="s">
        <v>33</v>
      </c>
      <c r="E2377" t="s">
        <v>5180</v>
      </c>
      <c r="F2377" t="s">
        <v>35</v>
      </c>
      <c r="G2377">
        <v>10.73</v>
      </c>
      <c r="H2377">
        <v>67</v>
      </c>
      <c r="I2377" t="s">
        <v>29</v>
      </c>
      <c r="J2377" t="s">
        <v>18</v>
      </c>
      <c r="K2377" t="s">
        <v>26</v>
      </c>
      <c r="L2377">
        <v>248</v>
      </c>
      <c r="M2377" t="str">
        <f t="shared" si="74"/>
        <v>Low</v>
      </c>
      <c r="N2377" t="str">
        <f t="shared" si="75"/>
        <v>Average</v>
      </c>
    </row>
    <row r="2378" spans="1:14">
      <c r="A2378" t="s">
        <v>38</v>
      </c>
      <c r="B2378">
        <v>2018</v>
      </c>
      <c r="C2378" t="s">
        <v>5181</v>
      </c>
      <c r="D2378" t="s">
        <v>33</v>
      </c>
      <c r="E2378" t="s">
        <v>5182</v>
      </c>
      <c r="F2378" t="s">
        <v>16</v>
      </c>
      <c r="G2378">
        <v>37.479999999999997</v>
      </c>
      <c r="H2378">
        <v>86</v>
      </c>
      <c r="I2378" t="s">
        <v>36</v>
      </c>
      <c r="J2378" t="s">
        <v>24</v>
      </c>
      <c r="K2378" t="s">
        <v>5157</v>
      </c>
      <c r="L2378">
        <v>189</v>
      </c>
      <c r="M2378" t="str">
        <f t="shared" si="74"/>
        <v>High</v>
      </c>
      <c r="N2378" t="str">
        <f t="shared" si="75"/>
        <v>Good</v>
      </c>
    </row>
    <row r="2379" spans="1:14">
      <c r="A2379" t="s">
        <v>68</v>
      </c>
      <c r="B2379">
        <v>2003</v>
      </c>
      <c r="C2379" t="s">
        <v>5183</v>
      </c>
      <c r="D2379" t="s">
        <v>33</v>
      </c>
      <c r="E2379" t="s">
        <v>1082</v>
      </c>
      <c r="F2379" t="s">
        <v>46</v>
      </c>
      <c r="G2379">
        <v>33.18</v>
      </c>
      <c r="H2379">
        <v>72</v>
      </c>
      <c r="I2379" t="s">
        <v>23</v>
      </c>
      <c r="J2379" t="s">
        <v>24</v>
      </c>
      <c r="K2379" t="s">
        <v>31</v>
      </c>
      <c r="L2379">
        <v>176</v>
      </c>
      <c r="M2379" t="str">
        <f t="shared" si="74"/>
        <v>Medium</v>
      </c>
      <c r="N2379" t="str">
        <f t="shared" si="75"/>
        <v>Average</v>
      </c>
    </row>
    <row r="2380" spans="1:14">
      <c r="A2380" t="s">
        <v>47</v>
      </c>
      <c r="B2380">
        <v>2025</v>
      </c>
      <c r="C2380" t="s">
        <v>5184</v>
      </c>
      <c r="D2380" t="s">
        <v>33</v>
      </c>
      <c r="E2380" t="s">
        <v>5185</v>
      </c>
      <c r="F2380" t="s">
        <v>46</v>
      </c>
      <c r="G2380">
        <v>24.74</v>
      </c>
      <c r="H2380">
        <v>87</v>
      </c>
      <c r="I2380" t="s">
        <v>29</v>
      </c>
      <c r="J2380" t="s">
        <v>37</v>
      </c>
      <c r="K2380" t="s">
        <v>465</v>
      </c>
      <c r="L2380">
        <v>61</v>
      </c>
      <c r="M2380" t="str">
        <f t="shared" si="74"/>
        <v>Medium</v>
      </c>
      <c r="N2380" t="str">
        <f t="shared" si="75"/>
        <v>Good</v>
      </c>
    </row>
    <row r="2381" spans="1:14">
      <c r="A2381" t="s">
        <v>12</v>
      </c>
      <c r="B2381">
        <v>2015</v>
      </c>
      <c r="C2381" t="s">
        <v>5186</v>
      </c>
      <c r="D2381" t="s">
        <v>14</v>
      </c>
      <c r="E2381" t="s">
        <v>5187</v>
      </c>
      <c r="F2381" t="s">
        <v>42</v>
      </c>
      <c r="G2381">
        <v>44.84</v>
      </c>
      <c r="H2381">
        <v>79</v>
      </c>
      <c r="I2381" t="s">
        <v>17</v>
      </c>
      <c r="J2381" t="s">
        <v>18</v>
      </c>
      <c r="K2381" t="s">
        <v>1597</v>
      </c>
      <c r="L2381">
        <v>308</v>
      </c>
      <c r="M2381" t="str">
        <f t="shared" si="74"/>
        <v>High</v>
      </c>
      <c r="N2381" t="str">
        <f t="shared" si="75"/>
        <v>Good</v>
      </c>
    </row>
    <row r="2382" spans="1:14">
      <c r="A2382" t="s">
        <v>48</v>
      </c>
      <c r="B2382">
        <v>2011</v>
      </c>
      <c r="C2382" t="s">
        <v>5188</v>
      </c>
      <c r="D2382" t="s">
        <v>33</v>
      </c>
      <c r="E2382" t="s">
        <v>5189</v>
      </c>
      <c r="F2382" t="s">
        <v>42</v>
      </c>
      <c r="G2382">
        <v>5.34</v>
      </c>
      <c r="H2382">
        <v>68</v>
      </c>
      <c r="I2382" t="s">
        <v>61</v>
      </c>
      <c r="J2382" t="s">
        <v>37</v>
      </c>
      <c r="K2382" t="s">
        <v>123</v>
      </c>
      <c r="L2382">
        <v>24</v>
      </c>
      <c r="M2382" t="str">
        <f t="shared" si="74"/>
        <v>Low</v>
      </c>
      <c r="N2382" t="str">
        <f t="shared" si="75"/>
        <v>Average</v>
      </c>
    </row>
    <row r="2383" spans="1:14">
      <c r="A2383" t="s">
        <v>31</v>
      </c>
      <c r="B2383">
        <v>2001</v>
      </c>
      <c r="C2383" t="s">
        <v>5190</v>
      </c>
      <c r="D2383" t="s">
        <v>33</v>
      </c>
      <c r="E2383" t="s">
        <v>5191</v>
      </c>
      <c r="F2383" t="s">
        <v>16</v>
      </c>
      <c r="G2383">
        <v>4.26</v>
      </c>
      <c r="H2383">
        <v>61</v>
      </c>
      <c r="I2383" t="s">
        <v>17</v>
      </c>
      <c r="J2383" t="s">
        <v>24</v>
      </c>
      <c r="K2383" t="s">
        <v>2020</v>
      </c>
      <c r="L2383">
        <v>110</v>
      </c>
      <c r="M2383" t="str">
        <f t="shared" si="74"/>
        <v>Low</v>
      </c>
      <c r="N2383" t="str">
        <f t="shared" si="75"/>
        <v>Average</v>
      </c>
    </row>
    <row r="2384" spans="1:14">
      <c r="A2384" t="s">
        <v>38</v>
      </c>
      <c r="B2384">
        <v>2009</v>
      </c>
      <c r="C2384" t="s">
        <v>5192</v>
      </c>
      <c r="D2384" t="s">
        <v>33</v>
      </c>
      <c r="E2384" t="s">
        <v>5193</v>
      </c>
      <c r="F2384" t="s">
        <v>57</v>
      </c>
      <c r="G2384">
        <v>29.46</v>
      </c>
      <c r="H2384">
        <v>70</v>
      </c>
      <c r="I2384" t="s">
        <v>23</v>
      </c>
      <c r="J2384" t="s">
        <v>24</v>
      </c>
      <c r="K2384" t="s">
        <v>254</v>
      </c>
      <c r="L2384">
        <v>297</v>
      </c>
      <c r="M2384" t="str">
        <f t="shared" si="74"/>
        <v>Medium</v>
      </c>
      <c r="N2384" t="str">
        <f t="shared" si="75"/>
        <v>Average</v>
      </c>
    </row>
    <row r="2385" spans="1:14">
      <c r="A2385" t="s">
        <v>26</v>
      </c>
      <c r="B2385">
        <v>2022</v>
      </c>
      <c r="C2385" t="s">
        <v>5194</v>
      </c>
      <c r="D2385" t="s">
        <v>14</v>
      </c>
      <c r="E2385" t="s">
        <v>5195</v>
      </c>
      <c r="F2385" t="s">
        <v>35</v>
      </c>
      <c r="G2385">
        <v>33.25</v>
      </c>
      <c r="H2385">
        <v>60</v>
      </c>
      <c r="I2385" t="s">
        <v>36</v>
      </c>
      <c r="J2385" t="s">
        <v>37</v>
      </c>
      <c r="K2385" t="s">
        <v>5196</v>
      </c>
      <c r="L2385">
        <v>48</v>
      </c>
      <c r="M2385" t="str">
        <f t="shared" si="74"/>
        <v>Medium</v>
      </c>
      <c r="N2385" t="str">
        <f t="shared" si="75"/>
        <v>Average</v>
      </c>
    </row>
    <row r="2386" spans="1:14">
      <c r="A2386" t="s">
        <v>20</v>
      </c>
      <c r="B2386">
        <v>2002</v>
      </c>
      <c r="C2386" t="s">
        <v>5197</v>
      </c>
      <c r="D2386" t="s">
        <v>33</v>
      </c>
      <c r="E2386" t="s">
        <v>5198</v>
      </c>
      <c r="F2386" t="s">
        <v>57</v>
      </c>
      <c r="G2386">
        <v>48.84</v>
      </c>
      <c r="H2386">
        <v>68</v>
      </c>
      <c r="I2386" t="s">
        <v>61</v>
      </c>
      <c r="J2386" t="s">
        <v>18</v>
      </c>
      <c r="K2386" t="s">
        <v>39</v>
      </c>
      <c r="L2386">
        <v>301</v>
      </c>
      <c r="M2386" t="str">
        <f t="shared" si="74"/>
        <v>High</v>
      </c>
      <c r="N2386" t="str">
        <f t="shared" si="75"/>
        <v>Average</v>
      </c>
    </row>
    <row r="2387" spans="1:14">
      <c r="A2387" t="s">
        <v>65</v>
      </c>
      <c r="B2387">
        <v>2025</v>
      </c>
      <c r="C2387" t="s">
        <v>5199</v>
      </c>
      <c r="D2387" t="s">
        <v>14</v>
      </c>
      <c r="E2387" t="s">
        <v>500</v>
      </c>
      <c r="F2387" t="s">
        <v>35</v>
      </c>
      <c r="G2387">
        <v>7.91</v>
      </c>
      <c r="H2387">
        <v>60</v>
      </c>
      <c r="I2387" t="s">
        <v>61</v>
      </c>
      <c r="J2387" t="s">
        <v>18</v>
      </c>
      <c r="K2387" t="s">
        <v>58</v>
      </c>
      <c r="L2387">
        <v>229</v>
      </c>
      <c r="M2387" t="str">
        <f t="shared" si="74"/>
        <v>Low</v>
      </c>
      <c r="N2387" t="str">
        <f t="shared" si="75"/>
        <v>Average</v>
      </c>
    </row>
    <row r="2388" spans="1:14">
      <c r="A2388" t="s">
        <v>38</v>
      </c>
      <c r="B2388">
        <v>2011</v>
      </c>
      <c r="C2388" t="s">
        <v>5200</v>
      </c>
      <c r="D2388" t="s">
        <v>14</v>
      </c>
      <c r="E2388" t="s">
        <v>5201</v>
      </c>
      <c r="F2388" t="s">
        <v>57</v>
      </c>
      <c r="G2388">
        <v>24.81</v>
      </c>
      <c r="H2388">
        <v>65</v>
      </c>
      <c r="I2388" t="s">
        <v>17</v>
      </c>
      <c r="J2388" t="s">
        <v>18</v>
      </c>
      <c r="K2388" t="s">
        <v>802</v>
      </c>
      <c r="L2388">
        <v>230</v>
      </c>
      <c r="M2388" t="str">
        <f t="shared" si="74"/>
        <v>Medium</v>
      </c>
      <c r="N2388" t="str">
        <f t="shared" si="75"/>
        <v>Average</v>
      </c>
    </row>
    <row r="2389" spans="1:14">
      <c r="A2389" t="s">
        <v>48</v>
      </c>
      <c r="B2389">
        <v>2014</v>
      </c>
      <c r="C2389" t="s">
        <v>5202</v>
      </c>
      <c r="D2389" t="s">
        <v>14</v>
      </c>
      <c r="E2389" t="s">
        <v>1596</v>
      </c>
      <c r="F2389" t="s">
        <v>42</v>
      </c>
      <c r="G2389">
        <v>9.43</v>
      </c>
      <c r="H2389">
        <v>85</v>
      </c>
      <c r="I2389" t="s">
        <v>36</v>
      </c>
      <c r="J2389" t="s">
        <v>24</v>
      </c>
      <c r="K2389" t="s">
        <v>38</v>
      </c>
      <c r="L2389">
        <v>357</v>
      </c>
      <c r="M2389" t="str">
        <f t="shared" si="74"/>
        <v>Low</v>
      </c>
      <c r="N2389" t="str">
        <f t="shared" si="75"/>
        <v>Good</v>
      </c>
    </row>
    <row r="2390" spans="1:14">
      <c r="A2390" t="s">
        <v>48</v>
      </c>
      <c r="B2390">
        <v>2025</v>
      </c>
      <c r="C2390" t="s">
        <v>5203</v>
      </c>
      <c r="D2390" t="s">
        <v>33</v>
      </c>
      <c r="E2390" t="s">
        <v>5204</v>
      </c>
      <c r="F2390" t="s">
        <v>42</v>
      </c>
      <c r="G2390">
        <v>2.31</v>
      </c>
      <c r="H2390">
        <v>66</v>
      </c>
      <c r="I2390" t="s">
        <v>29</v>
      </c>
      <c r="J2390" t="s">
        <v>37</v>
      </c>
      <c r="K2390" t="s">
        <v>340</v>
      </c>
      <c r="L2390">
        <v>310</v>
      </c>
      <c r="M2390" t="str">
        <f t="shared" si="74"/>
        <v>Low</v>
      </c>
      <c r="N2390" t="str">
        <f t="shared" si="75"/>
        <v>Average</v>
      </c>
    </row>
    <row r="2391" spans="1:14">
      <c r="A2391" t="s">
        <v>38</v>
      </c>
      <c r="B2391">
        <v>2011</v>
      </c>
      <c r="C2391" t="s">
        <v>5205</v>
      </c>
      <c r="D2391" t="s">
        <v>14</v>
      </c>
      <c r="E2391" t="s">
        <v>5206</v>
      </c>
      <c r="F2391" t="s">
        <v>16</v>
      </c>
      <c r="G2391">
        <v>0.97</v>
      </c>
      <c r="H2391">
        <v>91</v>
      </c>
      <c r="I2391" t="s">
        <v>23</v>
      </c>
      <c r="J2391" t="s">
        <v>18</v>
      </c>
      <c r="K2391" t="s">
        <v>2110</v>
      </c>
      <c r="L2391">
        <v>272</v>
      </c>
      <c r="M2391" t="str">
        <f t="shared" si="74"/>
        <v>Low</v>
      </c>
      <c r="N2391" t="str">
        <f t="shared" si="75"/>
        <v>Excellent</v>
      </c>
    </row>
    <row r="2392" spans="1:14">
      <c r="A2392" t="s">
        <v>68</v>
      </c>
      <c r="B2392">
        <v>2015</v>
      </c>
      <c r="C2392" t="s">
        <v>5207</v>
      </c>
      <c r="D2392" t="s">
        <v>14</v>
      </c>
      <c r="E2392" t="s">
        <v>5208</v>
      </c>
      <c r="F2392" t="s">
        <v>16</v>
      </c>
      <c r="G2392">
        <v>23.43</v>
      </c>
      <c r="H2392">
        <v>85</v>
      </c>
      <c r="I2392" t="s">
        <v>17</v>
      </c>
      <c r="J2392" t="s">
        <v>37</v>
      </c>
      <c r="K2392" t="s">
        <v>4832</v>
      </c>
      <c r="L2392">
        <v>91</v>
      </c>
      <c r="M2392" t="str">
        <f t="shared" si="74"/>
        <v>Medium</v>
      </c>
      <c r="N2392" t="str">
        <f t="shared" si="75"/>
        <v>Good</v>
      </c>
    </row>
    <row r="2393" spans="1:14">
      <c r="A2393" t="s">
        <v>26</v>
      </c>
      <c r="B2393">
        <v>2016</v>
      </c>
      <c r="C2393" t="s">
        <v>5209</v>
      </c>
      <c r="D2393" t="s">
        <v>33</v>
      </c>
      <c r="E2393" t="s">
        <v>5210</v>
      </c>
      <c r="F2393" t="s">
        <v>42</v>
      </c>
      <c r="G2393">
        <v>7.26</v>
      </c>
      <c r="H2393">
        <v>63</v>
      </c>
      <c r="I2393" t="s">
        <v>23</v>
      </c>
      <c r="J2393" t="s">
        <v>18</v>
      </c>
      <c r="K2393" t="s">
        <v>65</v>
      </c>
      <c r="L2393">
        <v>47</v>
      </c>
      <c r="M2393" t="str">
        <f t="shared" si="74"/>
        <v>Low</v>
      </c>
      <c r="N2393" t="str">
        <f t="shared" si="75"/>
        <v>Average</v>
      </c>
    </row>
    <row r="2394" spans="1:14">
      <c r="A2394" t="s">
        <v>12</v>
      </c>
      <c r="B2394">
        <v>2012</v>
      </c>
      <c r="C2394" t="s">
        <v>5211</v>
      </c>
      <c r="D2394" t="s">
        <v>14</v>
      </c>
      <c r="E2394" t="s">
        <v>5212</v>
      </c>
      <c r="F2394" t="s">
        <v>35</v>
      </c>
      <c r="G2394">
        <v>13.53</v>
      </c>
      <c r="H2394">
        <v>87</v>
      </c>
      <c r="I2394" t="s">
        <v>61</v>
      </c>
      <c r="J2394" t="s">
        <v>37</v>
      </c>
      <c r="K2394" t="s">
        <v>65</v>
      </c>
      <c r="L2394">
        <v>181</v>
      </c>
      <c r="M2394" t="str">
        <f t="shared" si="74"/>
        <v>Low</v>
      </c>
      <c r="N2394" t="str">
        <f t="shared" si="75"/>
        <v>Good</v>
      </c>
    </row>
    <row r="2395" spans="1:14">
      <c r="A2395" t="s">
        <v>68</v>
      </c>
      <c r="B2395">
        <v>2014</v>
      </c>
      <c r="C2395" t="s">
        <v>5213</v>
      </c>
      <c r="D2395" t="s">
        <v>33</v>
      </c>
      <c r="E2395" t="s">
        <v>5214</v>
      </c>
      <c r="F2395" t="s">
        <v>16</v>
      </c>
      <c r="G2395">
        <v>8.2200000000000006</v>
      </c>
      <c r="H2395">
        <v>95</v>
      </c>
      <c r="I2395" t="s">
        <v>61</v>
      </c>
      <c r="J2395" t="s">
        <v>24</v>
      </c>
      <c r="K2395" t="s">
        <v>3858</v>
      </c>
      <c r="L2395">
        <v>44</v>
      </c>
      <c r="M2395" t="str">
        <f t="shared" si="74"/>
        <v>Low</v>
      </c>
      <c r="N2395" t="str">
        <f t="shared" si="75"/>
        <v>Excellent</v>
      </c>
    </row>
    <row r="2396" spans="1:14">
      <c r="A2396" t="s">
        <v>12</v>
      </c>
      <c r="B2396">
        <v>2016</v>
      </c>
      <c r="C2396" t="s">
        <v>5215</v>
      </c>
      <c r="D2396" t="s">
        <v>14</v>
      </c>
      <c r="E2396" t="s">
        <v>5216</v>
      </c>
      <c r="F2396" t="s">
        <v>35</v>
      </c>
      <c r="G2396">
        <v>43.74</v>
      </c>
      <c r="H2396">
        <v>91</v>
      </c>
      <c r="I2396" t="s">
        <v>17</v>
      </c>
      <c r="J2396" t="s">
        <v>18</v>
      </c>
      <c r="K2396" t="s">
        <v>38</v>
      </c>
      <c r="L2396">
        <v>223</v>
      </c>
      <c r="M2396" t="str">
        <f t="shared" si="74"/>
        <v>High</v>
      </c>
      <c r="N2396" t="str">
        <f t="shared" si="75"/>
        <v>Excellent</v>
      </c>
    </row>
    <row r="2397" spans="1:14">
      <c r="A2397" t="s">
        <v>12</v>
      </c>
      <c r="B2397">
        <v>2024</v>
      </c>
      <c r="C2397" t="s">
        <v>5217</v>
      </c>
      <c r="D2397" t="s">
        <v>33</v>
      </c>
      <c r="E2397" t="s">
        <v>5218</v>
      </c>
      <c r="F2397" t="s">
        <v>35</v>
      </c>
      <c r="G2397">
        <v>26.6</v>
      </c>
      <c r="H2397">
        <v>100</v>
      </c>
      <c r="I2397" t="s">
        <v>36</v>
      </c>
      <c r="J2397" t="s">
        <v>24</v>
      </c>
      <c r="K2397" t="s">
        <v>5219</v>
      </c>
      <c r="L2397">
        <v>13</v>
      </c>
      <c r="M2397" t="str">
        <f t="shared" si="74"/>
        <v>Medium</v>
      </c>
      <c r="N2397" t="str">
        <f t="shared" si="75"/>
        <v>Excellent</v>
      </c>
    </row>
    <row r="2398" spans="1:14">
      <c r="A2398" t="s">
        <v>38</v>
      </c>
      <c r="B2398">
        <v>2009</v>
      </c>
      <c r="C2398" t="s">
        <v>5220</v>
      </c>
      <c r="D2398" t="s">
        <v>14</v>
      </c>
      <c r="E2398" t="s">
        <v>5221</v>
      </c>
      <c r="F2398" t="s">
        <v>42</v>
      </c>
      <c r="G2398">
        <v>46.49</v>
      </c>
      <c r="H2398">
        <v>77</v>
      </c>
      <c r="I2398" t="s">
        <v>29</v>
      </c>
      <c r="J2398" t="s">
        <v>18</v>
      </c>
      <c r="K2398" t="s">
        <v>38</v>
      </c>
      <c r="L2398">
        <v>353</v>
      </c>
      <c r="M2398" t="str">
        <f t="shared" si="74"/>
        <v>High</v>
      </c>
      <c r="N2398" t="str">
        <f t="shared" si="75"/>
        <v>Good</v>
      </c>
    </row>
    <row r="2399" spans="1:14">
      <c r="A2399" t="s">
        <v>39</v>
      </c>
      <c r="B2399">
        <v>2022</v>
      </c>
      <c r="C2399" t="s">
        <v>5222</v>
      </c>
      <c r="D2399" t="s">
        <v>33</v>
      </c>
      <c r="E2399" t="s">
        <v>1299</v>
      </c>
      <c r="F2399" t="s">
        <v>16</v>
      </c>
      <c r="G2399">
        <v>40.22</v>
      </c>
      <c r="H2399">
        <v>62</v>
      </c>
      <c r="I2399" t="s">
        <v>61</v>
      </c>
      <c r="J2399" t="s">
        <v>18</v>
      </c>
      <c r="K2399" t="s">
        <v>5223</v>
      </c>
      <c r="L2399">
        <v>229</v>
      </c>
      <c r="M2399" t="str">
        <f t="shared" si="74"/>
        <v>High</v>
      </c>
      <c r="N2399" t="str">
        <f t="shared" si="75"/>
        <v>Average</v>
      </c>
    </row>
    <row r="2400" spans="1:14">
      <c r="A2400" t="s">
        <v>65</v>
      </c>
      <c r="B2400">
        <v>2018</v>
      </c>
      <c r="C2400" t="s">
        <v>5224</v>
      </c>
      <c r="D2400" t="s">
        <v>33</v>
      </c>
      <c r="E2400" t="s">
        <v>5225</v>
      </c>
      <c r="F2400" t="s">
        <v>35</v>
      </c>
      <c r="G2400">
        <v>18.27</v>
      </c>
      <c r="H2400">
        <v>97</v>
      </c>
      <c r="I2400" t="s">
        <v>61</v>
      </c>
      <c r="J2400" t="s">
        <v>24</v>
      </c>
      <c r="K2400" t="s">
        <v>335</v>
      </c>
      <c r="L2400">
        <v>270</v>
      </c>
      <c r="M2400" t="str">
        <f t="shared" si="74"/>
        <v>Medium</v>
      </c>
      <c r="N2400" t="str">
        <f t="shared" si="75"/>
        <v>Excellent</v>
      </c>
    </row>
    <row r="2401" spans="1:14">
      <c r="A2401" t="s">
        <v>38</v>
      </c>
      <c r="B2401">
        <v>2004</v>
      </c>
      <c r="C2401" t="s">
        <v>5226</v>
      </c>
      <c r="D2401" t="s">
        <v>33</v>
      </c>
      <c r="E2401" t="s">
        <v>5227</v>
      </c>
      <c r="F2401" t="s">
        <v>57</v>
      </c>
      <c r="G2401">
        <v>22.05</v>
      </c>
      <c r="H2401">
        <v>82</v>
      </c>
      <c r="I2401" t="s">
        <v>23</v>
      </c>
      <c r="J2401" t="s">
        <v>37</v>
      </c>
      <c r="K2401" t="s">
        <v>881</v>
      </c>
      <c r="L2401">
        <v>38</v>
      </c>
      <c r="M2401" t="str">
        <f t="shared" si="74"/>
        <v>Medium</v>
      </c>
      <c r="N2401" t="str">
        <f t="shared" si="75"/>
        <v>Good</v>
      </c>
    </row>
    <row r="2402" spans="1:14">
      <c r="A2402" t="s">
        <v>26</v>
      </c>
      <c r="B2402">
        <v>2009</v>
      </c>
      <c r="C2402" t="s">
        <v>5228</v>
      </c>
      <c r="D2402" t="s">
        <v>33</v>
      </c>
      <c r="E2402" t="s">
        <v>5229</v>
      </c>
      <c r="F2402" t="s">
        <v>35</v>
      </c>
      <c r="G2402">
        <v>33.799999999999997</v>
      </c>
      <c r="H2402">
        <v>74</v>
      </c>
      <c r="I2402" t="s">
        <v>61</v>
      </c>
      <c r="J2402" t="s">
        <v>24</v>
      </c>
      <c r="K2402" t="s">
        <v>47</v>
      </c>
      <c r="L2402">
        <v>243</v>
      </c>
      <c r="M2402" t="str">
        <f t="shared" si="74"/>
        <v>Medium</v>
      </c>
      <c r="N2402" t="str">
        <f t="shared" si="75"/>
        <v>Average</v>
      </c>
    </row>
    <row r="2403" spans="1:14">
      <c r="A2403" t="s">
        <v>20</v>
      </c>
      <c r="B2403">
        <v>2000</v>
      </c>
      <c r="C2403" t="s">
        <v>5230</v>
      </c>
      <c r="D2403" t="s">
        <v>14</v>
      </c>
      <c r="E2403" t="s">
        <v>5231</v>
      </c>
      <c r="F2403" t="s">
        <v>16</v>
      </c>
      <c r="G2403">
        <v>10.78</v>
      </c>
      <c r="H2403">
        <v>97</v>
      </c>
      <c r="I2403" t="s">
        <v>36</v>
      </c>
      <c r="J2403" t="s">
        <v>37</v>
      </c>
      <c r="K2403" t="s">
        <v>31</v>
      </c>
      <c r="L2403">
        <v>66</v>
      </c>
      <c r="M2403" t="str">
        <f t="shared" si="74"/>
        <v>Low</v>
      </c>
      <c r="N2403" t="str">
        <f t="shared" si="75"/>
        <v>Excellent</v>
      </c>
    </row>
    <row r="2404" spans="1:14">
      <c r="A2404" t="s">
        <v>47</v>
      </c>
      <c r="B2404">
        <v>2003</v>
      </c>
      <c r="C2404" t="s">
        <v>5232</v>
      </c>
      <c r="D2404" t="s">
        <v>14</v>
      </c>
      <c r="E2404" t="s">
        <v>5233</v>
      </c>
      <c r="F2404" t="s">
        <v>16</v>
      </c>
      <c r="G2404">
        <v>37.200000000000003</v>
      </c>
      <c r="H2404">
        <v>80</v>
      </c>
      <c r="I2404" t="s">
        <v>36</v>
      </c>
      <c r="J2404" t="s">
        <v>24</v>
      </c>
      <c r="K2404" t="s">
        <v>5234</v>
      </c>
      <c r="L2404">
        <v>194</v>
      </c>
      <c r="M2404" t="str">
        <f t="shared" si="74"/>
        <v>High</v>
      </c>
      <c r="N2404" t="str">
        <f t="shared" si="75"/>
        <v>Good</v>
      </c>
    </row>
    <row r="2405" spans="1:14">
      <c r="A2405" t="s">
        <v>20</v>
      </c>
      <c r="B2405">
        <v>2013</v>
      </c>
      <c r="C2405" t="s">
        <v>5235</v>
      </c>
      <c r="D2405" t="s">
        <v>14</v>
      </c>
      <c r="E2405" t="s">
        <v>5236</v>
      </c>
      <c r="F2405" t="s">
        <v>16</v>
      </c>
      <c r="G2405">
        <v>23.02</v>
      </c>
      <c r="H2405">
        <v>53</v>
      </c>
      <c r="I2405" t="s">
        <v>17</v>
      </c>
      <c r="J2405" t="s">
        <v>18</v>
      </c>
      <c r="K2405" t="s">
        <v>298</v>
      </c>
      <c r="L2405">
        <v>236</v>
      </c>
      <c r="M2405" t="str">
        <f t="shared" si="74"/>
        <v>Medium</v>
      </c>
      <c r="N2405" t="str">
        <f t="shared" si="75"/>
        <v>Average</v>
      </c>
    </row>
    <row r="2406" spans="1:14">
      <c r="A2406" t="s">
        <v>47</v>
      </c>
      <c r="B2406">
        <v>2014</v>
      </c>
      <c r="C2406" t="s">
        <v>5237</v>
      </c>
      <c r="D2406" t="s">
        <v>14</v>
      </c>
      <c r="E2406" t="s">
        <v>5238</v>
      </c>
      <c r="F2406" t="s">
        <v>42</v>
      </c>
      <c r="G2406">
        <v>34.36</v>
      </c>
      <c r="H2406">
        <v>80</v>
      </c>
      <c r="I2406" t="s">
        <v>23</v>
      </c>
      <c r="J2406" t="s">
        <v>18</v>
      </c>
      <c r="K2406" t="s">
        <v>2223</v>
      </c>
      <c r="L2406">
        <v>118</v>
      </c>
      <c r="M2406" t="str">
        <f t="shared" si="74"/>
        <v>Medium</v>
      </c>
      <c r="N2406" t="str">
        <f t="shared" si="75"/>
        <v>Good</v>
      </c>
    </row>
    <row r="2407" spans="1:14">
      <c r="A2407" t="s">
        <v>12</v>
      </c>
      <c r="B2407">
        <v>2021</v>
      </c>
      <c r="C2407" t="s">
        <v>5239</v>
      </c>
      <c r="D2407" t="s">
        <v>14</v>
      </c>
      <c r="E2407" t="s">
        <v>3891</v>
      </c>
      <c r="F2407" t="s">
        <v>46</v>
      </c>
      <c r="G2407">
        <v>14.41</v>
      </c>
      <c r="H2407">
        <v>92</v>
      </c>
      <c r="I2407" t="s">
        <v>36</v>
      </c>
      <c r="J2407" t="s">
        <v>37</v>
      </c>
      <c r="K2407" t="s">
        <v>38</v>
      </c>
      <c r="L2407">
        <v>251</v>
      </c>
      <c r="M2407" t="str">
        <f t="shared" si="74"/>
        <v>Low</v>
      </c>
      <c r="N2407" t="str">
        <f t="shared" si="75"/>
        <v>Excellent</v>
      </c>
    </row>
    <row r="2408" spans="1:14">
      <c r="A2408" t="s">
        <v>26</v>
      </c>
      <c r="B2408">
        <v>2024</v>
      </c>
      <c r="C2408" t="s">
        <v>5240</v>
      </c>
      <c r="D2408" t="s">
        <v>33</v>
      </c>
      <c r="E2408" t="s">
        <v>5241</v>
      </c>
      <c r="F2408" t="s">
        <v>35</v>
      </c>
      <c r="G2408">
        <v>17.649999999999999</v>
      </c>
      <c r="H2408">
        <v>89</v>
      </c>
      <c r="I2408" t="s">
        <v>61</v>
      </c>
      <c r="J2408" t="s">
        <v>24</v>
      </c>
      <c r="K2408" t="s">
        <v>846</v>
      </c>
      <c r="L2408">
        <v>335</v>
      </c>
      <c r="M2408" t="str">
        <f t="shared" si="74"/>
        <v>Medium</v>
      </c>
      <c r="N2408" t="str">
        <f t="shared" si="75"/>
        <v>Good</v>
      </c>
    </row>
    <row r="2409" spans="1:14">
      <c r="A2409" t="s">
        <v>12</v>
      </c>
      <c r="B2409">
        <v>2015</v>
      </c>
      <c r="C2409" t="s">
        <v>5242</v>
      </c>
      <c r="D2409" t="s">
        <v>14</v>
      </c>
      <c r="E2409" t="s">
        <v>5243</v>
      </c>
      <c r="F2409" t="s">
        <v>16</v>
      </c>
      <c r="G2409">
        <v>4.93</v>
      </c>
      <c r="H2409">
        <v>65</v>
      </c>
      <c r="I2409" t="s">
        <v>29</v>
      </c>
      <c r="J2409" t="s">
        <v>18</v>
      </c>
      <c r="K2409" t="s">
        <v>51</v>
      </c>
      <c r="L2409">
        <v>276</v>
      </c>
      <c r="M2409" t="str">
        <f t="shared" si="74"/>
        <v>Low</v>
      </c>
      <c r="N2409" t="str">
        <f t="shared" si="75"/>
        <v>Average</v>
      </c>
    </row>
    <row r="2410" spans="1:14">
      <c r="A2410" t="s">
        <v>48</v>
      </c>
      <c r="B2410">
        <v>2019</v>
      </c>
      <c r="C2410" t="s">
        <v>5244</v>
      </c>
      <c r="D2410" t="s">
        <v>14</v>
      </c>
      <c r="E2410" t="s">
        <v>5245</v>
      </c>
      <c r="F2410" t="s">
        <v>42</v>
      </c>
      <c r="G2410">
        <v>41.81</v>
      </c>
      <c r="H2410">
        <v>85</v>
      </c>
      <c r="I2410" t="s">
        <v>17</v>
      </c>
      <c r="J2410" t="s">
        <v>37</v>
      </c>
      <c r="K2410" t="s">
        <v>26</v>
      </c>
      <c r="L2410">
        <v>301</v>
      </c>
      <c r="M2410" t="str">
        <f t="shared" si="74"/>
        <v>High</v>
      </c>
      <c r="N2410" t="str">
        <f t="shared" si="75"/>
        <v>Good</v>
      </c>
    </row>
    <row r="2411" spans="1:14">
      <c r="A2411" t="s">
        <v>68</v>
      </c>
      <c r="B2411">
        <v>2017</v>
      </c>
      <c r="C2411" t="s">
        <v>5246</v>
      </c>
      <c r="D2411" t="s">
        <v>33</v>
      </c>
      <c r="E2411" t="s">
        <v>5247</v>
      </c>
      <c r="F2411" t="s">
        <v>16</v>
      </c>
      <c r="G2411">
        <v>19.559999999999999</v>
      </c>
      <c r="H2411">
        <v>68</v>
      </c>
      <c r="I2411" t="s">
        <v>36</v>
      </c>
      <c r="J2411" t="s">
        <v>24</v>
      </c>
      <c r="K2411" t="s">
        <v>1991</v>
      </c>
      <c r="L2411">
        <v>300</v>
      </c>
      <c r="M2411" t="str">
        <f t="shared" si="74"/>
        <v>Medium</v>
      </c>
      <c r="N2411" t="str">
        <f t="shared" si="75"/>
        <v>Average</v>
      </c>
    </row>
    <row r="2412" spans="1:14">
      <c r="A2412" t="s">
        <v>39</v>
      </c>
      <c r="B2412">
        <v>2007</v>
      </c>
      <c r="C2412" t="s">
        <v>5248</v>
      </c>
      <c r="D2412" t="s">
        <v>14</v>
      </c>
      <c r="E2412" t="s">
        <v>5249</v>
      </c>
      <c r="F2412" t="s">
        <v>46</v>
      </c>
      <c r="G2412">
        <v>8.35</v>
      </c>
      <c r="H2412">
        <v>86</v>
      </c>
      <c r="I2412" t="s">
        <v>29</v>
      </c>
      <c r="J2412" t="s">
        <v>24</v>
      </c>
      <c r="K2412" t="s">
        <v>1385</v>
      </c>
      <c r="L2412">
        <v>142</v>
      </c>
      <c r="M2412" t="str">
        <f t="shared" si="74"/>
        <v>Low</v>
      </c>
      <c r="N2412" t="str">
        <f t="shared" si="75"/>
        <v>Good</v>
      </c>
    </row>
    <row r="2413" spans="1:14">
      <c r="A2413" t="s">
        <v>26</v>
      </c>
      <c r="B2413">
        <v>2020</v>
      </c>
      <c r="C2413" t="s">
        <v>5250</v>
      </c>
      <c r="D2413" t="s">
        <v>33</v>
      </c>
      <c r="E2413" t="s">
        <v>5251</v>
      </c>
      <c r="F2413" t="s">
        <v>35</v>
      </c>
      <c r="G2413">
        <v>17.22</v>
      </c>
      <c r="H2413">
        <v>50</v>
      </c>
      <c r="I2413" t="s">
        <v>29</v>
      </c>
      <c r="J2413" t="s">
        <v>24</v>
      </c>
      <c r="K2413" t="s">
        <v>5252</v>
      </c>
      <c r="L2413">
        <v>138</v>
      </c>
      <c r="M2413" t="str">
        <f t="shared" si="74"/>
        <v>Medium</v>
      </c>
      <c r="N2413" t="str">
        <f t="shared" si="75"/>
        <v>Average</v>
      </c>
    </row>
    <row r="2414" spans="1:14">
      <c r="A2414" t="s">
        <v>31</v>
      </c>
      <c r="B2414">
        <v>2013</v>
      </c>
      <c r="C2414" t="s">
        <v>5253</v>
      </c>
      <c r="D2414" t="s">
        <v>14</v>
      </c>
      <c r="E2414" t="s">
        <v>5254</v>
      </c>
      <c r="F2414" t="s">
        <v>57</v>
      </c>
      <c r="G2414">
        <v>44.8</v>
      </c>
      <c r="H2414">
        <v>81</v>
      </c>
      <c r="I2414" t="s">
        <v>36</v>
      </c>
      <c r="J2414" t="s">
        <v>37</v>
      </c>
      <c r="K2414" t="s">
        <v>48</v>
      </c>
      <c r="L2414">
        <v>193</v>
      </c>
      <c r="M2414" t="str">
        <f t="shared" si="74"/>
        <v>High</v>
      </c>
      <c r="N2414" t="str">
        <f t="shared" si="75"/>
        <v>Good</v>
      </c>
    </row>
    <row r="2415" spans="1:14">
      <c r="A2415" t="s">
        <v>47</v>
      </c>
      <c r="B2415">
        <v>2009</v>
      </c>
      <c r="C2415" t="s">
        <v>5255</v>
      </c>
      <c r="D2415" t="s">
        <v>33</v>
      </c>
      <c r="E2415" t="s">
        <v>2595</v>
      </c>
      <c r="F2415" t="s">
        <v>57</v>
      </c>
      <c r="G2415">
        <v>35.21</v>
      </c>
      <c r="H2415">
        <v>55</v>
      </c>
      <c r="I2415" t="s">
        <v>29</v>
      </c>
      <c r="J2415" t="s">
        <v>37</v>
      </c>
      <c r="K2415" t="s">
        <v>38</v>
      </c>
      <c r="L2415">
        <v>222</v>
      </c>
      <c r="M2415" t="str">
        <f t="shared" si="74"/>
        <v>High</v>
      </c>
      <c r="N2415" t="str">
        <f t="shared" si="75"/>
        <v>Average</v>
      </c>
    </row>
    <row r="2416" spans="1:14">
      <c r="A2416" t="s">
        <v>65</v>
      </c>
      <c r="B2416">
        <v>2008</v>
      </c>
      <c r="C2416" t="s">
        <v>5256</v>
      </c>
      <c r="D2416" t="s">
        <v>33</v>
      </c>
      <c r="E2416" t="s">
        <v>5257</v>
      </c>
      <c r="F2416" t="s">
        <v>35</v>
      </c>
      <c r="G2416">
        <v>13.7</v>
      </c>
      <c r="H2416">
        <v>84</v>
      </c>
      <c r="I2416" t="s">
        <v>29</v>
      </c>
      <c r="J2416" t="s">
        <v>18</v>
      </c>
      <c r="K2416" t="s">
        <v>2439</v>
      </c>
      <c r="L2416">
        <v>105</v>
      </c>
      <c r="M2416" t="str">
        <f t="shared" si="74"/>
        <v>Low</v>
      </c>
      <c r="N2416" t="str">
        <f t="shared" si="75"/>
        <v>Good</v>
      </c>
    </row>
    <row r="2417" spans="1:14">
      <c r="A2417" t="s">
        <v>26</v>
      </c>
      <c r="B2417">
        <v>2022</v>
      </c>
      <c r="C2417" t="s">
        <v>5258</v>
      </c>
      <c r="D2417" t="s">
        <v>14</v>
      </c>
      <c r="E2417" t="s">
        <v>704</v>
      </c>
      <c r="F2417" t="s">
        <v>35</v>
      </c>
      <c r="G2417">
        <v>25.52</v>
      </c>
      <c r="H2417">
        <v>85</v>
      </c>
      <c r="I2417" t="s">
        <v>17</v>
      </c>
      <c r="J2417" t="s">
        <v>24</v>
      </c>
      <c r="K2417" t="s">
        <v>38</v>
      </c>
      <c r="L2417">
        <v>290</v>
      </c>
      <c r="M2417" t="str">
        <f t="shared" si="74"/>
        <v>Medium</v>
      </c>
      <c r="N2417" t="str">
        <f t="shared" si="75"/>
        <v>Good</v>
      </c>
    </row>
    <row r="2418" spans="1:14">
      <c r="A2418" t="s">
        <v>39</v>
      </c>
      <c r="B2418">
        <v>2007</v>
      </c>
      <c r="C2418" t="s">
        <v>5259</v>
      </c>
      <c r="D2418" t="s">
        <v>14</v>
      </c>
      <c r="E2418" t="s">
        <v>5260</v>
      </c>
      <c r="F2418" t="s">
        <v>57</v>
      </c>
      <c r="G2418">
        <v>33.15</v>
      </c>
      <c r="H2418">
        <v>68</v>
      </c>
      <c r="I2418" t="s">
        <v>23</v>
      </c>
      <c r="J2418" t="s">
        <v>37</v>
      </c>
      <c r="K2418" t="s">
        <v>1064</v>
      </c>
      <c r="L2418">
        <v>327</v>
      </c>
      <c r="M2418" t="str">
        <f t="shared" si="74"/>
        <v>Medium</v>
      </c>
      <c r="N2418" t="str">
        <f t="shared" si="75"/>
        <v>Average</v>
      </c>
    </row>
    <row r="2419" spans="1:14">
      <c r="A2419" t="s">
        <v>31</v>
      </c>
      <c r="B2419">
        <v>2023</v>
      </c>
      <c r="C2419" t="s">
        <v>5261</v>
      </c>
      <c r="D2419" t="s">
        <v>14</v>
      </c>
      <c r="E2419" t="s">
        <v>5262</v>
      </c>
      <c r="F2419" t="s">
        <v>16</v>
      </c>
      <c r="G2419">
        <v>8.82</v>
      </c>
      <c r="H2419">
        <v>67</v>
      </c>
      <c r="I2419" t="s">
        <v>23</v>
      </c>
      <c r="J2419" t="s">
        <v>37</v>
      </c>
      <c r="K2419" t="s">
        <v>47</v>
      </c>
      <c r="L2419">
        <v>172</v>
      </c>
      <c r="M2419" t="str">
        <f t="shared" si="74"/>
        <v>Low</v>
      </c>
      <c r="N2419" t="str">
        <f t="shared" si="75"/>
        <v>Average</v>
      </c>
    </row>
    <row r="2420" spans="1:14">
      <c r="A2420" t="s">
        <v>38</v>
      </c>
      <c r="B2420">
        <v>2024</v>
      </c>
      <c r="C2420" t="s">
        <v>5263</v>
      </c>
      <c r="D2420" t="s">
        <v>33</v>
      </c>
      <c r="E2420" t="s">
        <v>5264</v>
      </c>
      <c r="F2420" t="s">
        <v>42</v>
      </c>
      <c r="G2420">
        <v>34.04</v>
      </c>
      <c r="H2420">
        <v>75</v>
      </c>
      <c r="I2420" t="s">
        <v>61</v>
      </c>
      <c r="J2420" t="s">
        <v>18</v>
      </c>
      <c r="K2420" t="s">
        <v>454</v>
      </c>
      <c r="L2420">
        <v>26</v>
      </c>
      <c r="M2420" t="str">
        <f t="shared" si="74"/>
        <v>Medium</v>
      </c>
      <c r="N2420" t="str">
        <f t="shared" si="75"/>
        <v>Good</v>
      </c>
    </row>
    <row r="2421" spans="1:14">
      <c r="A2421" t="s">
        <v>31</v>
      </c>
      <c r="B2421">
        <v>2008</v>
      </c>
      <c r="C2421" t="s">
        <v>5265</v>
      </c>
      <c r="D2421" t="s">
        <v>14</v>
      </c>
      <c r="E2421" t="s">
        <v>5266</v>
      </c>
      <c r="F2421" t="s">
        <v>42</v>
      </c>
      <c r="G2421">
        <v>22.62</v>
      </c>
      <c r="H2421">
        <v>74</v>
      </c>
      <c r="I2421" t="s">
        <v>29</v>
      </c>
      <c r="J2421" t="s">
        <v>37</v>
      </c>
      <c r="K2421" t="s">
        <v>705</v>
      </c>
      <c r="L2421">
        <v>320</v>
      </c>
      <c r="M2421" t="str">
        <f t="shared" si="74"/>
        <v>Medium</v>
      </c>
      <c r="N2421" t="str">
        <f t="shared" si="75"/>
        <v>Average</v>
      </c>
    </row>
    <row r="2422" spans="1:14">
      <c r="A2422" t="s">
        <v>38</v>
      </c>
      <c r="B2422">
        <v>2005</v>
      </c>
      <c r="C2422" t="s">
        <v>5267</v>
      </c>
      <c r="D2422" t="s">
        <v>14</v>
      </c>
      <c r="E2422" t="s">
        <v>5268</v>
      </c>
      <c r="F2422" t="s">
        <v>57</v>
      </c>
      <c r="G2422">
        <v>10.38</v>
      </c>
      <c r="H2422">
        <v>51</v>
      </c>
      <c r="I2422" t="s">
        <v>23</v>
      </c>
      <c r="J2422" t="s">
        <v>18</v>
      </c>
      <c r="K2422" t="s">
        <v>5269</v>
      </c>
      <c r="L2422">
        <v>357</v>
      </c>
      <c r="M2422" t="str">
        <f t="shared" si="74"/>
        <v>Low</v>
      </c>
      <c r="N2422" t="str">
        <f t="shared" si="75"/>
        <v>Average</v>
      </c>
    </row>
    <row r="2423" spans="1:14">
      <c r="A2423" t="s">
        <v>47</v>
      </c>
      <c r="B2423">
        <v>2006</v>
      </c>
      <c r="C2423" t="s">
        <v>5270</v>
      </c>
      <c r="D2423" t="s">
        <v>14</v>
      </c>
      <c r="E2423" t="s">
        <v>5271</v>
      </c>
      <c r="F2423" t="s">
        <v>35</v>
      </c>
      <c r="G2423">
        <v>7.87</v>
      </c>
      <c r="H2423">
        <v>81</v>
      </c>
      <c r="I2423" t="s">
        <v>17</v>
      </c>
      <c r="J2423" t="s">
        <v>18</v>
      </c>
      <c r="K2423" t="s">
        <v>1189</v>
      </c>
      <c r="L2423">
        <v>240</v>
      </c>
      <c r="M2423" t="str">
        <f t="shared" si="74"/>
        <v>Low</v>
      </c>
      <c r="N2423" t="str">
        <f t="shared" si="75"/>
        <v>Good</v>
      </c>
    </row>
    <row r="2424" spans="1:14">
      <c r="A2424" t="s">
        <v>47</v>
      </c>
      <c r="B2424">
        <v>2007</v>
      </c>
      <c r="C2424" t="s">
        <v>5272</v>
      </c>
      <c r="D2424" t="s">
        <v>14</v>
      </c>
      <c r="E2424" t="s">
        <v>5273</v>
      </c>
      <c r="F2424" t="s">
        <v>57</v>
      </c>
      <c r="G2424">
        <v>26.44</v>
      </c>
      <c r="H2424">
        <v>84</v>
      </c>
      <c r="I2424" t="s">
        <v>23</v>
      </c>
      <c r="J2424" t="s">
        <v>18</v>
      </c>
      <c r="K2424" t="s">
        <v>2020</v>
      </c>
      <c r="L2424">
        <v>209</v>
      </c>
      <c r="M2424" t="str">
        <f t="shared" si="74"/>
        <v>Medium</v>
      </c>
      <c r="N2424" t="str">
        <f t="shared" si="75"/>
        <v>Good</v>
      </c>
    </row>
    <row r="2425" spans="1:14">
      <c r="A2425" t="s">
        <v>48</v>
      </c>
      <c r="B2425">
        <v>2006</v>
      </c>
      <c r="C2425" t="s">
        <v>5274</v>
      </c>
      <c r="D2425" t="s">
        <v>14</v>
      </c>
      <c r="E2425" t="s">
        <v>5112</v>
      </c>
      <c r="F2425" t="s">
        <v>42</v>
      </c>
      <c r="G2425">
        <v>26.97</v>
      </c>
      <c r="H2425">
        <v>82</v>
      </c>
      <c r="I2425" t="s">
        <v>23</v>
      </c>
      <c r="J2425" t="s">
        <v>24</v>
      </c>
      <c r="K2425" t="s">
        <v>39</v>
      </c>
      <c r="L2425">
        <v>51</v>
      </c>
      <c r="M2425" t="str">
        <f t="shared" si="74"/>
        <v>Medium</v>
      </c>
      <c r="N2425" t="str">
        <f t="shared" si="75"/>
        <v>Good</v>
      </c>
    </row>
    <row r="2426" spans="1:14">
      <c r="A2426" t="s">
        <v>38</v>
      </c>
      <c r="B2426">
        <v>2001</v>
      </c>
      <c r="C2426" t="s">
        <v>5275</v>
      </c>
      <c r="D2426" t="s">
        <v>14</v>
      </c>
      <c r="E2426" t="s">
        <v>5276</v>
      </c>
      <c r="F2426" t="s">
        <v>46</v>
      </c>
      <c r="G2426">
        <v>41.25</v>
      </c>
      <c r="H2426">
        <v>51</v>
      </c>
      <c r="I2426" t="s">
        <v>29</v>
      </c>
      <c r="J2426" t="s">
        <v>37</v>
      </c>
      <c r="K2426" t="s">
        <v>68</v>
      </c>
      <c r="L2426">
        <v>69</v>
      </c>
      <c r="M2426" t="str">
        <f t="shared" si="74"/>
        <v>High</v>
      </c>
      <c r="N2426" t="str">
        <f t="shared" si="75"/>
        <v>Average</v>
      </c>
    </row>
    <row r="2427" spans="1:14">
      <c r="A2427" t="s">
        <v>31</v>
      </c>
      <c r="B2427">
        <v>2010</v>
      </c>
      <c r="C2427" t="s">
        <v>5277</v>
      </c>
      <c r="D2427" t="s">
        <v>33</v>
      </c>
      <c r="E2427" t="s">
        <v>5278</v>
      </c>
      <c r="F2427" t="s">
        <v>35</v>
      </c>
      <c r="G2427">
        <v>4.79</v>
      </c>
      <c r="H2427">
        <v>93</v>
      </c>
      <c r="I2427" t="s">
        <v>17</v>
      </c>
      <c r="J2427" t="s">
        <v>37</v>
      </c>
      <c r="K2427" t="s">
        <v>2525</v>
      </c>
      <c r="L2427">
        <v>122</v>
      </c>
      <c r="M2427" t="str">
        <f t="shared" si="74"/>
        <v>Low</v>
      </c>
      <c r="N2427" t="str">
        <f t="shared" si="75"/>
        <v>Excellent</v>
      </c>
    </row>
    <row r="2428" spans="1:14">
      <c r="A2428" t="s">
        <v>31</v>
      </c>
      <c r="B2428">
        <v>2004</v>
      </c>
      <c r="C2428" t="s">
        <v>5279</v>
      </c>
      <c r="D2428" t="s">
        <v>14</v>
      </c>
      <c r="E2428" t="s">
        <v>5280</v>
      </c>
      <c r="F2428" t="s">
        <v>16</v>
      </c>
      <c r="G2428">
        <v>10.49</v>
      </c>
      <c r="H2428">
        <v>55</v>
      </c>
      <c r="I2428" t="s">
        <v>36</v>
      </c>
      <c r="J2428" t="s">
        <v>37</v>
      </c>
      <c r="K2428" t="s">
        <v>26</v>
      </c>
      <c r="L2428">
        <v>278</v>
      </c>
      <c r="M2428" t="str">
        <f t="shared" si="74"/>
        <v>Low</v>
      </c>
      <c r="N2428" t="str">
        <f t="shared" si="75"/>
        <v>Average</v>
      </c>
    </row>
    <row r="2429" spans="1:14">
      <c r="A2429" t="s">
        <v>26</v>
      </c>
      <c r="B2429">
        <v>2020</v>
      </c>
      <c r="C2429" t="s">
        <v>5281</v>
      </c>
      <c r="D2429" t="s">
        <v>33</v>
      </c>
      <c r="E2429" t="s">
        <v>5282</v>
      </c>
      <c r="F2429" t="s">
        <v>35</v>
      </c>
      <c r="G2429">
        <v>28.21</v>
      </c>
      <c r="H2429">
        <v>87</v>
      </c>
      <c r="I2429" t="s">
        <v>61</v>
      </c>
      <c r="J2429" t="s">
        <v>24</v>
      </c>
      <c r="K2429" t="s">
        <v>39</v>
      </c>
      <c r="L2429">
        <v>40</v>
      </c>
      <c r="M2429" t="str">
        <f t="shared" si="74"/>
        <v>Medium</v>
      </c>
      <c r="N2429" t="str">
        <f t="shared" si="75"/>
        <v>Good</v>
      </c>
    </row>
    <row r="2430" spans="1:14">
      <c r="A2430" t="s">
        <v>65</v>
      </c>
      <c r="B2430">
        <v>2016</v>
      </c>
      <c r="C2430" t="s">
        <v>5283</v>
      </c>
      <c r="D2430" t="s">
        <v>14</v>
      </c>
      <c r="E2430" t="s">
        <v>5284</v>
      </c>
      <c r="F2430" t="s">
        <v>57</v>
      </c>
      <c r="G2430">
        <v>34.64</v>
      </c>
      <c r="H2430">
        <v>68</v>
      </c>
      <c r="I2430" t="s">
        <v>61</v>
      </c>
      <c r="J2430" t="s">
        <v>24</v>
      </c>
      <c r="K2430" t="s">
        <v>1385</v>
      </c>
      <c r="L2430">
        <v>360</v>
      </c>
      <c r="M2430" t="str">
        <f t="shared" si="74"/>
        <v>Medium</v>
      </c>
      <c r="N2430" t="str">
        <f t="shared" si="75"/>
        <v>Average</v>
      </c>
    </row>
    <row r="2431" spans="1:14">
      <c r="A2431" t="s">
        <v>65</v>
      </c>
      <c r="B2431">
        <v>2015</v>
      </c>
      <c r="C2431" t="s">
        <v>5285</v>
      </c>
      <c r="D2431" t="s">
        <v>33</v>
      </c>
      <c r="E2431" t="s">
        <v>5286</v>
      </c>
      <c r="F2431" t="s">
        <v>35</v>
      </c>
      <c r="G2431">
        <v>34.119999999999997</v>
      </c>
      <c r="H2431">
        <v>50</v>
      </c>
      <c r="I2431" t="s">
        <v>36</v>
      </c>
      <c r="J2431" t="s">
        <v>24</v>
      </c>
      <c r="K2431" t="s">
        <v>20</v>
      </c>
      <c r="L2431">
        <v>34</v>
      </c>
      <c r="M2431" t="str">
        <f t="shared" si="74"/>
        <v>Medium</v>
      </c>
      <c r="N2431" t="str">
        <f t="shared" si="75"/>
        <v>Average</v>
      </c>
    </row>
    <row r="2432" spans="1:14">
      <c r="A2432" t="s">
        <v>47</v>
      </c>
      <c r="B2432">
        <v>2014</v>
      </c>
      <c r="C2432" t="s">
        <v>5287</v>
      </c>
      <c r="D2432" t="s">
        <v>33</v>
      </c>
      <c r="E2432" t="s">
        <v>5288</v>
      </c>
      <c r="F2432" t="s">
        <v>35</v>
      </c>
      <c r="G2432">
        <v>5</v>
      </c>
      <c r="H2432">
        <v>68</v>
      </c>
      <c r="I2432" t="s">
        <v>29</v>
      </c>
      <c r="J2432" t="s">
        <v>18</v>
      </c>
      <c r="K2432" t="s">
        <v>2183</v>
      </c>
      <c r="L2432">
        <v>233</v>
      </c>
      <c r="M2432" t="str">
        <f t="shared" si="74"/>
        <v>Low</v>
      </c>
      <c r="N2432" t="str">
        <f t="shared" si="75"/>
        <v>Average</v>
      </c>
    </row>
    <row r="2433" spans="1:14">
      <c r="A2433" t="s">
        <v>39</v>
      </c>
      <c r="B2433">
        <v>2001</v>
      </c>
      <c r="C2433" t="s">
        <v>5289</v>
      </c>
      <c r="D2433" t="s">
        <v>33</v>
      </c>
      <c r="E2433" t="s">
        <v>5290</v>
      </c>
      <c r="F2433" t="s">
        <v>16</v>
      </c>
      <c r="G2433">
        <v>16.46</v>
      </c>
      <c r="H2433">
        <v>57</v>
      </c>
      <c r="I2433" t="s">
        <v>61</v>
      </c>
      <c r="J2433" t="s">
        <v>18</v>
      </c>
      <c r="K2433" t="s">
        <v>201</v>
      </c>
      <c r="L2433">
        <v>296</v>
      </c>
      <c r="M2433" t="str">
        <f t="shared" si="74"/>
        <v>Medium</v>
      </c>
      <c r="N2433" t="str">
        <f t="shared" si="75"/>
        <v>Average</v>
      </c>
    </row>
    <row r="2434" spans="1:14">
      <c r="A2434" t="s">
        <v>65</v>
      </c>
      <c r="B2434">
        <v>2015</v>
      </c>
      <c r="C2434" t="s">
        <v>5291</v>
      </c>
      <c r="D2434" t="s">
        <v>14</v>
      </c>
      <c r="E2434" t="s">
        <v>5292</v>
      </c>
      <c r="F2434" t="s">
        <v>35</v>
      </c>
      <c r="G2434">
        <v>28.13</v>
      </c>
      <c r="H2434">
        <v>95</v>
      </c>
      <c r="I2434" t="s">
        <v>29</v>
      </c>
      <c r="J2434" t="s">
        <v>18</v>
      </c>
      <c r="K2434" t="s">
        <v>48</v>
      </c>
      <c r="L2434">
        <v>209</v>
      </c>
      <c r="M2434" t="str">
        <f t="shared" si="74"/>
        <v>Medium</v>
      </c>
      <c r="N2434" t="str">
        <f t="shared" si="75"/>
        <v>Excellent</v>
      </c>
    </row>
    <row r="2435" spans="1:14">
      <c r="A2435" t="s">
        <v>26</v>
      </c>
      <c r="B2435">
        <v>2008</v>
      </c>
      <c r="C2435" t="s">
        <v>5293</v>
      </c>
      <c r="D2435" t="s">
        <v>33</v>
      </c>
      <c r="E2435" t="s">
        <v>5294</v>
      </c>
      <c r="F2435" t="s">
        <v>57</v>
      </c>
      <c r="G2435">
        <v>21.3</v>
      </c>
      <c r="H2435">
        <v>83</v>
      </c>
      <c r="I2435" t="s">
        <v>23</v>
      </c>
      <c r="J2435" t="s">
        <v>37</v>
      </c>
      <c r="K2435" t="s">
        <v>279</v>
      </c>
      <c r="L2435">
        <v>325</v>
      </c>
      <c r="M2435" t="str">
        <f t="shared" ref="M2435:M2498" si="76">IF(G2435&lt;15,"Low",IF(G2435&lt;35,"Medium","High"))</f>
        <v>Medium</v>
      </c>
      <c r="N2435" t="str">
        <f t="shared" ref="N2435:N2498" si="77">IF(H2435&gt;=90,"Excellent",IF(H2435&gt;=75,"Good","Average"))</f>
        <v>Good</v>
      </c>
    </row>
    <row r="2436" spans="1:14">
      <c r="A2436" t="s">
        <v>20</v>
      </c>
      <c r="B2436">
        <v>2012</v>
      </c>
      <c r="C2436" t="s">
        <v>5295</v>
      </c>
      <c r="D2436" t="s">
        <v>14</v>
      </c>
      <c r="E2436" t="s">
        <v>1534</v>
      </c>
      <c r="F2436" t="s">
        <v>16</v>
      </c>
      <c r="G2436">
        <v>43.09</v>
      </c>
      <c r="H2436">
        <v>73</v>
      </c>
      <c r="I2436" t="s">
        <v>29</v>
      </c>
      <c r="J2436" t="s">
        <v>18</v>
      </c>
      <c r="K2436" t="s">
        <v>1873</v>
      </c>
      <c r="L2436">
        <v>253</v>
      </c>
      <c r="M2436" t="str">
        <f t="shared" si="76"/>
        <v>High</v>
      </c>
      <c r="N2436" t="str">
        <f t="shared" si="77"/>
        <v>Average</v>
      </c>
    </row>
    <row r="2437" spans="1:14">
      <c r="A2437" t="s">
        <v>65</v>
      </c>
      <c r="B2437">
        <v>2022</v>
      </c>
      <c r="C2437" t="s">
        <v>5296</v>
      </c>
      <c r="D2437" t="s">
        <v>14</v>
      </c>
      <c r="E2437" t="s">
        <v>5045</v>
      </c>
      <c r="F2437" t="s">
        <v>57</v>
      </c>
      <c r="G2437">
        <v>37.909999999999997</v>
      </c>
      <c r="H2437">
        <v>55</v>
      </c>
      <c r="I2437" t="s">
        <v>36</v>
      </c>
      <c r="J2437" t="s">
        <v>18</v>
      </c>
      <c r="K2437" t="s">
        <v>38</v>
      </c>
      <c r="L2437">
        <v>69</v>
      </c>
      <c r="M2437" t="str">
        <f t="shared" si="76"/>
        <v>High</v>
      </c>
      <c r="N2437" t="str">
        <f t="shared" si="77"/>
        <v>Average</v>
      </c>
    </row>
    <row r="2438" spans="1:14">
      <c r="A2438" t="s">
        <v>12</v>
      </c>
      <c r="B2438">
        <v>2008</v>
      </c>
      <c r="C2438" t="s">
        <v>5297</v>
      </c>
      <c r="D2438" t="s">
        <v>33</v>
      </c>
      <c r="E2438" t="s">
        <v>5298</v>
      </c>
      <c r="F2438" t="s">
        <v>16</v>
      </c>
      <c r="G2438">
        <v>3.17</v>
      </c>
      <c r="H2438">
        <v>68</v>
      </c>
      <c r="I2438" t="s">
        <v>23</v>
      </c>
      <c r="J2438" t="s">
        <v>37</v>
      </c>
      <c r="K2438" t="s">
        <v>2644</v>
      </c>
      <c r="L2438">
        <v>178</v>
      </c>
      <c r="M2438" t="str">
        <f t="shared" si="76"/>
        <v>Low</v>
      </c>
      <c r="N2438" t="str">
        <f t="shared" si="77"/>
        <v>Average</v>
      </c>
    </row>
    <row r="2439" spans="1:14">
      <c r="A2439" t="s">
        <v>68</v>
      </c>
      <c r="B2439">
        <v>2006</v>
      </c>
      <c r="C2439" t="s">
        <v>5299</v>
      </c>
      <c r="D2439" t="s">
        <v>14</v>
      </c>
      <c r="E2439" t="s">
        <v>5300</v>
      </c>
      <c r="F2439" t="s">
        <v>57</v>
      </c>
      <c r="G2439">
        <v>0.85</v>
      </c>
      <c r="H2439">
        <v>73</v>
      </c>
      <c r="I2439" t="s">
        <v>36</v>
      </c>
      <c r="J2439" t="s">
        <v>18</v>
      </c>
      <c r="K2439" t="s">
        <v>3957</v>
      </c>
      <c r="L2439">
        <v>334</v>
      </c>
      <c r="M2439" t="str">
        <f t="shared" si="76"/>
        <v>Low</v>
      </c>
      <c r="N2439" t="str">
        <f t="shared" si="77"/>
        <v>Average</v>
      </c>
    </row>
    <row r="2440" spans="1:14">
      <c r="A2440" t="s">
        <v>20</v>
      </c>
      <c r="B2440">
        <v>2022</v>
      </c>
      <c r="C2440" t="s">
        <v>5301</v>
      </c>
      <c r="D2440" t="s">
        <v>33</v>
      </c>
      <c r="E2440" t="s">
        <v>4510</v>
      </c>
      <c r="F2440" t="s">
        <v>57</v>
      </c>
      <c r="G2440">
        <v>5.31</v>
      </c>
      <c r="H2440">
        <v>87</v>
      </c>
      <c r="I2440" t="s">
        <v>61</v>
      </c>
      <c r="J2440" t="s">
        <v>24</v>
      </c>
      <c r="K2440" t="s">
        <v>2106</v>
      </c>
      <c r="L2440">
        <v>142</v>
      </c>
      <c r="M2440" t="str">
        <f t="shared" si="76"/>
        <v>Low</v>
      </c>
      <c r="N2440" t="str">
        <f t="shared" si="77"/>
        <v>Good</v>
      </c>
    </row>
    <row r="2441" spans="1:14">
      <c r="A2441" t="s">
        <v>47</v>
      </c>
      <c r="B2441">
        <v>2022</v>
      </c>
      <c r="C2441" t="s">
        <v>5302</v>
      </c>
      <c r="D2441" t="s">
        <v>14</v>
      </c>
      <c r="E2441" t="s">
        <v>91</v>
      </c>
      <c r="F2441" t="s">
        <v>46</v>
      </c>
      <c r="G2441">
        <v>37.06</v>
      </c>
      <c r="H2441">
        <v>60</v>
      </c>
      <c r="I2441" t="s">
        <v>17</v>
      </c>
      <c r="J2441" t="s">
        <v>37</v>
      </c>
      <c r="K2441" t="s">
        <v>38</v>
      </c>
      <c r="L2441">
        <v>170</v>
      </c>
      <c r="M2441" t="str">
        <f t="shared" si="76"/>
        <v>High</v>
      </c>
      <c r="N2441" t="str">
        <f t="shared" si="77"/>
        <v>Average</v>
      </c>
    </row>
    <row r="2442" spans="1:14">
      <c r="A2442" t="s">
        <v>38</v>
      </c>
      <c r="B2442">
        <v>2012</v>
      </c>
      <c r="C2442" t="s">
        <v>5303</v>
      </c>
      <c r="D2442" t="s">
        <v>33</v>
      </c>
      <c r="E2442" t="s">
        <v>1837</v>
      </c>
      <c r="F2442" t="s">
        <v>42</v>
      </c>
      <c r="G2442">
        <v>10.86</v>
      </c>
      <c r="H2442">
        <v>70</v>
      </c>
      <c r="I2442" t="s">
        <v>29</v>
      </c>
      <c r="J2442" t="s">
        <v>37</v>
      </c>
      <c r="K2442" t="s">
        <v>173</v>
      </c>
      <c r="L2442">
        <v>2</v>
      </c>
      <c r="M2442" t="str">
        <f t="shared" si="76"/>
        <v>Low</v>
      </c>
      <c r="N2442" t="str">
        <f t="shared" si="77"/>
        <v>Average</v>
      </c>
    </row>
    <row r="2443" spans="1:14">
      <c r="A2443" t="s">
        <v>12</v>
      </c>
      <c r="B2443">
        <v>2004</v>
      </c>
      <c r="C2443" t="s">
        <v>5304</v>
      </c>
      <c r="D2443" t="s">
        <v>14</v>
      </c>
      <c r="E2443" t="s">
        <v>4428</v>
      </c>
      <c r="F2443" t="s">
        <v>57</v>
      </c>
      <c r="G2443">
        <v>16.7</v>
      </c>
      <c r="H2443">
        <v>60</v>
      </c>
      <c r="I2443" t="s">
        <v>61</v>
      </c>
      <c r="J2443" t="s">
        <v>24</v>
      </c>
      <c r="K2443" t="s">
        <v>31</v>
      </c>
      <c r="L2443">
        <v>271</v>
      </c>
      <c r="M2443" t="str">
        <f t="shared" si="76"/>
        <v>Medium</v>
      </c>
      <c r="N2443" t="str">
        <f t="shared" si="77"/>
        <v>Average</v>
      </c>
    </row>
    <row r="2444" spans="1:14">
      <c r="A2444" t="s">
        <v>12</v>
      </c>
      <c r="B2444">
        <v>2005</v>
      </c>
      <c r="C2444" t="s">
        <v>5305</v>
      </c>
      <c r="D2444" t="s">
        <v>33</v>
      </c>
      <c r="E2444" t="s">
        <v>5306</v>
      </c>
      <c r="F2444" t="s">
        <v>57</v>
      </c>
      <c r="G2444">
        <v>48.71</v>
      </c>
      <c r="H2444">
        <v>76</v>
      </c>
      <c r="I2444" t="s">
        <v>36</v>
      </c>
      <c r="J2444" t="s">
        <v>18</v>
      </c>
      <c r="K2444" t="s">
        <v>3640</v>
      </c>
      <c r="L2444">
        <v>199</v>
      </c>
      <c r="M2444" t="str">
        <f t="shared" si="76"/>
        <v>High</v>
      </c>
      <c r="N2444" t="str">
        <f t="shared" si="77"/>
        <v>Good</v>
      </c>
    </row>
    <row r="2445" spans="1:14">
      <c r="A2445" t="s">
        <v>47</v>
      </c>
      <c r="B2445">
        <v>2015</v>
      </c>
      <c r="C2445" t="s">
        <v>5307</v>
      </c>
      <c r="D2445" t="s">
        <v>14</v>
      </c>
      <c r="E2445" t="s">
        <v>5308</v>
      </c>
      <c r="F2445" t="s">
        <v>46</v>
      </c>
      <c r="G2445">
        <v>32.36</v>
      </c>
      <c r="H2445">
        <v>70</v>
      </c>
      <c r="I2445" t="s">
        <v>36</v>
      </c>
      <c r="J2445" t="s">
        <v>18</v>
      </c>
      <c r="K2445" t="s">
        <v>1853</v>
      </c>
      <c r="L2445">
        <v>39</v>
      </c>
      <c r="M2445" t="str">
        <f t="shared" si="76"/>
        <v>Medium</v>
      </c>
      <c r="N2445" t="str">
        <f t="shared" si="77"/>
        <v>Average</v>
      </c>
    </row>
    <row r="2446" spans="1:14">
      <c r="A2446" t="s">
        <v>12</v>
      </c>
      <c r="B2446">
        <v>2004</v>
      </c>
      <c r="C2446" t="s">
        <v>5309</v>
      </c>
      <c r="D2446" t="s">
        <v>33</v>
      </c>
      <c r="E2446" t="s">
        <v>5310</v>
      </c>
      <c r="F2446" t="s">
        <v>57</v>
      </c>
      <c r="G2446">
        <v>8.7799999999999994</v>
      </c>
      <c r="H2446">
        <v>71</v>
      </c>
      <c r="I2446" t="s">
        <v>61</v>
      </c>
      <c r="J2446" t="s">
        <v>37</v>
      </c>
      <c r="K2446" t="s">
        <v>667</v>
      </c>
      <c r="L2446">
        <v>330</v>
      </c>
      <c r="M2446" t="str">
        <f t="shared" si="76"/>
        <v>Low</v>
      </c>
      <c r="N2446" t="str">
        <f t="shared" si="77"/>
        <v>Average</v>
      </c>
    </row>
    <row r="2447" spans="1:14">
      <c r="A2447" t="s">
        <v>31</v>
      </c>
      <c r="B2447">
        <v>2001</v>
      </c>
      <c r="C2447" t="s">
        <v>5311</v>
      </c>
      <c r="D2447" t="s">
        <v>33</v>
      </c>
      <c r="E2447" t="s">
        <v>5312</v>
      </c>
      <c r="F2447" t="s">
        <v>42</v>
      </c>
      <c r="G2447">
        <v>1.93</v>
      </c>
      <c r="H2447">
        <v>90</v>
      </c>
      <c r="I2447" t="s">
        <v>36</v>
      </c>
      <c r="J2447" t="s">
        <v>24</v>
      </c>
      <c r="K2447" t="s">
        <v>84</v>
      </c>
      <c r="L2447">
        <v>209</v>
      </c>
      <c r="M2447" t="str">
        <f t="shared" si="76"/>
        <v>Low</v>
      </c>
      <c r="N2447" t="str">
        <f t="shared" si="77"/>
        <v>Excellent</v>
      </c>
    </row>
    <row r="2448" spans="1:14">
      <c r="A2448" t="s">
        <v>31</v>
      </c>
      <c r="B2448">
        <v>2009</v>
      </c>
      <c r="C2448" t="s">
        <v>5313</v>
      </c>
      <c r="D2448" t="s">
        <v>14</v>
      </c>
      <c r="E2448" t="s">
        <v>5314</v>
      </c>
      <c r="F2448" t="s">
        <v>42</v>
      </c>
      <c r="G2448">
        <v>38.92</v>
      </c>
      <c r="H2448">
        <v>78</v>
      </c>
      <c r="I2448" t="s">
        <v>61</v>
      </c>
      <c r="J2448" t="s">
        <v>24</v>
      </c>
      <c r="K2448" t="s">
        <v>5315</v>
      </c>
      <c r="L2448">
        <v>316</v>
      </c>
      <c r="M2448" t="str">
        <f t="shared" si="76"/>
        <v>High</v>
      </c>
      <c r="N2448" t="str">
        <f t="shared" si="77"/>
        <v>Good</v>
      </c>
    </row>
    <row r="2449" spans="1:14">
      <c r="A2449" t="s">
        <v>26</v>
      </c>
      <c r="B2449">
        <v>2005</v>
      </c>
      <c r="C2449" t="s">
        <v>5316</v>
      </c>
      <c r="D2449" t="s">
        <v>14</v>
      </c>
      <c r="E2449" t="s">
        <v>5317</v>
      </c>
      <c r="F2449" t="s">
        <v>42</v>
      </c>
      <c r="G2449">
        <v>37.67</v>
      </c>
      <c r="H2449">
        <v>76</v>
      </c>
      <c r="I2449" t="s">
        <v>23</v>
      </c>
      <c r="J2449" t="s">
        <v>24</v>
      </c>
      <c r="K2449" t="s">
        <v>48</v>
      </c>
      <c r="L2449">
        <v>351</v>
      </c>
      <c r="M2449" t="str">
        <f t="shared" si="76"/>
        <v>High</v>
      </c>
      <c r="N2449" t="str">
        <f t="shared" si="77"/>
        <v>Good</v>
      </c>
    </row>
    <row r="2450" spans="1:14">
      <c r="A2450" t="s">
        <v>12</v>
      </c>
      <c r="B2450">
        <v>2006</v>
      </c>
      <c r="C2450" t="s">
        <v>5318</v>
      </c>
      <c r="D2450" t="s">
        <v>14</v>
      </c>
      <c r="E2450" t="s">
        <v>5319</v>
      </c>
      <c r="F2450" t="s">
        <v>16</v>
      </c>
      <c r="G2450">
        <v>48.28</v>
      </c>
      <c r="H2450">
        <v>95</v>
      </c>
      <c r="I2450" t="s">
        <v>61</v>
      </c>
      <c r="J2450" t="s">
        <v>37</v>
      </c>
      <c r="K2450" t="s">
        <v>26</v>
      </c>
      <c r="L2450">
        <v>215</v>
      </c>
      <c r="M2450" t="str">
        <f t="shared" si="76"/>
        <v>High</v>
      </c>
      <c r="N2450" t="str">
        <f t="shared" si="77"/>
        <v>Excellent</v>
      </c>
    </row>
    <row r="2451" spans="1:14">
      <c r="A2451" t="s">
        <v>31</v>
      </c>
      <c r="B2451">
        <v>2013</v>
      </c>
      <c r="C2451" t="s">
        <v>5320</v>
      </c>
      <c r="D2451" t="s">
        <v>14</v>
      </c>
      <c r="E2451" t="s">
        <v>4116</v>
      </c>
      <c r="F2451" t="s">
        <v>42</v>
      </c>
      <c r="G2451">
        <v>36.119999999999997</v>
      </c>
      <c r="H2451">
        <v>98</v>
      </c>
      <c r="I2451" t="s">
        <v>29</v>
      </c>
      <c r="J2451" t="s">
        <v>18</v>
      </c>
      <c r="K2451" t="s">
        <v>48</v>
      </c>
      <c r="L2451">
        <v>122</v>
      </c>
      <c r="M2451" t="str">
        <f t="shared" si="76"/>
        <v>High</v>
      </c>
      <c r="N2451" t="str">
        <f t="shared" si="77"/>
        <v>Excellent</v>
      </c>
    </row>
    <row r="2452" spans="1:14">
      <c r="A2452" t="s">
        <v>68</v>
      </c>
      <c r="B2452">
        <v>2003</v>
      </c>
      <c r="C2452" t="s">
        <v>5321</v>
      </c>
      <c r="D2452" t="s">
        <v>33</v>
      </c>
      <c r="E2452" t="s">
        <v>5322</v>
      </c>
      <c r="F2452" t="s">
        <v>46</v>
      </c>
      <c r="G2452">
        <v>45.83</v>
      </c>
      <c r="H2452">
        <v>82</v>
      </c>
      <c r="I2452" t="s">
        <v>29</v>
      </c>
      <c r="J2452" t="s">
        <v>18</v>
      </c>
      <c r="K2452" t="s">
        <v>3832</v>
      </c>
      <c r="L2452">
        <v>158</v>
      </c>
      <c r="M2452" t="str">
        <f t="shared" si="76"/>
        <v>High</v>
      </c>
      <c r="N2452" t="str">
        <f t="shared" si="77"/>
        <v>Good</v>
      </c>
    </row>
    <row r="2453" spans="1:14">
      <c r="A2453" t="s">
        <v>68</v>
      </c>
      <c r="B2453">
        <v>2017</v>
      </c>
      <c r="C2453" t="s">
        <v>5323</v>
      </c>
      <c r="D2453" t="s">
        <v>33</v>
      </c>
      <c r="E2453" t="s">
        <v>5324</v>
      </c>
      <c r="F2453" t="s">
        <v>42</v>
      </c>
      <c r="G2453">
        <v>33.17</v>
      </c>
      <c r="H2453">
        <v>89</v>
      </c>
      <c r="I2453" t="s">
        <v>23</v>
      </c>
      <c r="J2453" t="s">
        <v>37</v>
      </c>
      <c r="K2453" t="s">
        <v>47</v>
      </c>
      <c r="L2453">
        <v>352</v>
      </c>
      <c r="M2453" t="str">
        <f t="shared" si="76"/>
        <v>Medium</v>
      </c>
      <c r="N2453" t="str">
        <f t="shared" si="77"/>
        <v>Good</v>
      </c>
    </row>
    <row r="2454" spans="1:14">
      <c r="A2454" t="s">
        <v>38</v>
      </c>
      <c r="B2454">
        <v>2011</v>
      </c>
      <c r="C2454" t="s">
        <v>5325</v>
      </c>
      <c r="D2454" t="s">
        <v>14</v>
      </c>
      <c r="E2454" t="s">
        <v>5326</v>
      </c>
      <c r="F2454" t="s">
        <v>42</v>
      </c>
      <c r="G2454">
        <v>42.82</v>
      </c>
      <c r="H2454">
        <v>100</v>
      </c>
      <c r="I2454" t="s">
        <v>29</v>
      </c>
      <c r="J2454" t="s">
        <v>18</v>
      </c>
      <c r="K2454" t="s">
        <v>667</v>
      </c>
      <c r="L2454">
        <v>108</v>
      </c>
      <c r="M2454" t="str">
        <f t="shared" si="76"/>
        <v>High</v>
      </c>
      <c r="N2454" t="str">
        <f t="shared" si="77"/>
        <v>Excellent</v>
      </c>
    </row>
    <row r="2455" spans="1:14">
      <c r="A2455" t="s">
        <v>31</v>
      </c>
      <c r="B2455">
        <v>2002</v>
      </c>
      <c r="C2455" t="s">
        <v>5327</v>
      </c>
      <c r="D2455" t="s">
        <v>14</v>
      </c>
      <c r="E2455" t="s">
        <v>1632</v>
      </c>
      <c r="F2455" t="s">
        <v>57</v>
      </c>
      <c r="G2455">
        <v>11.75</v>
      </c>
      <c r="H2455">
        <v>60</v>
      </c>
      <c r="I2455" t="s">
        <v>23</v>
      </c>
      <c r="J2455" t="s">
        <v>18</v>
      </c>
      <c r="K2455" t="s">
        <v>1032</v>
      </c>
      <c r="L2455">
        <v>36</v>
      </c>
      <c r="M2455" t="str">
        <f t="shared" si="76"/>
        <v>Low</v>
      </c>
      <c r="N2455" t="str">
        <f t="shared" si="77"/>
        <v>Average</v>
      </c>
    </row>
    <row r="2456" spans="1:14">
      <c r="A2456" t="s">
        <v>39</v>
      </c>
      <c r="B2456">
        <v>2008</v>
      </c>
      <c r="C2456" t="s">
        <v>5328</v>
      </c>
      <c r="D2456" t="s">
        <v>14</v>
      </c>
      <c r="E2456" t="s">
        <v>5329</v>
      </c>
      <c r="F2456" t="s">
        <v>35</v>
      </c>
      <c r="G2456">
        <v>42.55</v>
      </c>
      <c r="H2456">
        <v>71</v>
      </c>
      <c r="I2456" t="s">
        <v>29</v>
      </c>
      <c r="J2456" t="s">
        <v>18</v>
      </c>
      <c r="K2456" t="s">
        <v>26</v>
      </c>
      <c r="L2456">
        <v>141</v>
      </c>
      <c r="M2456" t="str">
        <f t="shared" si="76"/>
        <v>High</v>
      </c>
      <c r="N2456" t="str">
        <f t="shared" si="77"/>
        <v>Average</v>
      </c>
    </row>
    <row r="2457" spans="1:14">
      <c r="A2457" t="s">
        <v>12</v>
      </c>
      <c r="B2457">
        <v>2004</v>
      </c>
      <c r="C2457" t="s">
        <v>5330</v>
      </c>
      <c r="D2457" t="s">
        <v>33</v>
      </c>
      <c r="E2457" t="s">
        <v>5331</v>
      </c>
      <c r="F2457" t="s">
        <v>16</v>
      </c>
      <c r="G2457">
        <v>25.84</v>
      </c>
      <c r="H2457">
        <v>70</v>
      </c>
      <c r="I2457" t="s">
        <v>29</v>
      </c>
      <c r="J2457" t="s">
        <v>18</v>
      </c>
      <c r="K2457" t="s">
        <v>220</v>
      </c>
      <c r="L2457">
        <v>81</v>
      </c>
      <c r="M2457" t="str">
        <f t="shared" si="76"/>
        <v>Medium</v>
      </c>
      <c r="N2457" t="str">
        <f t="shared" si="77"/>
        <v>Average</v>
      </c>
    </row>
    <row r="2458" spans="1:14">
      <c r="A2458" t="s">
        <v>26</v>
      </c>
      <c r="B2458">
        <v>2018</v>
      </c>
      <c r="C2458" t="s">
        <v>5332</v>
      </c>
      <c r="D2458" t="s">
        <v>14</v>
      </c>
      <c r="E2458" t="s">
        <v>5333</v>
      </c>
      <c r="F2458" t="s">
        <v>46</v>
      </c>
      <c r="G2458">
        <v>36.71</v>
      </c>
      <c r="H2458">
        <v>61</v>
      </c>
      <c r="I2458" t="s">
        <v>61</v>
      </c>
      <c r="J2458" t="s">
        <v>24</v>
      </c>
      <c r="K2458" t="s">
        <v>667</v>
      </c>
      <c r="L2458">
        <v>53</v>
      </c>
      <c r="M2458" t="str">
        <f t="shared" si="76"/>
        <v>High</v>
      </c>
      <c r="N2458" t="str">
        <f t="shared" si="77"/>
        <v>Average</v>
      </c>
    </row>
    <row r="2459" spans="1:14">
      <c r="A2459" t="s">
        <v>26</v>
      </c>
      <c r="B2459">
        <v>2000</v>
      </c>
      <c r="C2459" t="s">
        <v>5334</v>
      </c>
      <c r="D2459" t="s">
        <v>33</v>
      </c>
      <c r="E2459" t="s">
        <v>5335</v>
      </c>
      <c r="F2459" t="s">
        <v>57</v>
      </c>
      <c r="G2459">
        <v>20.27</v>
      </c>
      <c r="H2459">
        <v>66</v>
      </c>
      <c r="I2459" t="s">
        <v>23</v>
      </c>
      <c r="J2459" t="s">
        <v>24</v>
      </c>
      <c r="K2459" t="s">
        <v>3942</v>
      </c>
      <c r="L2459">
        <v>2</v>
      </c>
      <c r="M2459" t="str">
        <f t="shared" si="76"/>
        <v>Medium</v>
      </c>
      <c r="N2459" t="str">
        <f t="shared" si="77"/>
        <v>Average</v>
      </c>
    </row>
    <row r="2460" spans="1:14">
      <c r="A2460" t="s">
        <v>26</v>
      </c>
      <c r="B2460">
        <v>2012</v>
      </c>
      <c r="C2460" t="s">
        <v>5336</v>
      </c>
      <c r="D2460" t="s">
        <v>14</v>
      </c>
      <c r="E2460" t="s">
        <v>5337</v>
      </c>
      <c r="F2460" t="s">
        <v>46</v>
      </c>
      <c r="G2460">
        <v>15.17</v>
      </c>
      <c r="H2460">
        <v>78</v>
      </c>
      <c r="I2460" t="s">
        <v>23</v>
      </c>
      <c r="J2460" t="s">
        <v>37</v>
      </c>
      <c r="K2460" t="s">
        <v>314</v>
      </c>
      <c r="L2460">
        <v>248</v>
      </c>
      <c r="M2460" t="str">
        <f t="shared" si="76"/>
        <v>Medium</v>
      </c>
      <c r="N2460" t="str">
        <f t="shared" si="77"/>
        <v>Good</v>
      </c>
    </row>
    <row r="2461" spans="1:14">
      <c r="A2461" t="s">
        <v>48</v>
      </c>
      <c r="B2461">
        <v>2024</v>
      </c>
      <c r="C2461" t="s">
        <v>5338</v>
      </c>
      <c r="D2461" t="s">
        <v>33</v>
      </c>
      <c r="E2461" t="s">
        <v>5339</v>
      </c>
      <c r="F2461" t="s">
        <v>42</v>
      </c>
      <c r="G2461">
        <v>12.38</v>
      </c>
      <c r="H2461">
        <v>73</v>
      </c>
      <c r="I2461" t="s">
        <v>17</v>
      </c>
      <c r="J2461" t="s">
        <v>37</v>
      </c>
      <c r="K2461" t="s">
        <v>687</v>
      </c>
      <c r="L2461">
        <v>164</v>
      </c>
      <c r="M2461" t="str">
        <f t="shared" si="76"/>
        <v>Low</v>
      </c>
      <c r="N2461" t="str">
        <f t="shared" si="77"/>
        <v>Average</v>
      </c>
    </row>
    <row r="2462" spans="1:14">
      <c r="A2462" t="s">
        <v>31</v>
      </c>
      <c r="B2462">
        <v>2006</v>
      </c>
      <c r="C2462" t="s">
        <v>5340</v>
      </c>
      <c r="D2462" t="s">
        <v>33</v>
      </c>
      <c r="E2462" t="s">
        <v>5341</v>
      </c>
      <c r="F2462" t="s">
        <v>16</v>
      </c>
      <c r="G2462">
        <v>23.3</v>
      </c>
      <c r="H2462">
        <v>56</v>
      </c>
      <c r="I2462" t="s">
        <v>17</v>
      </c>
      <c r="J2462" t="s">
        <v>18</v>
      </c>
      <c r="K2462" t="s">
        <v>3957</v>
      </c>
      <c r="L2462">
        <v>169</v>
      </c>
      <c r="M2462" t="str">
        <f t="shared" si="76"/>
        <v>Medium</v>
      </c>
      <c r="N2462" t="str">
        <f t="shared" si="77"/>
        <v>Average</v>
      </c>
    </row>
    <row r="2463" spans="1:14">
      <c r="A2463" t="s">
        <v>20</v>
      </c>
      <c r="B2463">
        <v>2022</v>
      </c>
      <c r="C2463" t="s">
        <v>5342</v>
      </c>
      <c r="D2463" t="s">
        <v>33</v>
      </c>
      <c r="E2463" t="s">
        <v>5343</v>
      </c>
      <c r="F2463" t="s">
        <v>46</v>
      </c>
      <c r="G2463">
        <v>14.89</v>
      </c>
      <c r="H2463">
        <v>78</v>
      </c>
      <c r="I2463" t="s">
        <v>23</v>
      </c>
      <c r="J2463" t="s">
        <v>37</v>
      </c>
      <c r="K2463" t="s">
        <v>314</v>
      </c>
      <c r="L2463">
        <v>310</v>
      </c>
      <c r="M2463" t="str">
        <f t="shared" si="76"/>
        <v>Low</v>
      </c>
      <c r="N2463" t="str">
        <f t="shared" si="77"/>
        <v>Good</v>
      </c>
    </row>
    <row r="2464" spans="1:14">
      <c r="A2464" t="s">
        <v>31</v>
      </c>
      <c r="B2464">
        <v>2011</v>
      </c>
      <c r="C2464" t="s">
        <v>5344</v>
      </c>
      <c r="D2464" t="s">
        <v>14</v>
      </c>
      <c r="E2464" t="s">
        <v>4463</v>
      </c>
      <c r="F2464" t="s">
        <v>16</v>
      </c>
      <c r="G2464">
        <v>22.49</v>
      </c>
      <c r="H2464">
        <v>64</v>
      </c>
      <c r="I2464" t="s">
        <v>61</v>
      </c>
      <c r="J2464" t="s">
        <v>24</v>
      </c>
      <c r="K2464" t="s">
        <v>48</v>
      </c>
      <c r="L2464">
        <v>150</v>
      </c>
      <c r="M2464" t="str">
        <f t="shared" si="76"/>
        <v>Medium</v>
      </c>
      <c r="N2464" t="str">
        <f t="shared" si="77"/>
        <v>Average</v>
      </c>
    </row>
    <row r="2465" spans="1:14">
      <c r="A2465" t="s">
        <v>12</v>
      </c>
      <c r="B2465">
        <v>2015</v>
      </c>
      <c r="C2465" t="s">
        <v>5345</v>
      </c>
      <c r="D2465" t="s">
        <v>33</v>
      </c>
      <c r="E2465" t="s">
        <v>5346</v>
      </c>
      <c r="F2465" t="s">
        <v>42</v>
      </c>
      <c r="G2465">
        <v>24.79</v>
      </c>
      <c r="H2465">
        <v>84</v>
      </c>
      <c r="I2465" t="s">
        <v>29</v>
      </c>
      <c r="J2465" t="s">
        <v>24</v>
      </c>
      <c r="K2465" t="s">
        <v>2815</v>
      </c>
      <c r="L2465">
        <v>132</v>
      </c>
      <c r="M2465" t="str">
        <f t="shared" si="76"/>
        <v>Medium</v>
      </c>
      <c r="N2465" t="str">
        <f t="shared" si="77"/>
        <v>Good</v>
      </c>
    </row>
    <row r="2466" spans="1:14">
      <c r="A2466" t="s">
        <v>48</v>
      </c>
      <c r="B2466">
        <v>2023</v>
      </c>
      <c r="C2466" t="s">
        <v>5347</v>
      </c>
      <c r="D2466" t="s">
        <v>33</v>
      </c>
      <c r="E2466" t="s">
        <v>5348</v>
      </c>
      <c r="F2466" t="s">
        <v>46</v>
      </c>
      <c r="G2466">
        <v>17.170000000000002</v>
      </c>
      <c r="H2466">
        <v>51</v>
      </c>
      <c r="I2466" t="s">
        <v>29</v>
      </c>
      <c r="J2466" t="s">
        <v>24</v>
      </c>
      <c r="K2466" t="s">
        <v>47</v>
      </c>
      <c r="L2466">
        <v>39</v>
      </c>
      <c r="M2466" t="str">
        <f t="shared" si="76"/>
        <v>Medium</v>
      </c>
      <c r="N2466" t="str">
        <f t="shared" si="77"/>
        <v>Average</v>
      </c>
    </row>
    <row r="2467" spans="1:14">
      <c r="A2467" t="s">
        <v>47</v>
      </c>
      <c r="B2467">
        <v>2021</v>
      </c>
      <c r="C2467" t="s">
        <v>5349</v>
      </c>
      <c r="D2467" t="s">
        <v>14</v>
      </c>
      <c r="E2467" t="s">
        <v>5350</v>
      </c>
      <c r="F2467" t="s">
        <v>16</v>
      </c>
      <c r="G2467">
        <v>47.11</v>
      </c>
      <c r="H2467">
        <v>98</v>
      </c>
      <c r="I2467" t="s">
        <v>23</v>
      </c>
      <c r="J2467" t="s">
        <v>24</v>
      </c>
      <c r="K2467" t="s">
        <v>831</v>
      </c>
      <c r="L2467">
        <v>139</v>
      </c>
      <c r="M2467" t="str">
        <f t="shared" si="76"/>
        <v>High</v>
      </c>
      <c r="N2467" t="str">
        <f t="shared" si="77"/>
        <v>Excellent</v>
      </c>
    </row>
    <row r="2468" spans="1:14">
      <c r="A2468" t="s">
        <v>65</v>
      </c>
      <c r="B2468">
        <v>2012</v>
      </c>
      <c r="C2468" t="s">
        <v>5351</v>
      </c>
      <c r="D2468" t="s">
        <v>14</v>
      </c>
      <c r="E2468" t="s">
        <v>5352</v>
      </c>
      <c r="F2468" t="s">
        <v>35</v>
      </c>
      <c r="G2468">
        <v>0.62</v>
      </c>
      <c r="H2468">
        <v>53</v>
      </c>
      <c r="I2468" t="s">
        <v>36</v>
      </c>
      <c r="J2468" t="s">
        <v>24</v>
      </c>
      <c r="K2468" t="s">
        <v>574</v>
      </c>
      <c r="L2468">
        <v>349</v>
      </c>
      <c r="M2468" t="str">
        <f t="shared" si="76"/>
        <v>Low</v>
      </c>
      <c r="N2468" t="str">
        <f t="shared" si="77"/>
        <v>Average</v>
      </c>
    </row>
    <row r="2469" spans="1:14">
      <c r="A2469" t="s">
        <v>12</v>
      </c>
      <c r="B2469">
        <v>2018</v>
      </c>
      <c r="C2469" t="s">
        <v>5353</v>
      </c>
      <c r="D2469" t="s">
        <v>33</v>
      </c>
      <c r="E2469" t="s">
        <v>5354</v>
      </c>
      <c r="F2469" t="s">
        <v>42</v>
      </c>
      <c r="G2469">
        <v>46.9</v>
      </c>
      <c r="H2469">
        <v>58</v>
      </c>
      <c r="I2469" t="s">
        <v>23</v>
      </c>
      <c r="J2469" t="s">
        <v>18</v>
      </c>
      <c r="K2469" t="s">
        <v>38</v>
      </c>
      <c r="L2469">
        <v>42</v>
      </c>
      <c r="M2469" t="str">
        <f t="shared" si="76"/>
        <v>High</v>
      </c>
      <c r="N2469" t="str">
        <f t="shared" si="77"/>
        <v>Average</v>
      </c>
    </row>
    <row r="2470" spans="1:14">
      <c r="A2470" t="s">
        <v>47</v>
      </c>
      <c r="B2470">
        <v>2007</v>
      </c>
      <c r="C2470" t="s">
        <v>5355</v>
      </c>
      <c r="D2470" t="s">
        <v>14</v>
      </c>
      <c r="E2470" t="s">
        <v>5356</v>
      </c>
      <c r="F2470" t="s">
        <v>42</v>
      </c>
      <c r="G2470">
        <v>30.25</v>
      </c>
      <c r="H2470">
        <v>82</v>
      </c>
      <c r="I2470" t="s">
        <v>29</v>
      </c>
      <c r="J2470" t="s">
        <v>18</v>
      </c>
      <c r="K2470" t="s">
        <v>1180</v>
      </c>
      <c r="L2470">
        <v>33</v>
      </c>
      <c r="M2470" t="str">
        <f t="shared" si="76"/>
        <v>Medium</v>
      </c>
      <c r="N2470" t="str">
        <f t="shared" si="77"/>
        <v>Good</v>
      </c>
    </row>
    <row r="2471" spans="1:14">
      <c r="A2471" t="s">
        <v>26</v>
      </c>
      <c r="B2471">
        <v>2003</v>
      </c>
      <c r="C2471" t="s">
        <v>5357</v>
      </c>
      <c r="D2471" t="s">
        <v>14</v>
      </c>
      <c r="E2471" t="s">
        <v>1098</v>
      </c>
      <c r="F2471" t="s">
        <v>35</v>
      </c>
      <c r="G2471">
        <v>21.75</v>
      </c>
      <c r="H2471">
        <v>76</v>
      </c>
      <c r="I2471" t="s">
        <v>29</v>
      </c>
      <c r="J2471" t="s">
        <v>18</v>
      </c>
      <c r="K2471" t="s">
        <v>68</v>
      </c>
      <c r="L2471">
        <v>33</v>
      </c>
      <c r="M2471" t="str">
        <f t="shared" si="76"/>
        <v>Medium</v>
      </c>
      <c r="N2471" t="str">
        <f t="shared" si="77"/>
        <v>Good</v>
      </c>
    </row>
    <row r="2472" spans="1:14">
      <c r="A2472" t="s">
        <v>39</v>
      </c>
      <c r="B2472">
        <v>2007</v>
      </c>
      <c r="C2472" t="s">
        <v>5358</v>
      </c>
      <c r="D2472" t="s">
        <v>14</v>
      </c>
      <c r="E2472" t="s">
        <v>5359</v>
      </c>
      <c r="F2472" t="s">
        <v>35</v>
      </c>
      <c r="G2472">
        <v>24.88</v>
      </c>
      <c r="H2472">
        <v>54</v>
      </c>
      <c r="I2472" t="s">
        <v>17</v>
      </c>
      <c r="J2472" t="s">
        <v>18</v>
      </c>
      <c r="K2472" t="s">
        <v>20</v>
      </c>
      <c r="L2472">
        <v>218</v>
      </c>
      <c r="M2472" t="str">
        <f t="shared" si="76"/>
        <v>Medium</v>
      </c>
      <c r="N2472" t="str">
        <f t="shared" si="77"/>
        <v>Average</v>
      </c>
    </row>
    <row r="2473" spans="1:14">
      <c r="A2473" t="s">
        <v>31</v>
      </c>
      <c r="B2473">
        <v>2012</v>
      </c>
      <c r="C2473" t="s">
        <v>5360</v>
      </c>
      <c r="D2473" t="s">
        <v>14</v>
      </c>
      <c r="E2473" t="s">
        <v>1209</v>
      </c>
      <c r="F2473" t="s">
        <v>16</v>
      </c>
      <c r="G2473">
        <v>10.79</v>
      </c>
      <c r="H2473">
        <v>86</v>
      </c>
      <c r="I2473" t="s">
        <v>36</v>
      </c>
      <c r="J2473" t="s">
        <v>37</v>
      </c>
      <c r="K2473" t="s">
        <v>1976</v>
      </c>
      <c r="L2473">
        <v>78</v>
      </c>
      <c r="M2473" t="str">
        <f t="shared" si="76"/>
        <v>Low</v>
      </c>
      <c r="N2473" t="str">
        <f t="shared" si="77"/>
        <v>Good</v>
      </c>
    </row>
    <row r="2474" spans="1:14">
      <c r="A2474" t="s">
        <v>12</v>
      </c>
      <c r="B2474">
        <v>2008</v>
      </c>
      <c r="C2474" t="s">
        <v>5361</v>
      </c>
      <c r="D2474" t="s">
        <v>14</v>
      </c>
      <c r="E2474" t="s">
        <v>5362</v>
      </c>
      <c r="F2474" t="s">
        <v>57</v>
      </c>
      <c r="G2474">
        <v>15.13</v>
      </c>
      <c r="H2474">
        <v>72</v>
      </c>
      <c r="I2474" t="s">
        <v>29</v>
      </c>
      <c r="J2474" t="s">
        <v>37</v>
      </c>
      <c r="K2474" t="s">
        <v>47</v>
      </c>
      <c r="L2474">
        <v>254</v>
      </c>
      <c r="M2474" t="str">
        <f t="shared" si="76"/>
        <v>Medium</v>
      </c>
      <c r="N2474" t="str">
        <f t="shared" si="77"/>
        <v>Average</v>
      </c>
    </row>
    <row r="2475" spans="1:14">
      <c r="A2475" t="s">
        <v>39</v>
      </c>
      <c r="B2475">
        <v>2022</v>
      </c>
      <c r="C2475" t="s">
        <v>5363</v>
      </c>
      <c r="D2475" t="s">
        <v>14</v>
      </c>
      <c r="E2475" t="s">
        <v>5364</v>
      </c>
      <c r="F2475" t="s">
        <v>57</v>
      </c>
      <c r="G2475">
        <v>3.81</v>
      </c>
      <c r="H2475">
        <v>82</v>
      </c>
      <c r="I2475" t="s">
        <v>61</v>
      </c>
      <c r="J2475" t="s">
        <v>18</v>
      </c>
      <c r="K2475" t="s">
        <v>68</v>
      </c>
      <c r="L2475">
        <v>338</v>
      </c>
      <c r="M2475" t="str">
        <f t="shared" si="76"/>
        <v>Low</v>
      </c>
      <c r="N2475" t="str">
        <f t="shared" si="77"/>
        <v>Good</v>
      </c>
    </row>
    <row r="2476" spans="1:14">
      <c r="A2476" t="s">
        <v>47</v>
      </c>
      <c r="B2476">
        <v>2000</v>
      </c>
      <c r="C2476" t="s">
        <v>5365</v>
      </c>
      <c r="D2476" t="s">
        <v>14</v>
      </c>
      <c r="E2476" t="s">
        <v>5366</v>
      </c>
      <c r="F2476" t="s">
        <v>42</v>
      </c>
      <c r="G2476">
        <v>36.4</v>
      </c>
      <c r="H2476">
        <v>55</v>
      </c>
      <c r="I2476" t="s">
        <v>17</v>
      </c>
      <c r="J2476" t="s">
        <v>37</v>
      </c>
      <c r="K2476" t="s">
        <v>1470</v>
      </c>
      <c r="L2476">
        <v>75</v>
      </c>
      <c r="M2476" t="str">
        <f t="shared" si="76"/>
        <v>High</v>
      </c>
      <c r="N2476" t="str">
        <f t="shared" si="77"/>
        <v>Average</v>
      </c>
    </row>
    <row r="2477" spans="1:14">
      <c r="A2477" t="s">
        <v>20</v>
      </c>
      <c r="B2477">
        <v>2019</v>
      </c>
      <c r="C2477" t="s">
        <v>5367</v>
      </c>
      <c r="D2477" t="s">
        <v>14</v>
      </c>
      <c r="E2477" t="s">
        <v>5368</v>
      </c>
      <c r="F2477" t="s">
        <v>46</v>
      </c>
      <c r="G2477">
        <v>24.46</v>
      </c>
      <c r="H2477">
        <v>83</v>
      </c>
      <c r="I2477" t="s">
        <v>61</v>
      </c>
      <c r="J2477" t="s">
        <v>37</v>
      </c>
      <c r="K2477" t="s">
        <v>39</v>
      </c>
      <c r="L2477">
        <v>28</v>
      </c>
      <c r="M2477" t="str">
        <f t="shared" si="76"/>
        <v>Medium</v>
      </c>
      <c r="N2477" t="str">
        <f t="shared" si="77"/>
        <v>Good</v>
      </c>
    </row>
    <row r="2478" spans="1:14">
      <c r="A2478" t="s">
        <v>48</v>
      </c>
      <c r="B2478">
        <v>2012</v>
      </c>
      <c r="C2478" t="s">
        <v>5369</v>
      </c>
      <c r="D2478" t="s">
        <v>33</v>
      </c>
      <c r="E2478" t="s">
        <v>5370</v>
      </c>
      <c r="F2478" t="s">
        <v>42</v>
      </c>
      <c r="G2478">
        <v>5.3</v>
      </c>
      <c r="H2478">
        <v>86</v>
      </c>
      <c r="I2478" t="s">
        <v>17</v>
      </c>
      <c r="J2478" t="s">
        <v>37</v>
      </c>
      <c r="K2478" t="s">
        <v>1763</v>
      </c>
      <c r="L2478">
        <v>57</v>
      </c>
      <c r="M2478" t="str">
        <f t="shared" si="76"/>
        <v>Low</v>
      </c>
      <c r="N2478" t="str">
        <f t="shared" si="77"/>
        <v>Good</v>
      </c>
    </row>
    <row r="2479" spans="1:14">
      <c r="A2479" t="s">
        <v>65</v>
      </c>
      <c r="B2479">
        <v>2021</v>
      </c>
      <c r="C2479" t="s">
        <v>5371</v>
      </c>
      <c r="D2479" t="s">
        <v>33</v>
      </c>
      <c r="E2479" t="s">
        <v>5372</v>
      </c>
      <c r="F2479" t="s">
        <v>42</v>
      </c>
      <c r="G2479">
        <v>17.59</v>
      </c>
      <c r="H2479">
        <v>61</v>
      </c>
      <c r="I2479" t="s">
        <v>17</v>
      </c>
      <c r="J2479" t="s">
        <v>37</v>
      </c>
      <c r="K2479" t="s">
        <v>48</v>
      </c>
      <c r="L2479">
        <v>40</v>
      </c>
      <c r="M2479" t="str">
        <f t="shared" si="76"/>
        <v>Medium</v>
      </c>
      <c r="N2479" t="str">
        <f t="shared" si="77"/>
        <v>Average</v>
      </c>
    </row>
    <row r="2480" spans="1:14">
      <c r="A2480" t="s">
        <v>65</v>
      </c>
      <c r="B2480">
        <v>2000</v>
      </c>
      <c r="C2480" t="s">
        <v>5373</v>
      </c>
      <c r="D2480" t="s">
        <v>14</v>
      </c>
      <c r="E2480" t="s">
        <v>5374</v>
      </c>
      <c r="F2480" t="s">
        <v>35</v>
      </c>
      <c r="G2480">
        <v>31.46</v>
      </c>
      <c r="H2480">
        <v>93</v>
      </c>
      <c r="I2480" t="s">
        <v>23</v>
      </c>
      <c r="J2480" t="s">
        <v>37</v>
      </c>
      <c r="K2480" t="s">
        <v>38</v>
      </c>
      <c r="L2480">
        <v>193</v>
      </c>
      <c r="M2480" t="str">
        <f t="shared" si="76"/>
        <v>Medium</v>
      </c>
      <c r="N2480" t="str">
        <f t="shared" si="77"/>
        <v>Excellent</v>
      </c>
    </row>
    <row r="2481" spans="1:14">
      <c r="A2481" t="s">
        <v>31</v>
      </c>
      <c r="B2481">
        <v>2016</v>
      </c>
      <c r="C2481" t="s">
        <v>5375</v>
      </c>
      <c r="D2481" t="s">
        <v>33</v>
      </c>
      <c r="E2481" t="s">
        <v>5376</v>
      </c>
      <c r="F2481" t="s">
        <v>16</v>
      </c>
      <c r="G2481">
        <v>31.41</v>
      </c>
      <c r="H2481">
        <v>86</v>
      </c>
      <c r="I2481" t="s">
        <v>61</v>
      </c>
      <c r="J2481" t="s">
        <v>18</v>
      </c>
      <c r="K2481" t="s">
        <v>292</v>
      </c>
      <c r="L2481">
        <v>285</v>
      </c>
      <c r="M2481" t="str">
        <f t="shared" si="76"/>
        <v>Medium</v>
      </c>
      <c r="N2481" t="str">
        <f t="shared" si="77"/>
        <v>Good</v>
      </c>
    </row>
    <row r="2482" spans="1:14">
      <c r="A2482" t="s">
        <v>39</v>
      </c>
      <c r="B2482">
        <v>2014</v>
      </c>
      <c r="C2482" t="s">
        <v>5377</v>
      </c>
      <c r="D2482" t="s">
        <v>33</v>
      </c>
      <c r="E2482" t="s">
        <v>5378</v>
      </c>
      <c r="F2482" t="s">
        <v>46</v>
      </c>
      <c r="G2482">
        <v>3.77</v>
      </c>
      <c r="H2482">
        <v>84</v>
      </c>
      <c r="I2482" t="s">
        <v>23</v>
      </c>
      <c r="J2482" t="s">
        <v>18</v>
      </c>
      <c r="K2482" t="s">
        <v>47</v>
      </c>
      <c r="L2482">
        <v>202</v>
      </c>
      <c r="M2482" t="str">
        <f t="shared" si="76"/>
        <v>Low</v>
      </c>
      <c r="N2482" t="str">
        <f t="shared" si="77"/>
        <v>Good</v>
      </c>
    </row>
    <row r="2483" spans="1:14">
      <c r="A2483" t="s">
        <v>31</v>
      </c>
      <c r="B2483">
        <v>2024</v>
      </c>
      <c r="C2483" t="s">
        <v>5379</v>
      </c>
      <c r="D2483" t="s">
        <v>33</v>
      </c>
      <c r="E2483" t="s">
        <v>5380</v>
      </c>
      <c r="F2483" t="s">
        <v>42</v>
      </c>
      <c r="G2483">
        <v>26.55</v>
      </c>
      <c r="H2483">
        <v>92</v>
      </c>
      <c r="I2483" t="s">
        <v>29</v>
      </c>
      <c r="J2483" t="s">
        <v>37</v>
      </c>
      <c r="K2483" t="s">
        <v>2183</v>
      </c>
      <c r="L2483">
        <v>323</v>
      </c>
      <c r="M2483" t="str">
        <f t="shared" si="76"/>
        <v>Medium</v>
      </c>
      <c r="N2483" t="str">
        <f t="shared" si="77"/>
        <v>Excellent</v>
      </c>
    </row>
    <row r="2484" spans="1:14">
      <c r="A2484" t="s">
        <v>20</v>
      </c>
      <c r="B2484">
        <v>2024</v>
      </c>
      <c r="C2484" t="s">
        <v>5381</v>
      </c>
      <c r="D2484" t="s">
        <v>14</v>
      </c>
      <c r="E2484" t="s">
        <v>3316</v>
      </c>
      <c r="F2484" t="s">
        <v>57</v>
      </c>
      <c r="G2484">
        <v>15.62</v>
      </c>
      <c r="H2484">
        <v>89</v>
      </c>
      <c r="I2484" t="s">
        <v>29</v>
      </c>
      <c r="J2484" t="s">
        <v>37</v>
      </c>
      <c r="K2484" t="s">
        <v>3990</v>
      </c>
      <c r="L2484">
        <v>27</v>
      </c>
      <c r="M2484" t="str">
        <f t="shared" si="76"/>
        <v>Medium</v>
      </c>
      <c r="N2484" t="str">
        <f t="shared" si="77"/>
        <v>Good</v>
      </c>
    </row>
    <row r="2485" spans="1:14">
      <c r="A2485" t="s">
        <v>68</v>
      </c>
      <c r="B2485">
        <v>2012</v>
      </c>
      <c r="C2485" t="s">
        <v>5382</v>
      </c>
      <c r="D2485" t="s">
        <v>33</v>
      </c>
      <c r="E2485" t="s">
        <v>5383</v>
      </c>
      <c r="F2485" t="s">
        <v>46</v>
      </c>
      <c r="G2485">
        <v>25.54</v>
      </c>
      <c r="H2485">
        <v>88</v>
      </c>
      <c r="I2485" t="s">
        <v>17</v>
      </c>
      <c r="J2485" t="s">
        <v>24</v>
      </c>
      <c r="K2485" t="s">
        <v>912</v>
      </c>
      <c r="L2485">
        <v>43</v>
      </c>
      <c r="M2485" t="str">
        <f t="shared" si="76"/>
        <v>Medium</v>
      </c>
      <c r="N2485" t="str">
        <f t="shared" si="77"/>
        <v>Good</v>
      </c>
    </row>
    <row r="2486" spans="1:14">
      <c r="A2486" t="s">
        <v>47</v>
      </c>
      <c r="B2486">
        <v>2013</v>
      </c>
      <c r="C2486" t="s">
        <v>5384</v>
      </c>
      <c r="D2486" t="s">
        <v>14</v>
      </c>
      <c r="E2486" t="s">
        <v>2344</v>
      </c>
      <c r="F2486" t="s">
        <v>42</v>
      </c>
      <c r="G2486">
        <v>28.8</v>
      </c>
      <c r="H2486">
        <v>89</v>
      </c>
      <c r="I2486" t="s">
        <v>23</v>
      </c>
      <c r="J2486" t="s">
        <v>24</v>
      </c>
      <c r="K2486" t="s">
        <v>48</v>
      </c>
      <c r="L2486">
        <v>213</v>
      </c>
      <c r="M2486" t="str">
        <f t="shared" si="76"/>
        <v>Medium</v>
      </c>
      <c r="N2486" t="str">
        <f t="shared" si="77"/>
        <v>Good</v>
      </c>
    </row>
    <row r="2487" spans="1:14">
      <c r="A2487" t="s">
        <v>38</v>
      </c>
      <c r="B2487">
        <v>2000</v>
      </c>
      <c r="C2487" t="s">
        <v>5385</v>
      </c>
      <c r="D2487" t="s">
        <v>14</v>
      </c>
      <c r="E2487" t="s">
        <v>4736</v>
      </c>
      <c r="F2487" t="s">
        <v>35</v>
      </c>
      <c r="G2487">
        <v>41.13</v>
      </c>
      <c r="H2487">
        <v>96</v>
      </c>
      <c r="I2487" t="s">
        <v>23</v>
      </c>
      <c r="J2487" t="s">
        <v>24</v>
      </c>
      <c r="K2487" t="s">
        <v>5386</v>
      </c>
      <c r="L2487">
        <v>173</v>
      </c>
      <c r="M2487" t="str">
        <f t="shared" si="76"/>
        <v>High</v>
      </c>
      <c r="N2487" t="str">
        <f t="shared" si="77"/>
        <v>Excellent</v>
      </c>
    </row>
    <row r="2488" spans="1:14">
      <c r="A2488" t="s">
        <v>20</v>
      </c>
      <c r="B2488">
        <v>2017</v>
      </c>
      <c r="C2488" t="s">
        <v>4343</v>
      </c>
      <c r="D2488" t="s">
        <v>33</v>
      </c>
      <c r="E2488" t="s">
        <v>5387</v>
      </c>
      <c r="F2488" t="s">
        <v>57</v>
      </c>
      <c r="G2488">
        <v>24.68</v>
      </c>
      <c r="H2488">
        <v>64</v>
      </c>
      <c r="I2488" t="s">
        <v>61</v>
      </c>
      <c r="J2488" t="s">
        <v>18</v>
      </c>
      <c r="K2488" t="s">
        <v>47</v>
      </c>
      <c r="L2488">
        <v>332</v>
      </c>
      <c r="M2488" t="str">
        <f t="shared" si="76"/>
        <v>Medium</v>
      </c>
      <c r="N2488" t="str">
        <f t="shared" si="77"/>
        <v>Average</v>
      </c>
    </row>
    <row r="2489" spans="1:14">
      <c r="A2489" t="s">
        <v>38</v>
      </c>
      <c r="B2489">
        <v>2006</v>
      </c>
      <c r="C2489" t="s">
        <v>5388</v>
      </c>
      <c r="D2489" t="s">
        <v>33</v>
      </c>
      <c r="E2489" t="s">
        <v>5389</v>
      </c>
      <c r="F2489" t="s">
        <v>35</v>
      </c>
      <c r="G2489">
        <v>14.56</v>
      </c>
      <c r="H2489">
        <v>58</v>
      </c>
      <c r="I2489" t="s">
        <v>29</v>
      </c>
      <c r="J2489" t="s">
        <v>24</v>
      </c>
      <c r="K2489" t="s">
        <v>12</v>
      </c>
      <c r="L2489">
        <v>13</v>
      </c>
      <c r="M2489" t="str">
        <f t="shared" si="76"/>
        <v>Low</v>
      </c>
      <c r="N2489" t="str">
        <f t="shared" si="77"/>
        <v>Average</v>
      </c>
    </row>
    <row r="2490" spans="1:14">
      <c r="A2490" t="s">
        <v>26</v>
      </c>
      <c r="B2490">
        <v>2006</v>
      </c>
      <c r="C2490" t="s">
        <v>5390</v>
      </c>
      <c r="D2490" t="s">
        <v>33</v>
      </c>
      <c r="E2490" t="s">
        <v>5391</v>
      </c>
      <c r="F2490" t="s">
        <v>46</v>
      </c>
      <c r="G2490">
        <v>27.37</v>
      </c>
      <c r="H2490">
        <v>80</v>
      </c>
      <c r="I2490" t="s">
        <v>29</v>
      </c>
      <c r="J2490" t="s">
        <v>24</v>
      </c>
      <c r="K2490" t="s">
        <v>320</v>
      </c>
      <c r="L2490">
        <v>182</v>
      </c>
      <c r="M2490" t="str">
        <f t="shared" si="76"/>
        <v>Medium</v>
      </c>
      <c r="N2490" t="str">
        <f t="shared" si="77"/>
        <v>Good</v>
      </c>
    </row>
    <row r="2491" spans="1:14">
      <c r="A2491" t="s">
        <v>48</v>
      </c>
      <c r="B2491">
        <v>2011</v>
      </c>
      <c r="C2491" t="s">
        <v>5392</v>
      </c>
      <c r="D2491" t="s">
        <v>14</v>
      </c>
      <c r="E2491" t="s">
        <v>1732</v>
      </c>
      <c r="F2491" t="s">
        <v>16</v>
      </c>
      <c r="G2491">
        <v>18.48</v>
      </c>
      <c r="H2491">
        <v>70</v>
      </c>
      <c r="I2491" t="s">
        <v>23</v>
      </c>
      <c r="J2491" t="s">
        <v>37</v>
      </c>
      <c r="K2491" t="s">
        <v>5393</v>
      </c>
      <c r="L2491">
        <v>349</v>
      </c>
      <c r="M2491" t="str">
        <f t="shared" si="76"/>
        <v>Medium</v>
      </c>
      <c r="N2491" t="str">
        <f t="shared" si="77"/>
        <v>Average</v>
      </c>
    </row>
    <row r="2492" spans="1:14">
      <c r="A2492" t="s">
        <v>26</v>
      </c>
      <c r="B2492">
        <v>2001</v>
      </c>
      <c r="C2492" t="s">
        <v>5394</v>
      </c>
      <c r="D2492" t="s">
        <v>14</v>
      </c>
      <c r="E2492" t="s">
        <v>5395</v>
      </c>
      <c r="F2492" t="s">
        <v>42</v>
      </c>
      <c r="G2492">
        <v>28.93</v>
      </c>
      <c r="H2492">
        <v>63</v>
      </c>
      <c r="I2492" t="s">
        <v>23</v>
      </c>
      <c r="J2492" t="s">
        <v>18</v>
      </c>
      <c r="K2492" t="s">
        <v>31</v>
      </c>
      <c r="L2492">
        <v>132</v>
      </c>
      <c r="M2492" t="str">
        <f t="shared" si="76"/>
        <v>Medium</v>
      </c>
      <c r="N2492" t="str">
        <f t="shared" si="77"/>
        <v>Average</v>
      </c>
    </row>
    <row r="2493" spans="1:14">
      <c r="A2493" t="s">
        <v>31</v>
      </c>
      <c r="B2493">
        <v>2001</v>
      </c>
      <c r="C2493" t="s">
        <v>5396</v>
      </c>
      <c r="D2493" t="s">
        <v>14</v>
      </c>
      <c r="E2493" t="s">
        <v>5397</v>
      </c>
      <c r="F2493" t="s">
        <v>35</v>
      </c>
      <c r="G2493">
        <v>34.81</v>
      </c>
      <c r="H2493">
        <v>78</v>
      </c>
      <c r="I2493" t="s">
        <v>17</v>
      </c>
      <c r="J2493" t="s">
        <v>24</v>
      </c>
      <c r="K2493" t="s">
        <v>68</v>
      </c>
      <c r="L2493">
        <v>99</v>
      </c>
      <c r="M2493" t="str">
        <f t="shared" si="76"/>
        <v>Medium</v>
      </c>
      <c r="N2493" t="str">
        <f t="shared" si="77"/>
        <v>Good</v>
      </c>
    </row>
    <row r="2494" spans="1:14">
      <c r="A2494" t="s">
        <v>39</v>
      </c>
      <c r="B2494">
        <v>2021</v>
      </c>
      <c r="C2494" t="s">
        <v>5398</v>
      </c>
      <c r="D2494" t="s">
        <v>33</v>
      </c>
      <c r="E2494" t="s">
        <v>5399</v>
      </c>
      <c r="F2494" t="s">
        <v>57</v>
      </c>
      <c r="G2494">
        <v>38.15</v>
      </c>
      <c r="H2494">
        <v>83</v>
      </c>
      <c r="I2494" t="s">
        <v>36</v>
      </c>
      <c r="J2494" t="s">
        <v>37</v>
      </c>
      <c r="K2494" t="s">
        <v>1260</v>
      </c>
      <c r="L2494">
        <v>45</v>
      </c>
      <c r="M2494" t="str">
        <f t="shared" si="76"/>
        <v>High</v>
      </c>
      <c r="N2494" t="str">
        <f t="shared" si="77"/>
        <v>Good</v>
      </c>
    </row>
    <row r="2495" spans="1:14">
      <c r="A2495" t="s">
        <v>65</v>
      </c>
      <c r="B2495">
        <v>2002</v>
      </c>
      <c r="C2495" t="s">
        <v>5400</v>
      </c>
      <c r="D2495" t="s">
        <v>33</v>
      </c>
      <c r="E2495" t="s">
        <v>5401</v>
      </c>
      <c r="F2495" t="s">
        <v>16</v>
      </c>
      <c r="G2495">
        <v>5.8</v>
      </c>
      <c r="H2495">
        <v>55</v>
      </c>
      <c r="I2495" t="s">
        <v>36</v>
      </c>
      <c r="J2495" t="s">
        <v>37</v>
      </c>
      <c r="K2495" t="s">
        <v>5402</v>
      </c>
      <c r="L2495">
        <v>84</v>
      </c>
      <c r="M2495" t="str">
        <f t="shared" si="76"/>
        <v>Low</v>
      </c>
      <c r="N2495" t="str">
        <f t="shared" si="77"/>
        <v>Average</v>
      </c>
    </row>
    <row r="2496" spans="1:14">
      <c r="A2496" t="s">
        <v>26</v>
      </c>
      <c r="B2496">
        <v>2007</v>
      </c>
      <c r="C2496" t="s">
        <v>5403</v>
      </c>
      <c r="D2496" t="s">
        <v>33</v>
      </c>
      <c r="E2496" t="s">
        <v>5404</v>
      </c>
      <c r="F2496" t="s">
        <v>46</v>
      </c>
      <c r="G2496">
        <v>8.7799999999999994</v>
      </c>
      <c r="H2496">
        <v>51</v>
      </c>
      <c r="I2496" t="s">
        <v>29</v>
      </c>
      <c r="J2496" t="s">
        <v>18</v>
      </c>
      <c r="K2496" t="s">
        <v>1172</v>
      </c>
      <c r="L2496">
        <v>294</v>
      </c>
      <c r="M2496" t="str">
        <f t="shared" si="76"/>
        <v>Low</v>
      </c>
      <c r="N2496" t="str">
        <f t="shared" si="77"/>
        <v>Average</v>
      </c>
    </row>
    <row r="2497" spans="1:14">
      <c r="A2497" t="s">
        <v>20</v>
      </c>
      <c r="B2497">
        <v>2006</v>
      </c>
      <c r="C2497" t="s">
        <v>5405</v>
      </c>
      <c r="D2497" t="s">
        <v>14</v>
      </c>
      <c r="E2497" t="s">
        <v>5406</v>
      </c>
      <c r="F2497" t="s">
        <v>16</v>
      </c>
      <c r="G2497">
        <v>27.85</v>
      </c>
      <c r="H2497">
        <v>64</v>
      </c>
      <c r="I2497" t="s">
        <v>61</v>
      </c>
      <c r="J2497" t="s">
        <v>18</v>
      </c>
      <c r="K2497" t="s">
        <v>5407</v>
      </c>
      <c r="L2497">
        <v>334</v>
      </c>
      <c r="M2497" t="str">
        <f t="shared" si="76"/>
        <v>Medium</v>
      </c>
      <c r="N2497" t="str">
        <f t="shared" si="77"/>
        <v>Average</v>
      </c>
    </row>
    <row r="2498" spans="1:14">
      <c r="A2498" t="s">
        <v>47</v>
      </c>
      <c r="B2498">
        <v>2014</v>
      </c>
      <c r="C2498" t="s">
        <v>5408</v>
      </c>
      <c r="D2498" t="s">
        <v>33</v>
      </c>
      <c r="E2498" t="s">
        <v>3930</v>
      </c>
      <c r="F2498" t="s">
        <v>16</v>
      </c>
      <c r="G2498">
        <v>42.79</v>
      </c>
      <c r="H2498">
        <v>77</v>
      </c>
      <c r="I2498" t="s">
        <v>23</v>
      </c>
      <c r="J2498" t="s">
        <v>24</v>
      </c>
      <c r="K2498" t="s">
        <v>47</v>
      </c>
      <c r="L2498">
        <v>309</v>
      </c>
      <c r="M2498" t="str">
        <f t="shared" si="76"/>
        <v>High</v>
      </c>
      <c r="N2498" t="str">
        <f t="shared" si="77"/>
        <v>Good</v>
      </c>
    </row>
    <row r="2499" spans="1:14">
      <c r="A2499" t="s">
        <v>47</v>
      </c>
      <c r="B2499">
        <v>2014</v>
      </c>
      <c r="C2499" t="s">
        <v>5409</v>
      </c>
      <c r="D2499" t="s">
        <v>14</v>
      </c>
      <c r="E2499" t="s">
        <v>5410</v>
      </c>
      <c r="F2499" t="s">
        <v>35</v>
      </c>
      <c r="G2499">
        <v>7.02</v>
      </c>
      <c r="H2499">
        <v>58</v>
      </c>
      <c r="I2499" t="s">
        <v>36</v>
      </c>
      <c r="J2499" t="s">
        <v>24</v>
      </c>
      <c r="K2499" t="s">
        <v>3746</v>
      </c>
      <c r="L2499">
        <v>297</v>
      </c>
      <c r="M2499" t="str">
        <f t="shared" ref="M2499:M2562" si="78">IF(G2499&lt;15,"Low",IF(G2499&lt;35,"Medium","High"))</f>
        <v>Low</v>
      </c>
      <c r="N2499" t="str">
        <f t="shared" ref="N2499:N2562" si="79">IF(H2499&gt;=90,"Excellent",IF(H2499&gt;=75,"Good","Average"))</f>
        <v>Average</v>
      </c>
    </row>
    <row r="2500" spans="1:14">
      <c r="A2500" t="s">
        <v>26</v>
      </c>
      <c r="B2500">
        <v>2003</v>
      </c>
      <c r="C2500" t="s">
        <v>5411</v>
      </c>
      <c r="D2500" t="s">
        <v>14</v>
      </c>
      <c r="E2500" t="s">
        <v>5412</v>
      </c>
      <c r="F2500" t="s">
        <v>46</v>
      </c>
      <c r="G2500">
        <v>34.18</v>
      </c>
      <c r="H2500">
        <v>88</v>
      </c>
      <c r="I2500" t="s">
        <v>23</v>
      </c>
      <c r="J2500" t="s">
        <v>24</v>
      </c>
      <c r="K2500" t="s">
        <v>1873</v>
      </c>
      <c r="L2500">
        <v>136</v>
      </c>
      <c r="M2500" t="str">
        <f t="shared" si="78"/>
        <v>Medium</v>
      </c>
      <c r="N2500" t="str">
        <f t="shared" si="79"/>
        <v>Good</v>
      </c>
    </row>
    <row r="2501" spans="1:14">
      <c r="A2501" t="s">
        <v>12</v>
      </c>
      <c r="B2501">
        <v>2008</v>
      </c>
      <c r="C2501" t="s">
        <v>5413</v>
      </c>
      <c r="D2501" t="s">
        <v>33</v>
      </c>
      <c r="E2501" t="s">
        <v>5414</v>
      </c>
      <c r="F2501" t="s">
        <v>46</v>
      </c>
      <c r="G2501">
        <v>44.62</v>
      </c>
      <c r="H2501">
        <v>100</v>
      </c>
      <c r="I2501" t="s">
        <v>23</v>
      </c>
      <c r="J2501" t="s">
        <v>18</v>
      </c>
      <c r="K2501" t="s">
        <v>308</v>
      </c>
      <c r="L2501">
        <v>220</v>
      </c>
      <c r="M2501" t="str">
        <f t="shared" si="78"/>
        <v>High</v>
      </c>
      <c r="N2501" t="str">
        <f t="shared" si="79"/>
        <v>Excellent</v>
      </c>
    </row>
    <row r="2502" spans="1:14">
      <c r="A2502" t="s">
        <v>65</v>
      </c>
      <c r="B2502">
        <v>2008</v>
      </c>
      <c r="C2502" t="s">
        <v>5415</v>
      </c>
      <c r="D2502" t="s">
        <v>33</v>
      </c>
      <c r="E2502" t="s">
        <v>4276</v>
      </c>
      <c r="F2502" t="s">
        <v>42</v>
      </c>
      <c r="G2502">
        <v>29.68</v>
      </c>
      <c r="H2502">
        <v>57</v>
      </c>
      <c r="I2502" t="s">
        <v>29</v>
      </c>
      <c r="J2502" t="s">
        <v>37</v>
      </c>
      <c r="K2502" t="s">
        <v>2358</v>
      </c>
      <c r="L2502">
        <v>221</v>
      </c>
      <c r="M2502" t="str">
        <f t="shared" si="78"/>
        <v>Medium</v>
      </c>
      <c r="N2502" t="str">
        <f t="shared" si="79"/>
        <v>Average</v>
      </c>
    </row>
    <row r="2503" spans="1:14">
      <c r="A2503" t="s">
        <v>20</v>
      </c>
      <c r="B2503">
        <v>2021</v>
      </c>
      <c r="C2503" t="s">
        <v>5416</v>
      </c>
      <c r="D2503" t="s">
        <v>33</v>
      </c>
      <c r="E2503" t="s">
        <v>5417</v>
      </c>
      <c r="F2503" t="s">
        <v>35</v>
      </c>
      <c r="G2503">
        <v>22.78</v>
      </c>
      <c r="H2503">
        <v>69</v>
      </c>
      <c r="I2503" t="s">
        <v>29</v>
      </c>
      <c r="J2503" t="s">
        <v>37</v>
      </c>
      <c r="K2503" t="s">
        <v>831</v>
      </c>
      <c r="L2503">
        <v>145</v>
      </c>
      <c r="M2503" t="str">
        <f t="shared" si="78"/>
        <v>Medium</v>
      </c>
      <c r="N2503" t="str">
        <f t="shared" si="79"/>
        <v>Average</v>
      </c>
    </row>
    <row r="2504" spans="1:14">
      <c r="A2504" t="s">
        <v>20</v>
      </c>
      <c r="B2504">
        <v>2005</v>
      </c>
      <c r="C2504" t="s">
        <v>5418</v>
      </c>
      <c r="D2504" t="s">
        <v>33</v>
      </c>
      <c r="E2504" t="s">
        <v>3587</v>
      </c>
      <c r="F2504" t="s">
        <v>16</v>
      </c>
      <c r="G2504">
        <v>42.07</v>
      </c>
      <c r="H2504">
        <v>93</v>
      </c>
      <c r="I2504" t="s">
        <v>36</v>
      </c>
      <c r="J2504" t="s">
        <v>24</v>
      </c>
      <c r="K2504" t="s">
        <v>48</v>
      </c>
      <c r="L2504">
        <v>182</v>
      </c>
      <c r="M2504" t="str">
        <f t="shared" si="78"/>
        <v>High</v>
      </c>
      <c r="N2504" t="str">
        <f t="shared" si="79"/>
        <v>Excellent</v>
      </c>
    </row>
    <row r="2505" spans="1:14">
      <c r="A2505" t="s">
        <v>12</v>
      </c>
      <c r="B2505">
        <v>2018</v>
      </c>
      <c r="C2505" t="s">
        <v>5419</v>
      </c>
      <c r="D2505" t="s">
        <v>14</v>
      </c>
      <c r="E2505" t="s">
        <v>5420</v>
      </c>
      <c r="F2505" t="s">
        <v>35</v>
      </c>
      <c r="G2505">
        <v>17.39</v>
      </c>
      <c r="H2505">
        <v>100</v>
      </c>
      <c r="I2505" t="s">
        <v>17</v>
      </c>
      <c r="J2505" t="s">
        <v>24</v>
      </c>
      <c r="K2505" t="s">
        <v>1427</v>
      </c>
      <c r="L2505">
        <v>13</v>
      </c>
      <c r="M2505" t="str">
        <f t="shared" si="78"/>
        <v>Medium</v>
      </c>
      <c r="N2505" t="str">
        <f t="shared" si="79"/>
        <v>Excellent</v>
      </c>
    </row>
    <row r="2506" spans="1:14">
      <c r="A2506" t="s">
        <v>68</v>
      </c>
      <c r="B2506">
        <v>2021</v>
      </c>
      <c r="C2506" t="s">
        <v>5421</v>
      </c>
      <c r="D2506" t="s">
        <v>33</v>
      </c>
      <c r="E2506" t="s">
        <v>5422</v>
      </c>
      <c r="F2506" t="s">
        <v>35</v>
      </c>
      <c r="G2506">
        <v>35.090000000000003</v>
      </c>
      <c r="H2506">
        <v>52</v>
      </c>
      <c r="I2506" t="s">
        <v>36</v>
      </c>
      <c r="J2506" t="s">
        <v>24</v>
      </c>
      <c r="K2506" t="s">
        <v>38</v>
      </c>
      <c r="L2506">
        <v>64</v>
      </c>
      <c r="M2506" t="str">
        <f t="shared" si="78"/>
        <v>High</v>
      </c>
      <c r="N2506" t="str">
        <f t="shared" si="79"/>
        <v>Average</v>
      </c>
    </row>
    <row r="2507" spans="1:14">
      <c r="A2507" t="s">
        <v>65</v>
      </c>
      <c r="B2507">
        <v>2022</v>
      </c>
      <c r="C2507" t="s">
        <v>5423</v>
      </c>
      <c r="D2507" t="s">
        <v>14</v>
      </c>
      <c r="E2507" t="s">
        <v>5424</v>
      </c>
      <c r="F2507" t="s">
        <v>35</v>
      </c>
      <c r="G2507">
        <v>46.12</v>
      </c>
      <c r="H2507">
        <v>58</v>
      </c>
      <c r="I2507" t="s">
        <v>23</v>
      </c>
      <c r="J2507" t="s">
        <v>18</v>
      </c>
      <c r="K2507" t="s">
        <v>97</v>
      </c>
      <c r="L2507">
        <v>125</v>
      </c>
      <c r="M2507" t="str">
        <f t="shared" si="78"/>
        <v>High</v>
      </c>
      <c r="N2507" t="str">
        <f t="shared" si="79"/>
        <v>Average</v>
      </c>
    </row>
    <row r="2508" spans="1:14">
      <c r="A2508" t="s">
        <v>31</v>
      </c>
      <c r="B2508">
        <v>2004</v>
      </c>
      <c r="C2508" t="s">
        <v>5425</v>
      </c>
      <c r="D2508" t="s">
        <v>33</v>
      </c>
      <c r="E2508" t="s">
        <v>5426</v>
      </c>
      <c r="F2508" t="s">
        <v>16</v>
      </c>
      <c r="G2508">
        <v>15.8</v>
      </c>
      <c r="H2508">
        <v>52</v>
      </c>
      <c r="I2508" t="s">
        <v>61</v>
      </c>
      <c r="J2508" t="s">
        <v>24</v>
      </c>
      <c r="K2508" t="s">
        <v>314</v>
      </c>
      <c r="L2508">
        <v>166</v>
      </c>
      <c r="M2508" t="str">
        <f t="shared" si="78"/>
        <v>Medium</v>
      </c>
      <c r="N2508" t="str">
        <f t="shared" si="79"/>
        <v>Average</v>
      </c>
    </row>
    <row r="2509" spans="1:14">
      <c r="A2509" t="s">
        <v>65</v>
      </c>
      <c r="B2509">
        <v>2013</v>
      </c>
      <c r="C2509" t="s">
        <v>5427</v>
      </c>
      <c r="D2509" t="s">
        <v>33</v>
      </c>
      <c r="E2509" t="s">
        <v>1106</v>
      </c>
      <c r="F2509" t="s">
        <v>57</v>
      </c>
      <c r="G2509">
        <v>36.57</v>
      </c>
      <c r="H2509">
        <v>82</v>
      </c>
      <c r="I2509" t="s">
        <v>36</v>
      </c>
      <c r="J2509" t="s">
        <v>24</v>
      </c>
      <c r="K2509" t="s">
        <v>308</v>
      </c>
      <c r="L2509">
        <v>239</v>
      </c>
      <c r="M2509" t="str">
        <f t="shared" si="78"/>
        <v>High</v>
      </c>
      <c r="N2509" t="str">
        <f t="shared" si="79"/>
        <v>Good</v>
      </c>
    </row>
    <row r="2510" spans="1:14">
      <c r="A2510" t="s">
        <v>31</v>
      </c>
      <c r="B2510">
        <v>2013</v>
      </c>
      <c r="C2510" t="s">
        <v>5428</v>
      </c>
      <c r="D2510" t="s">
        <v>33</v>
      </c>
      <c r="E2510" t="s">
        <v>5429</v>
      </c>
      <c r="F2510" t="s">
        <v>35</v>
      </c>
      <c r="G2510">
        <v>13.39</v>
      </c>
      <c r="H2510">
        <v>54</v>
      </c>
      <c r="I2510" t="s">
        <v>23</v>
      </c>
      <c r="J2510" t="s">
        <v>37</v>
      </c>
      <c r="K2510" t="s">
        <v>1019</v>
      </c>
      <c r="L2510">
        <v>68</v>
      </c>
      <c r="M2510" t="str">
        <f t="shared" si="78"/>
        <v>Low</v>
      </c>
      <c r="N2510" t="str">
        <f t="shared" si="79"/>
        <v>Average</v>
      </c>
    </row>
    <row r="2511" spans="1:14">
      <c r="A2511" t="s">
        <v>12</v>
      </c>
      <c r="B2511">
        <v>2005</v>
      </c>
      <c r="C2511" t="s">
        <v>5430</v>
      </c>
      <c r="D2511" t="s">
        <v>33</v>
      </c>
      <c r="E2511" t="s">
        <v>5431</v>
      </c>
      <c r="F2511" t="s">
        <v>16</v>
      </c>
      <c r="G2511">
        <v>8.56</v>
      </c>
      <c r="H2511">
        <v>56</v>
      </c>
      <c r="I2511" t="s">
        <v>23</v>
      </c>
      <c r="J2511" t="s">
        <v>37</v>
      </c>
      <c r="K2511" t="s">
        <v>5432</v>
      </c>
      <c r="L2511">
        <v>165</v>
      </c>
      <c r="M2511" t="str">
        <f t="shared" si="78"/>
        <v>Low</v>
      </c>
      <c r="N2511" t="str">
        <f t="shared" si="79"/>
        <v>Average</v>
      </c>
    </row>
    <row r="2512" spans="1:14">
      <c r="A2512" t="s">
        <v>12</v>
      </c>
      <c r="B2512">
        <v>2023</v>
      </c>
      <c r="C2512" t="s">
        <v>5433</v>
      </c>
      <c r="D2512" t="s">
        <v>33</v>
      </c>
      <c r="E2512" t="s">
        <v>5434</v>
      </c>
      <c r="F2512" t="s">
        <v>57</v>
      </c>
      <c r="G2512">
        <v>3.15</v>
      </c>
      <c r="H2512">
        <v>77</v>
      </c>
      <c r="I2512" t="s">
        <v>36</v>
      </c>
      <c r="J2512" t="s">
        <v>24</v>
      </c>
      <c r="K2512" t="s">
        <v>2748</v>
      </c>
      <c r="L2512">
        <v>361</v>
      </c>
      <c r="M2512" t="str">
        <f t="shared" si="78"/>
        <v>Low</v>
      </c>
      <c r="N2512" t="str">
        <f t="shared" si="79"/>
        <v>Good</v>
      </c>
    </row>
    <row r="2513" spans="1:14">
      <c r="A2513" t="s">
        <v>26</v>
      </c>
      <c r="B2513">
        <v>2023</v>
      </c>
      <c r="C2513" t="s">
        <v>5435</v>
      </c>
      <c r="D2513" t="s">
        <v>14</v>
      </c>
      <c r="E2513" t="s">
        <v>5436</v>
      </c>
      <c r="F2513" t="s">
        <v>42</v>
      </c>
      <c r="G2513">
        <v>42.57</v>
      </c>
      <c r="H2513">
        <v>88</v>
      </c>
      <c r="I2513" t="s">
        <v>29</v>
      </c>
      <c r="J2513" t="s">
        <v>18</v>
      </c>
      <c r="K2513" t="s">
        <v>5437</v>
      </c>
      <c r="L2513">
        <v>85</v>
      </c>
      <c r="M2513" t="str">
        <f t="shared" si="78"/>
        <v>High</v>
      </c>
      <c r="N2513" t="str">
        <f t="shared" si="79"/>
        <v>Good</v>
      </c>
    </row>
    <row r="2514" spans="1:14">
      <c r="A2514" t="s">
        <v>48</v>
      </c>
      <c r="B2514">
        <v>2021</v>
      </c>
      <c r="C2514" t="s">
        <v>5438</v>
      </c>
      <c r="D2514" t="s">
        <v>33</v>
      </c>
      <c r="E2514" t="s">
        <v>5439</v>
      </c>
      <c r="F2514" t="s">
        <v>46</v>
      </c>
      <c r="G2514">
        <v>49.14</v>
      </c>
      <c r="H2514">
        <v>94</v>
      </c>
      <c r="I2514" t="s">
        <v>61</v>
      </c>
      <c r="J2514" t="s">
        <v>37</v>
      </c>
      <c r="K2514" t="s">
        <v>94</v>
      </c>
      <c r="L2514">
        <v>257</v>
      </c>
      <c r="M2514" t="str">
        <f t="shared" si="78"/>
        <v>High</v>
      </c>
      <c r="N2514" t="str">
        <f t="shared" si="79"/>
        <v>Excellent</v>
      </c>
    </row>
    <row r="2515" spans="1:14">
      <c r="A2515" t="s">
        <v>68</v>
      </c>
      <c r="B2515">
        <v>2007</v>
      </c>
      <c r="C2515" t="s">
        <v>5440</v>
      </c>
      <c r="D2515" t="s">
        <v>33</v>
      </c>
      <c r="E2515" t="s">
        <v>5441</v>
      </c>
      <c r="F2515" t="s">
        <v>46</v>
      </c>
      <c r="G2515">
        <v>31.49</v>
      </c>
      <c r="H2515">
        <v>91</v>
      </c>
      <c r="I2515" t="s">
        <v>29</v>
      </c>
      <c r="J2515" t="s">
        <v>24</v>
      </c>
      <c r="K2515" t="s">
        <v>31</v>
      </c>
      <c r="L2515">
        <v>64</v>
      </c>
      <c r="M2515" t="str">
        <f t="shared" si="78"/>
        <v>Medium</v>
      </c>
      <c r="N2515" t="str">
        <f t="shared" si="79"/>
        <v>Excellent</v>
      </c>
    </row>
    <row r="2516" spans="1:14">
      <c r="A2516" t="s">
        <v>47</v>
      </c>
      <c r="B2516">
        <v>2023</v>
      </c>
      <c r="C2516" t="s">
        <v>5442</v>
      </c>
      <c r="D2516" t="s">
        <v>14</v>
      </c>
      <c r="E2516" t="s">
        <v>5443</v>
      </c>
      <c r="F2516" t="s">
        <v>35</v>
      </c>
      <c r="G2516">
        <v>3.9</v>
      </c>
      <c r="H2516">
        <v>69</v>
      </c>
      <c r="I2516" t="s">
        <v>36</v>
      </c>
      <c r="J2516" t="s">
        <v>18</v>
      </c>
      <c r="K2516" t="s">
        <v>3996</v>
      </c>
      <c r="L2516">
        <v>162</v>
      </c>
      <c r="M2516" t="str">
        <f t="shared" si="78"/>
        <v>Low</v>
      </c>
      <c r="N2516" t="str">
        <f t="shared" si="79"/>
        <v>Average</v>
      </c>
    </row>
    <row r="2517" spans="1:14">
      <c r="A2517" t="s">
        <v>12</v>
      </c>
      <c r="B2517">
        <v>2016</v>
      </c>
      <c r="C2517" t="s">
        <v>5444</v>
      </c>
      <c r="D2517" t="s">
        <v>14</v>
      </c>
      <c r="E2517" t="s">
        <v>5445</v>
      </c>
      <c r="F2517" t="s">
        <v>42</v>
      </c>
      <c r="G2517">
        <v>45.03</v>
      </c>
      <c r="H2517">
        <v>91</v>
      </c>
      <c r="I2517" t="s">
        <v>29</v>
      </c>
      <c r="J2517" t="s">
        <v>37</v>
      </c>
      <c r="K2517" t="s">
        <v>38</v>
      </c>
      <c r="L2517">
        <v>144</v>
      </c>
      <c r="M2517" t="str">
        <f t="shared" si="78"/>
        <v>High</v>
      </c>
      <c r="N2517" t="str">
        <f t="shared" si="79"/>
        <v>Excellent</v>
      </c>
    </row>
    <row r="2518" spans="1:14">
      <c r="A2518" t="s">
        <v>31</v>
      </c>
      <c r="B2518">
        <v>2010</v>
      </c>
      <c r="C2518" t="s">
        <v>5446</v>
      </c>
      <c r="D2518" t="s">
        <v>14</v>
      </c>
      <c r="E2518" t="s">
        <v>5447</v>
      </c>
      <c r="F2518" t="s">
        <v>35</v>
      </c>
      <c r="G2518">
        <v>46.12</v>
      </c>
      <c r="H2518">
        <v>91</v>
      </c>
      <c r="I2518" t="s">
        <v>61</v>
      </c>
      <c r="J2518" t="s">
        <v>18</v>
      </c>
      <c r="K2518" t="s">
        <v>31</v>
      </c>
      <c r="L2518">
        <v>319</v>
      </c>
      <c r="M2518" t="str">
        <f t="shared" si="78"/>
        <v>High</v>
      </c>
      <c r="N2518" t="str">
        <f t="shared" si="79"/>
        <v>Excellent</v>
      </c>
    </row>
    <row r="2519" spans="1:14">
      <c r="A2519" t="s">
        <v>68</v>
      </c>
      <c r="B2519">
        <v>2008</v>
      </c>
      <c r="C2519" t="s">
        <v>5448</v>
      </c>
      <c r="D2519" t="s">
        <v>14</v>
      </c>
      <c r="E2519" t="s">
        <v>5449</v>
      </c>
      <c r="F2519" t="s">
        <v>46</v>
      </c>
      <c r="G2519">
        <v>44.72</v>
      </c>
      <c r="H2519">
        <v>86</v>
      </c>
      <c r="I2519" t="s">
        <v>29</v>
      </c>
      <c r="J2519" t="s">
        <v>37</v>
      </c>
      <c r="K2519" t="s">
        <v>1297</v>
      </c>
      <c r="L2519">
        <v>264</v>
      </c>
      <c r="M2519" t="str">
        <f t="shared" si="78"/>
        <v>High</v>
      </c>
      <c r="N2519" t="str">
        <f t="shared" si="79"/>
        <v>Good</v>
      </c>
    </row>
    <row r="2520" spans="1:14">
      <c r="A2520" t="s">
        <v>68</v>
      </c>
      <c r="B2520">
        <v>2025</v>
      </c>
      <c r="C2520" t="s">
        <v>5450</v>
      </c>
      <c r="D2520" t="s">
        <v>14</v>
      </c>
      <c r="E2520" t="s">
        <v>5451</v>
      </c>
      <c r="F2520" t="s">
        <v>46</v>
      </c>
      <c r="G2520">
        <v>9.3000000000000007</v>
      </c>
      <c r="H2520">
        <v>85</v>
      </c>
      <c r="I2520" t="s">
        <v>61</v>
      </c>
      <c r="J2520" t="s">
        <v>24</v>
      </c>
      <c r="K2520" t="s">
        <v>38</v>
      </c>
      <c r="L2520">
        <v>38</v>
      </c>
      <c r="M2520" t="str">
        <f t="shared" si="78"/>
        <v>Low</v>
      </c>
      <c r="N2520" t="str">
        <f t="shared" si="79"/>
        <v>Good</v>
      </c>
    </row>
    <row r="2521" spans="1:14">
      <c r="A2521" t="s">
        <v>65</v>
      </c>
      <c r="B2521">
        <v>2025</v>
      </c>
      <c r="C2521" t="s">
        <v>5452</v>
      </c>
      <c r="D2521" t="s">
        <v>14</v>
      </c>
      <c r="E2521" t="s">
        <v>5453</v>
      </c>
      <c r="F2521" t="s">
        <v>35</v>
      </c>
      <c r="G2521">
        <v>21.78</v>
      </c>
      <c r="H2521">
        <v>97</v>
      </c>
      <c r="I2521" t="s">
        <v>17</v>
      </c>
      <c r="J2521" t="s">
        <v>37</v>
      </c>
      <c r="K2521" t="s">
        <v>68</v>
      </c>
      <c r="L2521">
        <v>145</v>
      </c>
      <c r="M2521" t="str">
        <f t="shared" si="78"/>
        <v>Medium</v>
      </c>
      <c r="N2521" t="str">
        <f t="shared" si="79"/>
        <v>Excellent</v>
      </c>
    </row>
    <row r="2522" spans="1:14">
      <c r="A2522" t="s">
        <v>68</v>
      </c>
      <c r="B2522">
        <v>2003</v>
      </c>
      <c r="C2522" t="s">
        <v>5454</v>
      </c>
      <c r="D2522" t="s">
        <v>14</v>
      </c>
      <c r="E2522" t="s">
        <v>5455</v>
      </c>
      <c r="F2522" t="s">
        <v>57</v>
      </c>
      <c r="G2522">
        <v>3.57</v>
      </c>
      <c r="H2522">
        <v>63</v>
      </c>
      <c r="I2522" t="s">
        <v>61</v>
      </c>
      <c r="J2522" t="s">
        <v>24</v>
      </c>
      <c r="K2522" t="s">
        <v>1604</v>
      </c>
      <c r="L2522">
        <v>164</v>
      </c>
      <c r="M2522" t="str">
        <f t="shared" si="78"/>
        <v>Low</v>
      </c>
      <c r="N2522" t="str">
        <f t="shared" si="79"/>
        <v>Average</v>
      </c>
    </row>
    <row r="2523" spans="1:14">
      <c r="A2523" t="s">
        <v>26</v>
      </c>
      <c r="B2523">
        <v>2019</v>
      </c>
      <c r="C2523" t="s">
        <v>5456</v>
      </c>
      <c r="D2523" t="s">
        <v>33</v>
      </c>
      <c r="E2523" t="s">
        <v>5457</v>
      </c>
      <c r="F2523" t="s">
        <v>16</v>
      </c>
      <c r="G2523">
        <v>7.45</v>
      </c>
      <c r="H2523">
        <v>82</v>
      </c>
      <c r="I2523" t="s">
        <v>36</v>
      </c>
      <c r="J2523" t="s">
        <v>18</v>
      </c>
      <c r="K2523" t="s">
        <v>996</v>
      </c>
      <c r="L2523">
        <v>352</v>
      </c>
      <c r="M2523" t="str">
        <f t="shared" si="78"/>
        <v>Low</v>
      </c>
      <c r="N2523" t="str">
        <f t="shared" si="79"/>
        <v>Good</v>
      </c>
    </row>
    <row r="2524" spans="1:14">
      <c r="A2524" t="s">
        <v>48</v>
      </c>
      <c r="B2524">
        <v>2018</v>
      </c>
      <c r="C2524" t="s">
        <v>5458</v>
      </c>
      <c r="D2524" t="s">
        <v>14</v>
      </c>
      <c r="E2524" t="s">
        <v>5459</v>
      </c>
      <c r="F2524" t="s">
        <v>35</v>
      </c>
      <c r="G2524">
        <v>12.2</v>
      </c>
      <c r="H2524">
        <v>53</v>
      </c>
      <c r="I2524" t="s">
        <v>23</v>
      </c>
      <c r="J2524" t="s">
        <v>18</v>
      </c>
      <c r="K2524" t="s">
        <v>12</v>
      </c>
      <c r="L2524">
        <v>315</v>
      </c>
      <c r="M2524" t="str">
        <f t="shared" si="78"/>
        <v>Low</v>
      </c>
      <c r="N2524" t="str">
        <f t="shared" si="79"/>
        <v>Average</v>
      </c>
    </row>
    <row r="2525" spans="1:14">
      <c r="A2525" t="s">
        <v>39</v>
      </c>
      <c r="B2525">
        <v>2019</v>
      </c>
      <c r="C2525" t="s">
        <v>5460</v>
      </c>
      <c r="D2525" t="s">
        <v>33</v>
      </c>
      <c r="E2525" t="s">
        <v>5461</v>
      </c>
      <c r="F2525" t="s">
        <v>57</v>
      </c>
      <c r="G2525">
        <v>8.2100000000000009</v>
      </c>
      <c r="H2525">
        <v>53</v>
      </c>
      <c r="I2525" t="s">
        <v>17</v>
      </c>
      <c r="J2525" t="s">
        <v>24</v>
      </c>
      <c r="K2525" t="s">
        <v>292</v>
      </c>
      <c r="L2525">
        <v>287</v>
      </c>
      <c r="M2525" t="str">
        <f t="shared" si="78"/>
        <v>Low</v>
      </c>
      <c r="N2525" t="str">
        <f t="shared" si="79"/>
        <v>Average</v>
      </c>
    </row>
    <row r="2526" spans="1:14">
      <c r="A2526" t="s">
        <v>20</v>
      </c>
      <c r="B2526">
        <v>2005</v>
      </c>
      <c r="C2526" t="s">
        <v>5462</v>
      </c>
      <c r="D2526" t="s">
        <v>33</v>
      </c>
      <c r="E2526" t="s">
        <v>5463</v>
      </c>
      <c r="F2526" t="s">
        <v>35</v>
      </c>
      <c r="G2526">
        <v>46.6</v>
      </c>
      <c r="H2526">
        <v>89</v>
      </c>
      <c r="I2526" t="s">
        <v>61</v>
      </c>
      <c r="J2526" t="s">
        <v>24</v>
      </c>
      <c r="K2526" t="s">
        <v>47</v>
      </c>
      <c r="L2526">
        <v>231</v>
      </c>
      <c r="M2526" t="str">
        <f t="shared" si="78"/>
        <v>High</v>
      </c>
      <c r="N2526" t="str">
        <f t="shared" si="79"/>
        <v>Good</v>
      </c>
    </row>
    <row r="2527" spans="1:14">
      <c r="A2527" t="s">
        <v>20</v>
      </c>
      <c r="B2527">
        <v>2010</v>
      </c>
      <c r="C2527" t="s">
        <v>5464</v>
      </c>
      <c r="D2527" t="s">
        <v>14</v>
      </c>
      <c r="E2527" t="s">
        <v>5465</v>
      </c>
      <c r="F2527" t="s">
        <v>16</v>
      </c>
      <c r="G2527">
        <v>10.14</v>
      </c>
      <c r="H2527">
        <v>66</v>
      </c>
      <c r="I2527" t="s">
        <v>17</v>
      </c>
      <c r="J2527" t="s">
        <v>18</v>
      </c>
      <c r="K2527" t="s">
        <v>1633</v>
      </c>
      <c r="L2527">
        <v>151</v>
      </c>
      <c r="M2527" t="str">
        <f t="shared" si="78"/>
        <v>Low</v>
      </c>
      <c r="N2527" t="str">
        <f t="shared" si="79"/>
        <v>Average</v>
      </c>
    </row>
    <row r="2528" spans="1:14">
      <c r="A2528" t="s">
        <v>48</v>
      </c>
      <c r="B2528">
        <v>2017</v>
      </c>
      <c r="C2528" t="s">
        <v>5466</v>
      </c>
      <c r="D2528" t="s">
        <v>14</v>
      </c>
      <c r="E2528" t="s">
        <v>5467</v>
      </c>
      <c r="F2528" t="s">
        <v>42</v>
      </c>
      <c r="G2528">
        <v>37.130000000000003</v>
      </c>
      <c r="H2528">
        <v>83</v>
      </c>
      <c r="I2528" t="s">
        <v>61</v>
      </c>
      <c r="J2528" t="s">
        <v>24</v>
      </c>
      <c r="K2528" t="s">
        <v>26</v>
      </c>
      <c r="L2528">
        <v>42</v>
      </c>
      <c r="M2528" t="str">
        <f t="shared" si="78"/>
        <v>High</v>
      </c>
      <c r="N2528" t="str">
        <f t="shared" si="79"/>
        <v>Good</v>
      </c>
    </row>
    <row r="2529" spans="1:14">
      <c r="A2529" t="s">
        <v>48</v>
      </c>
      <c r="B2529">
        <v>2023</v>
      </c>
      <c r="C2529" t="s">
        <v>5468</v>
      </c>
      <c r="D2529" t="s">
        <v>33</v>
      </c>
      <c r="E2529" t="s">
        <v>5469</v>
      </c>
      <c r="F2529" t="s">
        <v>35</v>
      </c>
      <c r="G2529">
        <v>19.16</v>
      </c>
      <c r="H2529">
        <v>93</v>
      </c>
      <c r="I2529" t="s">
        <v>17</v>
      </c>
      <c r="J2529" t="s">
        <v>37</v>
      </c>
      <c r="K2529" t="s">
        <v>4808</v>
      </c>
      <c r="L2529">
        <v>50</v>
      </c>
      <c r="M2529" t="str">
        <f t="shared" si="78"/>
        <v>Medium</v>
      </c>
      <c r="N2529" t="str">
        <f t="shared" si="79"/>
        <v>Excellent</v>
      </c>
    </row>
    <row r="2530" spans="1:14">
      <c r="A2530" t="s">
        <v>12</v>
      </c>
      <c r="B2530">
        <v>2005</v>
      </c>
      <c r="C2530" t="s">
        <v>5470</v>
      </c>
      <c r="D2530" t="s">
        <v>33</v>
      </c>
      <c r="E2530" t="s">
        <v>5471</v>
      </c>
      <c r="F2530" t="s">
        <v>46</v>
      </c>
      <c r="G2530">
        <v>23.22</v>
      </c>
      <c r="H2530">
        <v>73</v>
      </c>
      <c r="I2530" t="s">
        <v>29</v>
      </c>
      <c r="J2530" t="s">
        <v>37</v>
      </c>
      <c r="K2530" t="s">
        <v>26</v>
      </c>
      <c r="L2530">
        <v>252</v>
      </c>
      <c r="M2530" t="str">
        <f t="shared" si="78"/>
        <v>Medium</v>
      </c>
      <c r="N2530" t="str">
        <f t="shared" si="79"/>
        <v>Average</v>
      </c>
    </row>
    <row r="2531" spans="1:14">
      <c r="A2531" t="s">
        <v>68</v>
      </c>
      <c r="B2531">
        <v>2025</v>
      </c>
      <c r="C2531" t="s">
        <v>5472</v>
      </c>
      <c r="D2531" t="s">
        <v>33</v>
      </c>
      <c r="E2531" t="s">
        <v>5439</v>
      </c>
      <c r="F2531" t="s">
        <v>46</v>
      </c>
      <c r="G2531">
        <v>8.8800000000000008</v>
      </c>
      <c r="H2531">
        <v>87</v>
      </c>
      <c r="I2531" t="s">
        <v>23</v>
      </c>
      <c r="J2531" t="s">
        <v>24</v>
      </c>
      <c r="K2531" t="s">
        <v>38</v>
      </c>
      <c r="L2531">
        <v>357</v>
      </c>
      <c r="M2531" t="str">
        <f t="shared" si="78"/>
        <v>Low</v>
      </c>
      <c r="N2531" t="str">
        <f t="shared" si="79"/>
        <v>Good</v>
      </c>
    </row>
    <row r="2532" spans="1:14">
      <c r="A2532" t="s">
        <v>20</v>
      </c>
      <c r="B2532">
        <v>2022</v>
      </c>
      <c r="C2532" t="s">
        <v>5473</v>
      </c>
      <c r="D2532" t="s">
        <v>14</v>
      </c>
      <c r="E2532" t="s">
        <v>5474</v>
      </c>
      <c r="F2532" t="s">
        <v>42</v>
      </c>
      <c r="G2532">
        <v>39.54</v>
      </c>
      <c r="H2532">
        <v>89</v>
      </c>
      <c r="I2532" t="s">
        <v>17</v>
      </c>
      <c r="J2532" t="s">
        <v>18</v>
      </c>
      <c r="K2532" t="s">
        <v>323</v>
      </c>
      <c r="L2532">
        <v>92</v>
      </c>
      <c r="M2532" t="str">
        <f t="shared" si="78"/>
        <v>High</v>
      </c>
      <c r="N2532" t="str">
        <f t="shared" si="79"/>
        <v>Good</v>
      </c>
    </row>
    <row r="2533" spans="1:14">
      <c r="A2533" t="s">
        <v>31</v>
      </c>
      <c r="B2533">
        <v>2012</v>
      </c>
      <c r="C2533" t="s">
        <v>5475</v>
      </c>
      <c r="D2533" t="s">
        <v>14</v>
      </c>
      <c r="E2533" t="s">
        <v>5476</v>
      </c>
      <c r="F2533" t="s">
        <v>16</v>
      </c>
      <c r="G2533">
        <v>24.77</v>
      </c>
      <c r="H2533">
        <v>55</v>
      </c>
      <c r="I2533" t="s">
        <v>23</v>
      </c>
      <c r="J2533" t="s">
        <v>18</v>
      </c>
      <c r="K2533" t="s">
        <v>292</v>
      </c>
      <c r="L2533">
        <v>67</v>
      </c>
      <c r="M2533" t="str">
        <f t="shared" si="78"/>
        <v>Medium</v>
      </c>
      <c r="N2533" t="str">
        <f t="shared" si="79"/>
        <v>Average</v>
      </c>
    </row>
    <row r="2534" spans="1:14">
      <c r="A2534" t="s">
        <v>39</v>
      </c>
      <c r="B2534">
        <v>2014</v>
      </c>
      <c r="C2534" t="s">
        <v>5477</v>
      </c>
      <c r="D2534" t="s">
        <v>14</v>
      </c>
      <c r="E2534" t="s">
        <v>5478</v>
      </c>
      <c r="F2534" t="s">
        <v>35</v>
      </c>
      <c r="G2534">
        <v>45.37</v>
      </c>
      <c r="H2534">
        <v>65</v>
      </c>
      <c r="I2534" t="s">
        <v>17</v>
      </c>
      <c r="J2534" t="s">
        <v>18</v>
      </c>
      <c r="K2534" t="s">
        <v>68</v>
      </c>
      <c r="L2534">
        <v>289</v>
      </c>
      <c r="M2534" t="str">
        <f t="shared" si="78"/>
        <v>High</v>
      </c>
      <c r="N2534" t="str">
        <f t="shared" si="79"/>
        <v>Average</v>
      </c>
    </row>
    <row r="2535" spans="1:14">
      <c r="A2535" t="s">
        <v>39</v>
      </c>
      <c r="B2535">
        <v>2025</v>
      </c>
      <c r="C2535" t="s">
        <v>5479</v>
      </c>
      <c r="D2535" t="s">
        <v>14</v>
      </c>
      <c r="E2535" t="s">
        <v>5480</v>
      </c>
      <c r="F2535" t="s">
        <v>42</v>
      </c>
      <c r="G2535">
        <v>48.51</v>
      </c>
      <c r="H2535">
        <v>58</v>
      </c>
      <c r="I2535" t="s">
        <v>36</v>
      </c>
      <c r="J2535" t="s">
        <v>24</v>
      </c>
      <c r="K2535" t="s">
        <v>38</v>
      </c>
      <c r="L2535">
        <v>13</v>
      </c>
      <c r="M2535" t="str">
        <f t="shared" si="78"/>
        <v>High</v>
      </c>
      <c r="N2535" t="str">
        <f t="shared" si="79"/>
        <v>Average</v>
      </c>
    </row>
    <row r="2536" spans="1:14">
      <c r="A2536" t="s">
        <v>68</v>
      </c>
      <c r="B2536">
        <v>2007</v>
      </c>
      <c r="C2536" t="s">
        <v>5481</v>
      </c>
      <c r="D2536" t="s">
        <v>33</v>
      </c>
      <c r="E2536" t="s">
        <v>5482</v>
      </c>
      <c r="F2536" t="s">
        <v>16</v>
      </c>
      <c r="G2536">
        <v>26.74</v>
      </c>
      <c r="H2536">
        <v>66</v>
      </c>
      <c r="I2536" t="s">
        <v>23</v>
      </c>
      <c r="J2536" t="s">
        <v>18</v>
      </c>
      <c r="K2536" t="s">
        <v>2525</v>
      </c>
      <c r="L2536">
        <v>84</v>
      </c>
      <c r="M2536" t="str">
        <f t="shared" si="78"/>
        <v>Medium</v>
      </c>
      <c r="N2536" t="str">
        <f t="shared" si="79"/>
        <v>Average</v>
      </c>
    </row>
    <row r="2537" spans="1:14">
      <c r="A2537" t="s">
        <v>31</v>
      </c>
      <c r="B2537">
        <v>2019</v>
      </c>
      <c r="C2537" t="s">
        <v>5483</v>
      </c>
      <c r="D2537" t="s">
        <v>14</v>
      </c>
      <c r="E2537" t="s">
        <v>5484</v>
      </c>
      <c r="F2537" t="s">
        <v>46</v>
      </c>
      <c r="G2537">
        <v>34.83</v>
      </c>
      <c r="H2537">
        <v>82</v>
      </c>
      <c r="I2537" t="s">
        <v>17</v>
      </c>
      <c r="J2537" t="s">
        <v>37</v>
      </c>
      <c r="K2537" t="s">
        <v>39</v>
      </c>
      <c r="L2537">
        <v>211</v>
      </c>
      <c r="M2537" t="str">
        <f t="shared" si="78"/>
        <v>Medium</v>
      </c>
      <c r="N2537" t="str">
        <f t="shared" si="79"/>
        <v>Good</v>
      </c>
    </row>
    <row r="2538" spans="1:14">
      <c r="A2538" t="s">
        <v>39</v>
      </c>
      <c r="B2538">
        <v>2003</v>
      </c>
      <c r="C2538" t="s">
        <v>5485</v>
      </c>
      <c r="D2538" t="s">
        <v>14</v>
      </c>
      <c r="E2538" t="s">
        <v>3166</v>
      </c>
      <c r="F2538" t="s">
        <v>16</v>
      </c>
      <c r="G2538">
        <v>5.65</v>
      </c>
      <c r="H2538">
        <v>95</v>
      </c>
      <c r="I2538" t="s">
        <v>29</v>
      </c>
      <c r="J2538" t="s">
        <v>24</v>
      </c>
      <c r="K2538" t="s">
        <v>2117</v>
      </c>
      <c r="L2538">
        <v>227</v>
      </c>
      <c r="M2538" t="str">
        <f t="shared" si="78"/>
        <v>Low</v>
      </c>
      <c r="N2538" t="str">
        <f t="shared" si="79"/>
        <v>Excellent</v>
      </c>
    </row>
    <row r="2539" spans="1:14">
      <c r="A2539" t="s">
        <v>31</v>
      </c>
      <c r="B2539">
        <v>2021</v>
      </c>
      <c r="C2539" t="s">
        <v>5486</v>
      </c>
      <c r="D2539" t="s">
        <v>33</v>
      </c>
      <c r="E2539" t="s">
        <v>4469</v>
      </c>
      <c r="F2539" t="s">
        <v>46</v>
      </c>
      <c r="G2539">
        <v>47.34</v>
      </c>
      <c r="H2539">
        <v>96</v>
      </c>
      <c r="I2539" t="s">
        <v>36</v>
      </c>
      <c r="J2539" t="s">
        <v>37</v>
      </c>
      <c r="K2539" t="s">
        <v>1986</v>
      </c>
      <c r="L2539">
        <v>69</v>
      </c>
      <c r="M2539" t="str">
        <f t="shared" si="78"/>
        <v>High</v>
      </c>
      <c r="N2539" t="str">
        <f t="shared" si="79"/>
        <v>Excellent</v>
      </c>
    </row>
    <row r="2540" spans="1:14">
      <c r="A2540" t="s">
        <v>12</v>
      </c>
      <c r="B2540">
        <v>2002</v>
      </c>
      <c r="C2540" t="s">
        <v>5487</v>
      </c>
      <c r="D2540" t="s">
        <v>14</v>
      </c>
      <c r="E2540" t="s">
        <v>5488</v>
      </c>
      <c r="F2540" t="s">
        <v>57</v>
      </c>
      <c r="G2540">
        <v>23.1</v>
      </c>
      <c r="H2540">
        <v>70</v>
      </c>
      <c r="I2540" t="s">
        <v>29</v>
      </c>
      <c r="J2540" t="s">
        <v>37</v>
      </c>
      <c r="K2540" t="s">
        <v>1131</v>
      </c>
      <c r="L2540">
        <v>203</v>
      </c>
      <c r="M2540" t="str">
        <f t="shared" si="78"/>
        <v>Medium</v>
      </c>
      <c r="N2540" t="str">
        <f t="shared" si="79"/>
        <v>Average</v>
      </c>
    </row>
    <row r="2541" spans="1:14">
      <c r="A2541" t="s">
        <v>65</v>
      </c>
      <c r="B2541">
        <v>2017</v>
      </c>
      <c r="C2541" t="s">
        <v>5489</v>
      </c>
      <c r="D2541" t="s">
        <v>14</v>
      </c>
      <c r="E2541" t="s">
        <v>5490</v>
      </c>
      <c r="F2541" t="s">
        <v>35</v>
      </c>
      <c r="G2541">
        <v>37.67</v>
      </c>
      <c r="H2541">
        <v>100</v>
      </c>
      <c r="I2541" t="s">
        <v>23</v>
      </c>
      <c r="J2541" t="s">
        <v>24</v>
      </c>
      <c r="K2541" t="s">
        <v>3203</v>
      </c>
      <c r="L2541">
        <v>163</v>
      </c>
      <c r="M2541" t="str">
        <f t="shared" si="78"/>
        <v>High</v>
      </c>
      <c r="N2541" t="str">
        <f t="shared" si="79"/>
        <v>Excellent</v>
      </c>
    </row>
    <row r="2542" spans="1:14">
      <c r="A2542" t="s">
        <v>26</v>
      </c>
      <c r="B2542">
        <v>2003</v>
      </c>
      <c r="C2542" t="s">
        <v>5491</v>
      </c>
      <c r="D2542" t="s">
        <v>33</v>
      </c>
      <c r="E2542" t="s">
        <v>5492</v>
      </c>
      <c r="F2542" t="s">
        <v>57</v>
      </c>
      <c r="G2542">
        <v>48.5</v>
      </c>
      <c r="H2542">
        <v>85</v>
      </c>
      <c r="I2542" t="s">
        <v>17</v>
      </c>
      <c r="J2542" t="s">
        <v>37</v>
      </c>
      <c r="K2542" t="s">
        <v>3401</v>
      </c>
      <c r="L2542">
        <v>142</v>
      </c>
      <c r="M2542" t="str">
        <f t="shared" si="78"/>
        <v>High</v>
      </c>
      <c r="N2542" t="str">
        <f t="shared" si="79"/>
        <v>Good</v>
      </c>
    </row>
    <row r="2543" spans="1:14">
      <c r="A2543" t="s">
        <v>48</v>
      </c>
      <c r="B2543">
        <v>2012</v>
      </c>
      <c r="C2543" t="s">
        <v>5493</v>
      </c>
      <c r="D2543" t="s">
        <v>14</v>
      </c>
      <c r="E2543" t="s">
        <v>3864</v>
      </c>
      <c r="F2543" t="s">
        <v>42</v>
      </c>
      <c r="G2543">
        <v>8.75</v>
      </c>
      <c r="H2543">
        <v>51</v>
      </c>
      <c r="I2543" t="s">
        <v>36</v>
      </c>
      <c r="J2543" t="s">
        <v>37</v>
      </c>
      <c r="K2543" t="s">
        <v>65</v>
      </c>
      <c r="L2543">
        <v>33</v>
      </c>
      <c r="M2543" t="str">
        <f t="shared" si="78"/>
        <v>Low</v>
      </c>
      <c r="N2543" t="str">
        <f t="shared" si="79"/>
        <v>Average</v>
      </c>
    </row>
    <row r="2544" spans="1:14">
      <c r="A2544" t="s">
        <v>31</v>
      </c>
      <c r="B2544">
        <v>2023</v>
      </c>
      <c r="C2544" t="s">
        <v>5494</v>
      </c>
      <c r="D2544" t="s">
        <v>33</v>
      </c>
      <c r="E2544" t="s">
        <v>5495</v>
      </c>
      <c r="F2544" t="s">
        <v>46</v>
      </c>
      <c r="G2544">
        <v>44.18</v>
      </c>
      <c r="H2544">
        <v>74</v>
      </c>
      <c r="I2544" t="s">
        <v>36</v>
      </c>
      <c r="J2544" t="s">
        <v>24</v>
      </c>
      <c r="K2544" t="s">
        <v>1283</v>
      </c>
      <c r="L2544">
        <v>217</v>
      </c>
      <c r="M2544" t="str">
        <f t="shared" si="78"/>
        <v>High</v>
      </c>
      <c r="N2544" t="str">
        <f t="shared" si="79"/>
        <v>Average</v>
      </c>
    </row>
    <row r="2545" spans="1:14">
      <c r="A2545" t="s">
        <v>20</v>
      </c>
      <c r="B2545">
        <v>2016</v>
      </c>
      <c r="C2545" t="s">
        <v>5496</v>
      </c>
      <c r="D2545" t="s">
        <v>33</v>
      </c>
      <c r="E2545" t="s">
        <v>5497</v>
      </c>
      <c r="F2545" t="s">
        <v>46</v>
      </c>
      <c r="G2545">
        <v>20.260000000000002</v>
      </c>
      <c r="H2545">
        <v>83</v>
      </c>
      <c r="I2545" t="s">
        <v>29</v>
      </c>
      <c r="J2545" t="s">
        <v>18</v>
      </c>
      <c r="K2545" t="s">
        <v>26</v>
      </c>
      <c r="L2545">
        <v>258</v>
      </c>
      <c r="M2545" t="str">
        <f t="shared" si="78"/>
        <v>Medium</v>
      </c>
      <c r="N2545" t="str">
        <f t="shared" si="79"/>
        <v>Good</v>
      </c>
    </row>
    <row r="2546" spans="1:14">
      <c r="A2546" t="s">
        <v>26</v>
      </c>
      <c r="B2546">
        <v>2020</v>
      </c>
      <c r="C2546" t="s">
        <v>5498</v>
      </c>
      <c r="D2546" t="s">
        <v>33</v>
      </c>
      <c r="E2546" t="s">
        <v>5499</v>
      </c>
      <c r="F2546" t="s">
        <v>35</v>
      </c>
      <c r="G2546">
        <v>1.71</v>
      </c>
      <c r="H2546">
        <v>97</v>
      </c>
      <c r="I2546" t="s">
        <v>36</v>
      </c>
      <c r="J2546" t="s">
        <v>18</v>
      </c>
      <c r="K2546" t="s">
        <v>2361</v>
      </c>
      <c r="L2546">
        <v>218</v>
      </c>
      <c r="M2546" t="str">
        <f t="shared" si="78"/>
        <v>Low</v>
      </c>
      <c r="N2546" t="str">
        <f t="shared" si="79"/>
        <v>Excellent</v>
      </c>
    </row>
    <row r="2547" spans="1:14">
      <c r="A2547" t="s">
        <v>31</v>
      </c>
      <c r="B2547">
        <v>2022</v>
      </c>
      <c r="C2547" t="s">
        <v>5500</v>
      </c>
      <c r="D2547" t="s">
        <v>33</v>
      </c>
      <c r="E2547" t="s">
        <v>5501</v>
      </c>
      <c r="F2547" t="s">
        <v>46</v>
      </c>
      <c r="G2547">
        <v>44.03</v>
      </c>
      <c r="H2547">
        <v>57</v>
      </c>
      <c r="I2547" t="s">
        <v>36</v>
      </c>
      <c r="J2547" t="s">
        <v>37</v>
      </c>
      <c r="K2547" t="s">
        <v>2192</v>
      </c>
      <c r="L2547">
        <v>88</v>
      </c>
      <c r="M2547" t="str">
        <f t="shared" si="78"/>
        <v>High</v>
      </c>
      <c r="N2547" t="str">
        <f t="shared" si="79"/>
        <v>Average</v>
      </c>
    </row>
    <row r="2548" spans="1:14">
      <c r="A2548" t="s">
        <v>31</v>
      </c>
      <c r="B2548">
        <v>2007</v>
      </c>
      <c r="C2548" t="s">
        <v>5502</v>
      </c>
      <c r="D2548" t="s">
        <v>14</v>
      </c>
      <c r="E2548" t="s">
        <v>5503</v>
      </c>
      <c r="F2548" t="s">
        <v>46</v>
      </c>
      <c r="G2548">
        <v>21.03</v>
      </c>
      <c r="H2548">
        <v>97</v>
      </c>
      <c r="I2548" t="s">
        <v>29</v>
      </c>
      <c r="J2548" t="s">
        <v>37</v>
      </c>
      <c r="K2548" t="s">
        <v>38</v>
      </c>
      <c r="L2548">
        <v>355</v>
      </c>
      <c r="M2548" t="str">
        <f t="shared" si="78"/>
        <v>Medium</v>
      </c>
      <c r="N2548" t="str">
        <f t="shared" si="79"/>
        <v>Excellent</v>
      </c>
    </row>
    <row r="2549" spans="1:14">
      <c r="A2549" t="s">
        <v>26</v>
      </c>
      <c r="B2549">
        <v>2018</v>
      </c>
      <c r="C2549" t="s">
        <v>5504</v>
      </c>
      <c r="D2549" t="s">
        <v>14</v>
      </c>
      <c r="E2549" t="s">
        <v>122</v>
      </c>
      <c r="F2549" t="s">
        <v>57</v>
      </c>
      <c r="G2549">
        <v>44.79</v>
      </c>
      <c r="H2549">
        <v>58</v>
      </c>
      <c r="I2549" t="s">
        <v>29</v>
      </c>
      <c r="J2549" t="s">
        <v>24</v>
      </c>
      <c r="K2549" t="s">
        <v>996</v>
      </c>
      <c r="L2549">
        <v>13</v>
      </c>
      <c r="M2549" t="str">
        <f t="shared" si="78"/>
        <v>High</v>
      </c>
      <c r="N2549" t="str">
        <f t="shared" si="79"/>
        <v>Average</v>
      </c>
    </row>
    <row r="2550" spans="1:14">
      <c r="A2550" t="s">
        <v>12</v>
      </c>
      <c r="B2550">
        <v>2013</v>
      </c>
      <c r="C2550" t="s">
        <v>5505</v>
      </c>
      <c r="D2550" t="s">
        <v>33</v>
      </c>
      <c r="E2550" t="s">
        <v>3820</v>
      </c>
      <c r="F2550" t="s">
        <v>16</v>
      </c>
      <c r="G2550">
        <v>39.42</v>
      </c>
      <c r="H2550">
        <v>88</v>
      </c>
      <c r="I2550" t="s">
        <v>29</v>
      </c>
      <c r="J2550" t="s">
        <v>37</v>
      </c>
      <c r="K2550" t="s">
        <v>48</v>
      </c>
      <c r="L2550">
        <v>99</v>
      </c>
      <c r="M2550" t="str">
        <f t="shared" si="78"/>
        <v>High</v>
      </c>
      <c r="N2550" t="str">
        <f t="shared" si="79"/>
        <v>Good</v>
      </c>
    </row>
    <row r="2551" spans="1:14">
      <c r="A2551" t="s">
        <v>31</v>
      </c>
      <c r="B2551">
        <v>2000</v>
      </c>
      <c r="C2551" t="s">
        <v>5506</v>
      </c>
      <c r="D2551" t="s">
        <v>14</v>
      </c>
      <c r="E2551" t="s">
        <v>5507</v>
      </c>
      <c r="F2551" t="s">
        <v>57</v>
      </c>
      <c r="G2551">
        <v>46.67</v>
      </c>
      <c r="H2551">
        <v>61</v>
      </c>
      <c r="I2551" t="s">
        <v>29</v>
      </c>
      <c r="J2551" t="s">
        <v>24</v>
      </c>
      <c r="K2551" t="s">
        <v>38</v>
      </c>
      <c r="L2551">
        <v>348</v>
      </c>
      <c r="M2551" t="str">
        <f t="shared" si="78"/>
        <v>High</v>
      </c>
      <c r="N2551" t="str">
        <f t="shared" si="79"/>
        <v>Average</v>
      </c>
    </row>
    <row r="2552" spans="1:14">
      <c r="A2552" t="s">
        <v>47</v>
      </c>
      <c r="B2552">
        <v>2021</v>
      </c>
      <c r="C2552" t="s">
        <v>5508</v>
      </c>
      <c r="D2552" t="s">
        <v>14</v>
      </c>
      <c r="E2552" t="s">
        <v>5509</v>
      </c>
      <c r="F2552" t="s">
        <v>57</v>
      </c>
      <c r="G2552">
        <v>20.38</v>
      </c>
      <c r="H2552">
        <v>85</v>
      </c>
      <c r="I2552" t="s">
        <v>23</v>
      </c>
      <c r="J2552" t="s">
        <v>24</v>
      </c>
      <c r="K2552" t="s">
        <v>26</v>
      </c>
      <c r="L2552">
        <v>191</v>
      </c>
      <c r="M2552" t="str">
        <f t="shared" si="78"/>
        <v>Medium</v>
      </c>
      <c r="N2552" t="str">
        <f t="shared" si="79"/>
        <v>Good</v>
      </c>
    </row>
    <row r="2553" spans="1:14">
      <c r="A2553" t="s">
        <v>31</v>
      </c>
      <c r="B2553">
        <v>2012</v>
      </c>
      <c r="C2553" t="s">
        <v>5510</v>
      </c>
      <c r="D2553" t="s">
        <v>14</v>
      </c>
      <c r="E2553" t="s">
        <v>5511</v>
      </c>
      <c r="F2553" t="s">
        <v>16</v>
      </c>
      <c r="G2553">
        <v>4.47</v>
      </c>
      <c r="H2553">
        <v>54</v>
      </c>
      <c r="I2553" t="s">
        <v>61</v>
      </c>
      <c r="J2553" t="s">
        <v>24</v>
      </c>
      <c r="K2553" t="s">
        <v>317</v>
      </c>
      <c r="L2553">
        <v>90</v>
      </c>
      <c r="M2553" t="str">
        <f t="shared" si="78"/>
        <v>Low</v>
      </c>
      <c r="N2553" t="str">
        <f t="shared" si="79"/>
        <v>Average</v>
      </c>
    </row>
    <row r="2554" spans="1:14">
      <c r="A2554" t="s">
        <v>31</v>
      </c>
      <c r="B2554">
        <v>2009</v>
      </c>
      <c r="C2554" t="s">
        <v>5512</v>
      </c>
      <c r="D2554" t="s">
        <v>33</v>
      </c>
      <c r="E2554" t="s">
        <v>5513</v>
      </c>
      <c r="F2554" t="s">
        <v>46</v>
      </c>
      <c r="G2554">
        <v>0.9</v>
      </c>
      <c r="H2554">
        <v>83</v>
      </c>
      <c r="I2554" t="s">
        <v>17</v>
      </c>
      <c r="J2554" t="s">
        <v>24</v>
      </c>
      <c r="K2554" t="s">
        <v>1724</v>
      </c>
      <c r="L2554">
        <v>247</v>
      </c>
      <c r="M2554" t="str">
        <f t="shared" si="78"/>
        <v>Low</v>
      </c>
      <c r="N2554" t="str">
        <f t="shared" si="79"/>
        <v>Good</v>
      </c>
    </row>
    <row r="2555" spans="1:14">
      <c r="A2555" t="s">
        <v>38</v>
      </c>
      <c r="B2555">
        <v>2010</v>
      </c>
      <c r="C2555" t="s">
        <v>5514</v>
      </c>
      <c r="D2555" t="s">
        <v>14</v>
      </c>
      <c r="E2555" t="s">
        <v>5515</v>
      </c>
      <c r="F2555" t="s">
        <v>57</v>
      </c>
      <c r="G2555">
        <v>29.05</v>
      </c>
      <c r="H2555">
        <v>75</v>
      </c>
      <c r="I2555" t="s">
        <v>36</v>
      </c>
      <c r="J2555" t="s">
        <v>24</v>
      </c>
      <c r="K2555" t="s">
        <v>3711</v>
      </c>
      <c r="L2555">
        <v>69</v>
      </c>
      <c r="M2555" t="str">
        <f t="shared" si="78"/>
        <v>Medium</v>
      </c>
      <c r="N2555" t="str">
        <f t="shared" si="79"/>
        <v>Good</v>
      </c>
    </row>
    <row r="2556" spans="1:14">
      <c r="A2556" t="s">
        <v>48</v>
      </c>
      <c r="B2556">
        <v>2011</v>
      </c>
      <c r="C2556" t="s">
        <v>5516</v>
      </c>
      <c r="D2556" t="s">
        <v>14</v>
      </c>
      <c r="E2556" t="s">
        <v>5517</v>
      </c>
      <c r="F2556" t="s">
        <v>57</v>
      </c>
      <c r="G2556">
        <v>30.47</v>
      </c>
      <c r="H2556">
        <v>91</v>
      </c>
      <c r="I2556" t="s">
        <v>36</v>
      </c>
      <c r="J2556" t="s">
        <v>37</v>
      </c>
      <c r="K2556" t="s">
        <v>505</v>
      </c>
      <c r="L2556">
        <v>344</v>
      </c>
      <c r="M2556" t="str">
        <f t="shared" si="78"/>
        <v>Medium</v>
      </c>
      <c r="N2556" t="str">
        <f t="shared" si="79"/>
        <v>Excellent</v>
      </c>
    </row>
    <row r="2557" spans="1:14">
      <c r="A2557" t="s">
        <v>47</v>
      </c>
      <c r="B2557">
        <v>2023</v>
      </c>
      <c r="C2557" t="s">
        <v>5518</v>
      </c>
      <c r="D2557" t="s">
        <v>33</v>
      </c>
      <c r="E2557" t="s">
        <v>3235</v>
      </c>
      <c r="F2557" t="s">
        <v>42</v>
      </c>
      <c r="G2557">
        <v>48.63</v>
      </c>
      <c r="H2557">
        <v>62</v>
      </c>
      <c r="I2557" t="s">
        <v>23</v>
      </c>
      <c r="J2557" t="s">
        <v>18</v>
      </c>
      <c r="K2557" t="s">
        <v>4929</v>
      </c>
      <c r="L2557">
        <v>257</v>
      </c>
      <c r="M2557" t="str">
        <f t="shared" si="78"/>
        <v>High</v>
      </c>
      <c r="N2557" t="str">
        <f t="shared" si="79"/>
        <v>Average</v>
      </c>
    </row>
    <row r="2558" spans="1:14">
      <c r="A2558" t="s">
        <v>20</v>
      </c>
      <c r="B2558">
        <v>2006</v>
      </c>
      <c r="C2558" t="s">
        <v>5519</v>
      </c>
      <c r="D2558" t="s">
        <v>14</v>
      </c>
      <c r="E2558" t="s">
        <v>4510</v>
      </c>
      <c r="F2558" t="s">
        <v>35</v>
      </c>
      <c r="G2558">
        <v>3.06</v>
      </c>
      <c r="H2558">
        <v>76</v>
      </c>
      <c r="I2558" t="s">
        <v>36</v>
      </c>
      <c r="J2558" t="s">
        <v>24</v>
      </c>
      <c r="K2558" t="s">
        <v>311</v>
      </c>
      <c r="L2558">
        <v>227</v>
      </c>
      <c r="M2558" t="str">
        <f t="shared" si="78"/>
        <v>Low</v>
      </c>
      <c r="N2558" t="str">
        <f t="shared" si="79"/>
        <v>Good</v>
      </c>
    </row>
    <row r="2559" spans="1:14">
      <c r="A2559" t="s">
        <v>39</v>
      </c>
      <c r="B2559">
        <v>2001</v>
      </c>
      <c r="C2559" t="s">
        <v>5520</v>
      </c>
      <c r="D2559" t="s">
        <v>33</v>
      </c>
      <c r="E2559" t="s">
        <v>5521</v>
      </c>
      <c r="F2559" t="s">
        <v>35</v>
      </c>
      <c r="G2559">
        <v>23.97</v>
      </c>
      <c r="H2559">
        <v>57</v>
      </c>
      <c r="I2559" t="s">
        <v>23</v>
      </c>
      <c r="J2559" t="s">
        <v>24</v>
      </c>
      <c r="K2559" t="s">
        <v>65</v>
      </c>
      <c r="L2559">
        <v>227</v>
      </c>
      <c r="M2559" t="str">
        <f t="shared" si="78"/>
        <v>Medium</v>
      </c>
      <c r="N2559" t="str">
        <f t="shared" si="79"/>
        <v>Average</v>
      </c>
    </row>
    <row r="2560" spans="1:14">
      <c r="A2560" t="s">
        <v>39</v>
      </c>
      <c r="B2560">
        <v>2014</v>
      </c>
      <c r="C2560" t="s">
        <v>5522</v>
      </c>
      <c r="D2560" t="s">
        <v>14</v>
      </c>
      <c r="E2560" t="s">
        <v>5523</v>
      </c>
      <c r="F2560" t="s">
        <v>16</v>
      </c>
      <c r="G2560">
        <v>22.92</v>
      </c>
      <c r="H2560">
        <v>66</v>
      </c>
      <c r="I2560" t="s">
        <v>23</v>
      </c>
      <c r="J2560" t="s">
        <v>24</v>
      </c>
      <c r="K2560" t="s">
        <v>48</v>
      </c>
      <c r="L2560">
        <v>119</v>
      </c>
      <c r="M2560" t="str">
        <f t="shared" si="78"/>
        <v>Medium</v>
      </c>
      <c r="N2560" t="str">
        <f t="shared" si="79"/>
        <v>Average</v>
      </c>
    </row>
    <row r="2561" spans="1:14">
      <c r="A2561" t="s">
        <v>26</v>
      </c>
      <c r="B2561">
        <v>2014</v>
      </c>
      <c r="C2561" t="s">
        <v>5524</v>
      </c>
      <c r="D2561" t="s">
        <v>14</v>
      </c>
      <c r="E2561" t="s">
        <v>5525</v>
      </c>
      <c r="F2561" t="s">
        <v>42</v>
      </c>
      <c r="G2561">
        <v>21.95</v>
      </c>
      <c r="H2561">
        <v>97</v>
      </c>
      <c r="I2561" t="s">
        <v>61</v>
      </c>
      <c r="J2561" t="s">
        <v>37</v>
      </c>
      <c r="K2561" t="s">
        <v>5526</v>
      </c>
      <c r="L2561">
        <v>307</v>
      </c>
      <c r="M2561" t="str">
        <f t="shared" si="78"/>
        <v>Medium</v>
      </c>
      <c r="N2561" t="str">
        <f t="shared" si="79"/>
        <v>Excellent</v>
      </c>
    </row>
    <row r="2562" spans="1:14">
      <c r="A2562" t="s">
        <v>31</v>
      </c>
      <c r="B2562">
        <v>2007</v>
      </c>
      <c r="C2562" t="s">
        <v>5527</v>
      </c>
      <c r="D2562" t="s">
        <v>14</v>
      </c>
      <c r="E2562" t="s">
        <v>5528</v>
      </c>
      <c r="F2562" t="s">
        <v>16</v>
      </c>
      <c r="G2562">
        <v>38.729999999999997</v>
      </c>
      <c r="H2562">
        <v>82</v>
      </c>
      <c r="I2562" t="s">
        <v>36</v>
      </c>
      <c r="J2562" t="s">
        <v>37</v>
      </c>
      <c r="K2562" t="s">
        <v>31</v>
      </c>
      <c r="L2562">
        <v>291</v>
      </c>
      <c r="M2562" t="str">
        <f t="shared" si="78"/>
        <v>High</v>
      </c>
      <c r="N2562" t="str">
        <f t="shared" si="79"/>
        <v>Good</v>
      </c>
    </row>
    <row r="2563" spans="1:14">
      <c r="A2563" t="s">
        <v>20</v>
      </c>
      <c r="B2563">
        <v>2013</v>
      </c>
      <c r="C2563" t="s">
        <v>5529</v>
      </c>
      <c r="D2563" t="s">
        <v>14</v>
      </c>
      <c r="E2563" t="s">
        <v>5530</v>
      </c>
      <c r="F2563" t="s">
        <v>42</v>
      </c>
      <c r="G2563">
        <v>21.71</v>
      </c>
      <c r="H2563">
        <v>50</v>
      </c>
      <c r="I2563" t="s">
        <v>61</v>
      </c>
      <c r="J2563" t="s">
        <v>37</v>
      </c>
      <c r="K2563" t="s">
        <v>26</v>
      </c>
      <c r="L2563">
        <v>104</v>
      </c>
      <c r="M2563" t="str">
        <f t="shared" ref="M2563:M2626" si="80">IF(G2563&lt;15,"Low",IF(G2563&lt;35,"Medium","High"))</f>
        <v>Medium</v>
      </c>
      <c r="N2563" t="str">
        <f t="shared" ref="N2563:N2626" si="81">IF(H2563&gt;=90,"Excellent",IF(H2563&gt;=75,"Good","Average"))</f>
        <v>Average</v>
      </c>
    </row>
    <row r="2564" spans="1:14">
      <c r="A2564" t="s">
        <v>65</v>
      </c>
      <c r="B2564">
        <v>2002</v>
      </c>
      <c r="C2564" t="s">
        <v>5531</v>
      </c>
      <c r="D2564" t="s">
        <v>14</v>
      </c>
      <c r="E2564" t="s">
        <v>3007</v>
      </c>
      <c r="F2564" t="s">
        <v>35</v>
      </c>
      <c r="G2564">
        <v>44.45</v>
      </c>
      <c r="H2564">
        <v>95</v>
      </c>
      <c r="I2564" t="s">
        <v>36</v>
      </c>
      <c r="J2564" t="s">
        <v>18</v>
      </c>
      <c r="K2564" t="s">
        <v>48</v>
      </c>
      <c r="L2564">
        <v>41</v>
      </c>
      <c r="M2564" t="str">
        <f t="shared" si="80"/>
        <v>High</v>
      </c>
      <c r="N2564" t="str">
        <f t="shared" si="81"/>
        <v>Excellent</v>
      </c>
    </row>
    <row r="2565" spans="1:14">
      <c r="A2565" t="s">
        <v>48</v>
      </c>
      <c r="B2565">
        <v>2013</v>
      </c>
      <c r="C2565" t="s">
        <v>5532</v>
      </c>
      <c r="D2565" t="s">
        <v>14</v>
      </c>
      <c r="E2565" t="s">
        <v>5533</v>
      </c>
      <c r="F2565" t="s">
        <v>35</v>
      </c>
      <c r="G2565">
        <v>12.45</v>
      </c>
      <c r="H2565">
        <v>55</v>
      </c>
      <c r="I2565" t="s">
        <v>17</v>
      </c>
      <c r="J2565" t="s">
        <v>24</v>
      </c>
      <c r="K2565" t="s">
        <v>2097</v>
      </c>
      <c r="L2565">
        <v>354</v>
      </c>
      <c r="M2565" t="str">
        <f t="shared" si="80"/>
        <v>Low</v>
      </c>
      <c r="N2565" t="str">
        <f t="shared" si="81"/>
        <v>Average</v>
      </c>
    </row>
    <row r="2566" spans="1:14">
      <c r="A2566" t="s">
        <v>47</v>
      </c>
      <c r="B2566">
        <v>2014</v>
      </c>
      <c r="C2566" t="s">
        <v>5534</v>
      </c>
      <c r="D2566" t="s">
        <v>14</v>
      </c>
      <c r="E2566" t="s">
        <v>5535</v>
      </c>
      <c r="F2566" t="s">
        <v>46</v>
      </c>
      <c r="G2566">
        <v>41.97</v>
      </c>
      <c r="H2566">
        <v>98</v>
      </c>
      <c r="I2566" t="s">
        <v>17</v>
      </c>
      <c r="J2566" t="s">
        <v>24</v>
      </c>
      <c r="K2566" t="s">
        <v>317</v>
      </c>
      <c r="L2566">
        <v>202</v>
      </c>
      <c r="M2566" t="str">
        <f t="shared" si="80"/>
        <v>High</v>
      </c>
      <c r="N2566" t="str">
        <f t="shared" si="81"/>
        <v>Excellent</v>
      </c>
    </row>
    <row r="2567" spans="1:14">
      <c r="A2567" t="s">
        <v>31</v>
      </c>
      <c r="B2567">
        <v>2019</v>
      </c>
      <c r="C2567" t="s">
        <v>5536</v>
      </c>
      <c r="D2567" t="s">
        <v>14</v>
      </c>
      <c r="E2567" t="s">
        <v>5537</v>
      </c>
      <c r="F2567" t="s">
        <v>42</v>
      </c>
      <c r="G2567">
        <v>29.32</v>
      </c>
      <c r="H2567">
        <v>56</v>
      </c>
      <c r="I2567" t="s">
        <v>29</v>
      </c>
      <c r="J2567" t="s">
        <v>18</v>
      </c>
      <c r="K2567" t="s">
        <v>26</v>
      </c>
      <c r="L2567">
        <v>329</v>
      </c>
      <c r="M2567" t="str">
        <f t="shared" si="80"/>
        <v>Medium</v>
      </c>
      <c r="N2567" t="str">
        <f t="shared" si="81"/>
        <v>Average</v>
      </c>
    </row>
    <row r="2568" spans="1:14">
      <c r="A2568" t="s">
        <v>26</v>
      </c>
      <c r="B2568">
        <v>2005</v>
      </c>
      <c r="C2568" t="s">
        <v>5538</v>
      </c>
      <c r="D2568" t="s">
        <v>33</v>
      </c>
      <c r="E2568" t="s">
        <v>5539</v>
      </c>
      <c r="F2568" t="s">
        <v>35</v>
      </c>
      <c r="G2568">
        <v>6.13</v>
      </c>
      <c r="H2568">
        <v>71</v>
      </c>
      <c r="I2568" t="s">
        <v>23</v>
      </c>
      <c r="J2568" t="s">
        <v>37</v>
      </c>
      <c r="K2568" t="s">
        <v>610</v>
      </c>
      <c r="L2568">
        <v>220</v>
      </c>
      <c r="M2568" t="str">
        <f t="shared" si="80"/>
        <v>Low</v>
      </c>
      <c r="N2568" t="str">
        <f t="shared" si="81"/>
        <v>Average</v>
      </c>
    </row>
    <row r="2569" spans="1:14">
      <c r="A2569" t="s">
        <v>39</v>
      </c>
      <c r="B2569">
        <v>2004</v>
      </c>
      <c r="C2569" t="s">
        <v>5540</v>
      </c>
      <c r="D2569" t="s">
        <v>14</v>
      </c>
      <c r="E2569" t="s">
        <v>5541</v>
      </c>
      <c r="F2569" t="s">
        <v>42</v>
      </c>
      <c r="G2569">
        <v>24.85</v>
      </c>
      <c r="H2569">
        <v>67</v>
      </c>
      <c r="I2569" t="s">
        <v>17</v>
      </c>
      <c r="J2569" t="s">
        <v>24</v>
      </c>
      <c r="K2569" t="s">
        <v>31</v>
      </c>
      <c r="L2569">
        <v>325</v>
      </c>
      <c r="M2569" t="str">
        <f t="shared" si="80"/>
        <v>Medium</v>
      </c>
      <c r="N2569" t="str">
        <f t="shared" si="81"/>
        <v>Average</v>
      </c>
    </row>
    <row r="2570" spans="1:14">
      <c r="A2570" t="s">
        <v>38</v>
      </c>
      <c r="B2570">
        <v>2007</v>
      </c>
      <c r="C2570" t="s">
        <v>5542</v>
      </c>
      <c r="D2570" t="s">
        <v>14</v>
      </c>
      <c r="E2570" t="s">
        <v>5543</v>
      </c>
      <c r="F2570" t="s">
        <v>46</v>
      </c>
      <c r="G2570">
        <v>39.549999999999997</v>
      </c>
      <c r="H2570">
        <v>69</v>
      </c>
      <c r="I2570" t="s">
        <v>23</v>
      </c>
      <c r="J2570" t="s">
        <v>18</v>
      </c>
      <c r="K2570" t="s">
        <v>912</v>
      </c>
      <c r="L2570">
        <v>45</v>
      </c>
      <c r="M2570" t="str">
        <f t="shared" si="80"/>
        <v>High</v>
      </c>
      <c r="N2570" t="str">
        <f t="shared" si="81"/>
        <v>Average</v>
      </c>
    </row>
    <row r="2571" spans="1:14">
      <c r="A2571" t="s">
        <v>31</v>
      </c>
      <c r="B2571">
        <v>2019</v>
      </c>
      <c r="C2571" t="s">
        <v>5544</v>
      </c>
      <c r="D2571" t="s">
        <v>14</v>
      </c>
      <c r="E2571" t="s">
        <v>5545</v>
      </c>
      <c r="F2571" t="s">
        <v>35</v>
      </c>
      <c r="G2571">
        <v>42.9</v>
      </c>
      <c r="H2571">
        <v>92</v>
      </c>
      <c r="I2571" t="s">
        <v>61</v>
      </c>
      <c r="J2571" t="s">
        <v>18</v>
      </c>
      <c r="K2571" t="s">
        <v>4141</v>
      </c>
      <c r="L2571">
        <v>17</v>
      </c>
      <c r="M2571" t="str">
        <f t="shared" si="80"/>
        <v>High</v>
      </c>
      <c r="N2571" t="str">
        <f t="shared" si="81"/>
        <v>Excellent</v>
      </c>
    </row>
    <row r="2572" spans="1:14">
      <c r="A2572" t="s">
        <v>26</v>
      </c>
      <c r="B2572">
        <v>2005</v>
      </c>
      <c r="C2572" t="s">
        <v>5546</v>
      </c>
      <c r="D2572" t="s">
        <v>33</v>
      </c>
      <c r="E2572" t="s">
        <v>5547</v>
      </c>
      <c r="F2572" t="s">
        <v>16</v>
      </c>
      <c r="G2572">
        <v>15.24</v>
      </c>
      <c r="H2572">
        <v>63</v>
      </c>
      <c r="I2572" t="s">
        <v>23</v>
      </c>
      <c r="J2572" t="s">
        <v>18</v>
      </c>
      <c r="K2572" t="s">
        <v>1019</v>
      </c>
      <c r="L2572">
        <v>41</v>
      </c>
      <c r="M2572" t="str">
        <f t="shared" si="80"/>
        <v>Medium</v>
      </c>
      <c r="N2572" t="str">
        <f t="shared" si="81"/>
        <v>Average</v>
      </c>
    </row>
    <row r="2573" spans="1:14">
      <c r="A2573" t="s">
        <v>68</v>
      </c>
      <c r="B2573">
        <v>2000</v>
      </c>
      <c r="C2573" t="s">
        <v>5548</v>
      </c>
      <c r="D2573" t="s">
        <v>14</v>
      </c>
      <c r="E2573" t="s">
        <v>5549</v>
      </c>
      <c r="F2573" t="s">
        <v>46</v>
      </c>
      <c r="G2573">
        <v>48.14</v>
      </c>
      <c r="H2573">
        <v>93</v>
      </c>
      <c r="I2573" t="s">
        <v>61</v>
      </c>
      <c r="J2573" t="s">
        <v>24</v>
      </c>
      <c r="K2573" t="s">
        <v>687</v>
      </c>
      <c r="L2573">
        <v>78</v>
      </c>
      <c r="M2573" t="str">
        <f t="shared" si="80"/>
        <v>High</v>
      </c>
      <c r="N2573" t="str">
        <f t="shared" si="81"/>
        <v>Excellent</v>
      </c>
    </row>
    <row r="2574" spans="1:14">
      <c r="A2574" t="s">
        <v>47</v>
      </c>
      <c r="B2574">
        <v>2003</v>
      </c>
      <c r="C2574" t="s">
        <v>5550</v>
      </c>
      <c r="D2574" t="s">
        <v>33</v>
      </c>
      <c r="E2574" t="s">
        <v>5551</v>
      </c>
      <c r="F2574" t="s">
        <v>35</v>
      </c>
      <c r="G2574">
        <v>14.01</v>
      </c>
      <c r="H2574">
        <v>60</v>
      </c>
      <c r="I2574" t="s">
        <v>17</v>
      </c>
      <c r="J2574" t="s">
        <v>18</v>
      </c>
      <c r="K2574" t="s">
        <v>314</v>
      </c>
      <c r="L2574">
        <v>22</v>
      </c>
      <c r="M2574" t="str">
        <f t="shared" si="80"/>
        <v>Low</v>
      </c>
      <c r="N2574" t="str">
        <f t="shared" si="81"/>
        <v>Average</v>
      </c>
    </row>
    <row r="2575" spans="1:14">
      <c r="A2575" t="s">
        <v>68</v>
      </c>
      <c r="B2575">
        <v>2015</v>
      </c>
      <c r="C2575" t="s">
        <v>5552</v>
      </c>
      <c r="D2575" t="s">
        <v>33</v>
      </c>
      <c r="E2575" t="s">
        <v>1082</v>
      </c>
      <c r="F2575" t="s">
        <v>57</v>
      </c>
      <c r="G2575">
        <v>44.47</v>
      </c>
      <c r="H2575">
        <v>84</v>
      </c>
      <c r="I2575" t="s">
        <v>29</v>
      </c>
      <c r="J2575" t="s">
        <v>18</v>
      </c>
      <c r="K2575" t="s">
        <v>5553</v>
      </c>
      <c r="L2575">
        <v>273</v>
      </c>
      <c r="M2575" t="str">
        <f t="shared" si="80"/>
        <v>High</v>
      </c>
      <c r="N2575" t="str">
        <f t="shared" si="81"/>
        <v>Good</v>
      </c>
    </row>
    <row r="2576" spans="1:14">
      <c r="A2576" t="s">
        <v>39</v>
      </c>
      <c r="B2576">
        <v>2019</v>
      </c>
      <c r="C2576" t="s">
        <v>5554</v>
      </c>
      <c r="D2576" t="s">
        <v>14</v>
      </c>
      <c r="E2576" t="s">
        <v>5555</v>
      </c>
      <c r="F2576" t="s">
        <v>35</v>
      </c>
      <c r="G2576">
        <v>19.46</v>
      </c>
      <c r="H2576">
        <v>100</v>
      </c>
      <c r="I2576" t="s">
        <v>61</v>
      </c>
      <c r="J2576" t="s">
        <v>37</v>
      </c>
      <c r="K2576" t="s">
        <v>610</v>
      </c>
      <c r="L2576">
        <v>125</v>
      </c>
      <c r="M2576" t="str">
        <f t="shared" si="80"/>
        <v>Medium</v>
      </c>
      <c r="N2576" t="str">
        <f t="shared" si="81"/>
        <v>Excellent</v>
      </c>
    </row>
    <row r="2577" spans="1:14">
      <c r="A2577" t="s">
        <v>20</v>
      </c>
      <c r="B2577">
        <v>2005</v>
      </c>
      <c r="C2577" t="s">
        <v>5556</v>
      </c>
      <c r="D2577" t="s">
        <v>33</v>
      </c>
      <c r="E2577" t="s">
        <v>1890</v>
      </c>
      <c r="F2577" t="s">
        <v>35</v>
      </c>
      <c r="G2577">
        <v>4.84</v>
      </c>
      <c r="H2577">
        <v>94</v>
      </c>
      <c r="I2577" t="s">
        <v>29</v>
      </c>
      <c r="J2577" t="s">
        <v>37</v>
      </c>
      <c r="K2577" t="s">
        <v>68</v>
      </c>
      <c r="L2577">
        <v>171</v>
      </c>
      <c r="M2577" t="str">
        <f t="shared" si="80"/>
        <v>Low</v>
      </c>
      <c r="N2577" t="str">
        <f t="shared" si="81"/>
        <v>Excellent</v>
      </c>
    </row>
    <row r="2578" spans="1:14">
      <c r="A2578" t="s">
        <v>26</v>
      </c>
      <c r="B2578">
        <v>2016</v>
      </c>
      <c r="C2578" t="s">
        <v>5557</v>
      </c>
      <c r="D2578" t="s">
        <v>14</v>
      </c>
      <c r="E2578" t="s">
        <v>5558</v>
      </c>
      <c r="F2578" t="s">
        <v>35</v>
      </c>
      <c r="G2578">
        <v>5.79</v>
      </c>
      <c r="H2578">
        <v>60</v>
      </c>
      <c r="I2578" t="s">
        <v>17</v>
      </c>
      <c r="J2578" t="s">
        <v>37</v>
      </c>
      <c r="K2578" t="s">
        <v>173</v>
      </c>
      <c r="L2578">
        <v>30</v>
      </c>
      <c r="M2578" t="str">
        <f t="shared" si="80"/>
        <v>Low</v>
      </c>
      <c r="N2578" t="str">
        <f t="shared" si="81"/>
        <v>Average</v>
      </c>
    </row>
    <row r="2579" spans="1:14">
      <c r="A2579" t="s">
        <v>65</v>
      </c>
      <c r="B2579">
        <v>2020</v>
      </c>
      <c r="C2579" t="s">
        <v>5559</v>
      </c>
      <c r="D2579" t="s">
        <v>33</v>
      </c>
      <c r="E2579" t="s">
        <v>5560</v>
      </c>
      <c r="F2579" t="s">
        <v>16</v>
      </c>
      <c r="G2579">
        <v>26.65</v>
      </c>
      <c r="H2579">
        <v>59</v>
      </c>
      <c r="I2579" t="s">
        <v>36</v>
      </c>
      <c r="J2579" t="s">
        <v>18</v>
      </c>
      <c r="K2579" t="s">
        <v>1437</v>
      </c>
      <c r="L2579">
        <v>4</v>
      </c>
      <c r="M2579" t="str">
        <f t="shared" si="80"/>
        <v>Medium</v>
      </c>
      <c r="N2579" t="str">
        <f t="shared" si="81"/>
        <v>Average</v>
      </c>
    </row>
    <row r="2580" spans="1:14">
      <c r="A2580" t="s">
        <v>48</v>
      </c>
      <c r="B2580">
        <v>2003</v>
      </c>
      <c r="C2580" t="s">
        <v>5561</v>
      </c>
      <c r="D2580" t="s">
        <v>33</v>
      </c>
      <c r="E2580" t="s">
        <v>5562</v>
      </c>
      <c r="F2580" t="s">
        <v>57</v>
      </c>
      <c r="G2580">
        <v>39.840000000000003</v>
      </c>
      <c r="H2580">
        <v>92</v>
      </c>
      <c r="I2580" t="s">
        <v>23</v>
      </c>
      <c r="J2580" t="s">
        <v>37</v>
      </c>
      <c r="K2580" t="s">
        <v>5563</v>
      </c>
      <c r="L2580">
        <v>206</v>
      </c>
      <c r="M2580" t="str">
        <f t="shared" si="80"/>
        <v>High</v>
      </c>
      <c r="N2580" t="str">
        <f t="shared" si="81"/>
        <v>Excellent</v>
      </c>
    </row>
    <row r="2581" spans="1:14">
      <c r="A2581" t="s">
        <v>68</v>
      </c>
      <c r="B2581">
        <v>2017</v>
      </c>
      <c r="C2581" t="s">
        <v>5564</v>
      </c>
      <c r="D2581" t="s">
        <v>33</v>
      </c>
      <c r="E2581" t="s">
        <v>5565</v>
      </c>
      <c r="F2581" t="s">
        <v>35</v>
      </c>
      <c r="G2581">
        <v>24.21</v>
      </c>
      <c r="H2581">
        <v>94</v>
      </c>
      <c r="I2581" t="s">
        <v>29</v>
      </c>
      <c r="J2581" t="s">
        <v>37</v>
      </c>
      <c r="K2581" t="s">
        <v>47</v>
      </c>
      <c r="L2581">
        <v>231</v>
      </c>
      <c r="M2581" t="str">
        <f t="shared" si="80"/>
        <v>Medium</v>
      </c>
      <c r="N2581" t="str">
        <f t="shared" si="81"/>
        <v>Excellent</v>
      </c>
    </row>
    <row r="2582" spans="1:14">
      <c r="A2582" t="s">
        <v>20</v>
      </c>
      <c r="B2582">
        <v>2009</v>
      </c>
      <c r="C2582" t="s">
        <v>5566</v>
      </c>
      <c r="D2582" t="s">
        <v>14</v>
      </c>
      <c r="E2582" t="s">
        <v>5567</v>
      </c>
      <c r="F2582" t="s">
        <v>16</v>
      </c>
      <c r="G2582">
        <v>21.28</v>
      </c>
      <c r="H2582">
        <v>60</v>
      </c>
      <c r="I2582" t="s">
        <v>17</v>
      </c>
      <c r="J2582" t="s">
        <v>37</v>
      </c>
      <c r="K2582" t="s">
        <v>5568</v>
      </c>
      <c r="L2582">
        <v>84</v>
      </c>
      <c r="M2582" t="str">
        <f t="shared" si="80"/>
        <v>Medium</v>
      </c>
      <c r="N2582" t="str">
        <f t="shared" si="81"/>
        <v>Average</v>
      </c>
    </row>
    <row r="2583" spans="1:14">
      <c r="A2583" t="s">
        <v>47</v>
      </c>
      <c r="B2583">
        <v>2017</v>
      </c>
      <c r="C2583" t="s">
        <v>5569</v>
      </c>
      <c r="D2583" t="s">
        <v>33</v>
      </c>
      <c r="E2583" t="s">
        <v>5570</v>
      </c>
      <c r="F2583" t="s">
        <v>46</v>
      </c>
      <c r="G2583">
        <v>42.31</v>
      </c>
      <c r="H2583">
        <v>97</v>
      </c>
      <c r="I2583" t="s">
        <v>61</v>
      </c>
      <c r="J2583" t="s">
        <v>37</v>
      </c>
      <c r="K2583" t="s">
        <v>1900</v>
      </c>
      <c r="L2583">
        <v>206</v>
      </c>
      <c r="M2583" t="str">
        <f t="shared" si="80"/>
        <v>High</v>
      </c>
      <c r="N2583" t="str">
        <f t="shared" si="81"/>
        <v>Excellent</v>
      </c>
    </row>
    <row r="2584" spans="1:14">
      <c r="A2584" t="s">
        <v>68</v>
      </c>
      <c r="B2584">
        <v>2018</v>
      </c>
      <c r="C2584" t="s">
        <v>2084</v>
      </c>
      <c r="D2584" t="s">
        <v>33</v>
      </c>
      <c r="E2584" t="s">
        <v>5571</v>
      </c>
      <c r="F2584" t="s">
        <v>46</v>
      </c>
      <c r="G2584">
        <v>27.37</v>
      </c>
      <c r="H2584">
        <v>77</v>
      </c>
      <c r="I2584" t="s">
        <v>61</v>
      </c>
      <c r="J2584" t="s">
        <v>18</v>
      </c>
      <c r="K2584" t="s">
        <v>1172</v>
      </c>
      <c r="L2584">
        <v>138</v>
      </c>
      <c r="M2584" t="str">
        <f t="shared" si="80"/>
        <v>Medium</v>
      </c>
      <c r="N2584" t="str">
        <f t="shared" si="81"/>
        <v>Good</v>
      </c>
    </row>
    <row r="2585" spans="1:14">
      <c r="A2585" t="s">
        <v>68</v>
      </c>
      <c r="B2585">
        <v>2024</v>
      </c>
      <c r="C2585" t="s">
        <v>5572</v>
      </c>
      <c r="D2585" t="s">
        <v>33</v>
      </c>
      <c r="E2585" t="s">
        <v>5573</v>
      </c>
      <c r="F2585" t="s">
        <v>16</v>
      </c>
      <c r="G2585">
        <v>42.86</v>
      </c>
      <c r="H2585">
        <v>98</v>
      </c>
      <c r="I2585" t="s">
        <v>29</v>
      </c>
      <c r="J2585" t="s">
        <v>18</v>
      </c>
      <c r="K2585" t="s">
        <v>38</v>
      </c>
      <c r="L2585">
        <v>318</v>
      </c>
      <c r="M2585" t="str">
        <f t="shared" si="80"/>
        <v>High</v>
      </c>
      <c r="N2585" t="str">
        <f t="shared" si="81"/>
        <v>Excellent</v>
      </c>
    </row>
    <row r="2586" spans="1:14">
      <c r="A2586" t="s">
        <v>38</v>
      </c>
      <c r="B2586">
        <v>2006</v>
      </c>
      <c r="C2586" t="s">
        <v>5574</v>
      </c>
      <c r="D2586" t="s">
        <v>33</v>
      </c>
      <c r="E2586" t="s">
        <v>5575</v>
      </c>
      <c r="F2586" t="s">
        <v>35</v>
      </c>
      <c r="G2586">
        <v>29.47</v>
      </c>
      <c r="H2586">
        <v>51</v>
      </c>
      <c r="I2586" t="s">
        <v>23</v>
      </c>
      <c r="J2586" t="s">
        <v>24</v>
      </c>
      <c r="K2586" t="s">
        <v>4455</v>
      </c>
      <c r="L2586">
        <v>2</v>
      </c>
      <c r="M2586" t="str">
        <f t="shared" si="80"/>
        <v>Medium</v>
      </c>
      <c r="N2586" t="str">
        <f t="shared" si="81"/>
        <v>Average</v>
      </c>
    </row>
    <row r="2587" spans="1:14">
      <c r="A2587" t="s">
        <v>20</v>
      </c>
      <c r="B2587">
        <v>2006</v>
      </c>
      <c r="C2587" t="s">
        <v>5576</v>
      </c>
      <c r="D2587" t="s">
        <v>14</v>
      </c>
      <c r="E2587" t="s">
        <v>5577</v>
      </c>
      <c r="F2587" t="s">
        <v>42</v>
      </c>
      <c r="G2587">
        <v>17.91</v>
      </c>
      <c r="H2587">
        <v>82</v>
      </c>
      <c r="I2587" t="s">
        <v>17</v>
      </c>
      <c r="J2587" t="s">
        <v>37</v>
      </c>
      <c r="K2587" t="s">
        <v>279</v>
      </c>
      <c r="L2587">
        <v>234</v>
      </c>
      <c r="M2587" t="str">
        <f t="shared" si="80"/>
        <v>Medium</v>
      </c>
      <c r="N2587" t="str">
        <f t="shared" si="81"/>
        <v>Good</v>
      </c>
    </row>
    <row r="2588" spans="1:14">
      <c r="A2588" t="s">
        <v>68</v>
      </c>
      <c r="B2588">
        <v>2001</v>
      </c>
      <c r="C2588" t="s">
        <v>5578</v>
      </c>
      <c r="D2588" t="s">
        <v>33</v>
      </c>
      <c r="E2588" t="s">
        <v>5579</v>
      </c>
      <c r="F2588" t="s">
        <v>42</v>
      </c>
      <c r="G2588">
        <v>21.11</v>
      </c>
      <c r="H2588">
        <v>77</v>
      </c>
      <c r="I2588" t="s">
        <v>36</v>
      </c>
      <c r="J2588" t="s">
        <v>18</v>
      </c>
      <c r="K2588" t="s">
        <v>305</v>
      </c>
      <c r="L2588">
        <v>302</v>
      </c>
      <c r="M2588" t="str">
        <f t="shared" si="80"/>
        <v>Medium</v>
      </c>
      <c r="N2588" t="str">
        <f t="shared" si="81"/>
        <v>Good</v>
      </c>
    </row>
    <row r="2589" spans="1:14">
      <c r="A2589" t="s">
        <v>68</v>
      </c>
      <c r="B2589">
        <v>2019</v>
      </c>
      <c r="C2589" t="s">
        <v>5580</v>
      </c>
      <c r="D2589" t="s">
        <v>14</v>
      </c>
      <c r="E2589" t="s">
        <v>5581</v>
      </c>
      <c r="F2589" t="s">
        <v>46</v>
      </c>
      <c r="G2589">
        <v>15.28</v>
      </c>
      <c r="H2589">
        <v>66</v>
      </c>
      <c r="I2589" t="s">
        <v>36</v>
      </c>
      <c r="J2589" t="s">
        <v>18</v>
      </c>
      <c r="K2589" t="s">
        <v>184</v>
      </c>
      <c r="L2589">
        <v>102</v>
      </c>
      <c r="M2589" t="str">
        <f t="shared" si="80"/>
        <v>Medium</v>
      </c>
      <c r="N2589" t="str">
        <f t="shared" si="81"/>
        <v>Average</v>
      </c>
    </row>
    <row r="2590" spans="1:14">
      <c r="A2590" t="s">
        <v>68</v>
      </c>
      <c r="B2590">
        <v>2020</v>
      </c>
      <c r="C2590" t="s">
        <v>5582</v>
      </c>
      <c r="D2590" t="s">
        <v>14</v>
      </c>
      <c r="E2590" t="s">
        <v>5583</v>
      </c>
      <c r="F2590" t="s">
        <v>46</v>
      </c>
      <c r="G2590">
        <v>27.83</v>
      </c>
      <c r="H2590">
        <v>70</v>
      </c>
      <c r="I2590" t="s">
        <v>23</v>
      </c>
      <c r="J2590" t="s">
        <v>24</v>
      </c>
      <c r="K2590" t="s">
        <v>5584</v>
      </c>
      <c r="L2590">
        <v>13</v>
      </c>
      <c r="M2590" t="str">
        <f t="shared" si="80"/>
        <v>Medium</v>
      </c>
      <c r="N2590" t="str">
        <f t="shared" si="81"/>
        <v>Average</v>
      </c>
    </row>
    <row r="2591" spans="1:14">
      <c r="A2591" t="s">
        <v>48</v>
      </c>
      <c r="B2591">
        <v>2016</v>
      </c>
      <c r="C2591" t="s">
        <v>5585</v>
      </c>
      <c r="D2591" t="s">
        <v>14</v>
      </c>
      <c r="E2591" t="s">
        <v>5586</v>
      </c>
      <c r="F2591" t="s">
        <v>42</v>
      </c>
      <c r="G2591">
        <v>23.12</v>
      </c>
      <c r="H2591">
        <v>58</v>
      </c>
      <c r="I2591" t="s">
        <v>61</v>
      </c>
      <c r="J2591" t="s">
        <v>24</v>
      </c>
      <c r="K2591" t="s">
        <v>26</v>
      </c>
      <c r="L2591">
        <v>127</v>
      </c>
      <c r="M2591" t="str">
        <f t="shared" si="80"/>
        <v>Medium</v>
      </c>
      <c r="N2591" t="str">
        <f t="shared" si="81"/>
        <v>Average</v>
      </c>
    </row>
    <row r="2592" spans="1:14">
      <c r="A2592" t="s">
        <v>47</v>
      </c>
      <c r="B2592">
        <v>2004</v>
      </c>
      <c r="C2592" t="s">
        <v>5587</v>
      </c>
      <c r="D2592" t="s">
        <v>14</v>
      </c>
      <c r="E2592" t="s">
        <v>5588</v>
      </c>
      <c r="F2592" t="s">
        <v>42</v>
      </c>
      <c r="G2592">
        <v>49.97</v>
      </c>
      <c r="H2592">
        <v>83</v>
      </c>
      <c r="I2592" t="s">
        <v>29</v>
      </c>
      <c r="J2592" t="s">
        <v>24</v>
      </c>
      <c r="K2592" t="s">
        <v>65</v>
      </c>
      <c r="L2592">
        <v>7</v>
      </c>
      <c r="M2592" t="str">
        <f t="shared" si="80"/>
        <v>High</v>
      </c>
      <c r="N2592" t="str">
        <f t="shared" si="81"/>
        <v>Good</v>
      </c>
    </row>
    <row r="2593" spans="1:14">
      <c r="A2593" t="s">
        <v>39</v>
      </c>
      <c r="B2593">
        <v>2024</v>
      </c>
      <c r="C2593" t="s">
        <v>5589</v>
      </c>
      <c r="D2593" t="s">
        <v>33</v>
      </c>
      <c r="E2593" t="s">
        <v>4748</v>
      </c>
      <c r="F2593" t="s">
        <v>57</v>
      </c>
      <c r="G2593">
        <v>49.18</v>
      </c>
      <c r="H2593">
        <v>75</v>
      </c>
      <c r="I2593" t="s">
        <v>36</v>
      </c>
      <c r="J2593" t="s">
        <v>24</v>
      </c>
      <c r="K2593" t="s">
        <v>5590</v>
      </c>
      <c r="L2593">
        <v>311</v>
      </c>
      <c r="M2593" t="str">
        <f t="shared" si="80"/>
        <v>High</v>
      </c>
      <c r="N2593" t="str">
        <f t="shared" si="81"/>
        <v>Good</v>
      </c>
    </row>
    <row r="2594" spans="1:14">
      <c r="A2594" t="s">
        <v>48</v>
      </c>
      <c r="B2594">
        <v>2011</v>
      </c>
      <c r="C2594" t="s">
        <v>5591</v>
      </c>
      <c r="D2594" t="s">
        <v>14</v>
      </c>
      <c r="E2594" t="s">
        <v>5592</v>
      </c>
      <c r="F2594" t="s">
        <v>46</v>
      </c>
      <c r="G2594">
        <v>35.21</v>
      </c>
      <c r="H2594">
        <v>93</v>
      </c>
      <c r="I2594" t="s">
        <v>61</v>
      </c>
      <c r="J2594" t="s">
        <v>18</v>
      </c>
      <c r="K2594" t="s">
        <v>12</v>
      </c>
      <c r="L2594">
        <v>355</v>
      </c>
      <c r="M2594" t="str">
        <f t="shared" si="80"/>
        <v>High</v>
      </c>
      <c r="N2594" t="str">
        <f t="shared" si="81"/>
        <v>Excellent</v>
      </c>
    </row>
    <row r="2595" spans="1:14">
      <c r="A2595" t="s">
        <v>65</v>
      </c>
      <c r="B2595">
        <v>2008</v>
      </c>
      <c r="C2595" t="s">
        <v>5593</v>
      </c>
      <c r="D2595" t="s">
        <v>33</v>
      </c>
      <c r="E2595" t="s">
        <v>5594</v>
      </c>
      <c r="F2595" t="s">
        <v>42</v>
      </c>
      <c r="G2595">
        <v>4.8600000000000003</v>
      </c>
      <c r="H2595">
        <v>61</v>
      </c>
      <c r="I2595" t="s">
        <v>61</v>
      </c>
      <c r="J2595" t="s">
        <v>37</v>
      </c>
      <c r="K2595" t="s">
        <v>38</v>
      </c>
      <c r="L2595">
        <v>186</v>
      </c>
      <c r="M2595" t="str">
        <f t="shared" si="80"/>
        <v>Low</v>
      </c>
      <c r="N2595" t="str">
        <f t="shared" si="81"/>
        <v>Average</v>
      </c>
    </row>
    <row r="2596" spans="1:14">
      <c r="A2596" t="s">
        <v>26</v>
      </c>
      <c r="B2596">
        <v>2013</v>
      </c>
      <c r="C2596" t="s">
        <v>5595</v>
      </c>
      <c r="D2596" t="s">
        <v>33</v>
      </c>
      <c r="E2596" t="s">
        <v>5596</v>
      </c>
      <c r="F2596" t="s">
        <v>57</v>
      </c>
      <c r="G2596">
        <v>21.35</v>
      </c>
      <c r="H2596">
        <v>68</v>
      </c>
      <c r="I2596" t="s">
        <v>17</v>
      </c>
      <c r="J2596" t="s">
        <v>24</v>
      </c>
      <c r="K2596" t="s">
        <v>1244</v>
      </c>
      <c r="L2596">
        <v>347</v>
      </c>
      <c r="M2596" t="str">
        <f t="shared" si="80"/>
        <v>Medium</v>
      </c>
      <c r="N2596" t="str">
        <f t="shared" si="81"/>
        <v>Average</v>
      </c>
    </row>
    <row r="2597" spans="1:14">
      <c r="A2597" t="s">
        <v>47</v>
      </c>
      <c r="B2597">
        <v>2011</v>
      </c>
      <c r="C2597" t="s">
        <v>5597</v>
      </c>
      <c r="D2597" t="s">
        <v>33</v>
      </c>
      <c r="E2597" t="s">
        <v>5598</v>
      </c>
      <c r="F2597" t="s">
        <v>46</v>
      </c>
      <c r="G2597">
        <v>46.25</v>
      </c>
      <c r="H2597">
        <v>86</v>
      </c>
      <c r="I2597" t="s">
        <v>61</v>
      </c>
      <c r="J2597" t="s">
        <v>37</v>
      </c>
      <c r="K2597" t="s">
        <v>68</v>
      </c>
      <c r="L2597">
        <v>5</v>
      </c>
      <c r="M2597" t="str">
        <f t="shared" si="80"/>
        <v>High</v>
      </c>
      <c r="N2597" t="str">
        <f t="shared" si="81"/>
        <v>Good</v>
      </c>
    </row>
    <row r="2598" spans="1:14">
      <c r="A2598" t="s">
        <v>65</v>
      </c>
      <c r="B2598">
        <v>2010</v>
      </c>
      <c r="C2598" t="s">
        <v>5599</v>
      </c>
      <c r="D2598" t="s">
        <v>14</v>
      </c>
      <c r="E2598" t="s">
        <v>5600</v>
      </c>
      <c r="F2598" t="s">
        <v>16</v>
      </c>
      <c r="G2598">
        <v>17.68</v>
      </c>
      <c r="H2598">
        <v>67</v>
      </c>
      <c r="I2598" t="s">
        <v>29</v>
      </c>
      <c r="J2598" t="s">
        <v>37</v>
      </c>
      <c r="K2598" t="s">
        <v>31</v>
      </c>
      <c r="L2598">
        <v>123</v>
      </c>
      <c r="M2598" t="str">
        <f t="shared" si="80"/>
        <v>Medium</v>
      </c>
      <c r="N2598" t="str">
        <f t="shared" si="81"/>
        <v>Average</v>
      </c>
    </row>
    <row r="2599" spans="1:14">
      <c r="A2599" t="s">
        <v>65</v>
      </c>
      <c r="B2599">
        <v>2021</v>
      </c>
      <c r="C2599" t="s">
        <v>5601</v>
      </c>
      <c r="D2599" t="s">
        <v>33</v>
      </c>
      <c r="E2599" t="s">
        <v>5602</v>
      </c>
      <c r="F2599" t="s">
        <v>57</v>
      </c>
      <c r="G2599">
        <v>49.53</v>
      </c>
      <c r="H2599">
        <v>73</v>
      </c>
      <c r="I2599" t="s">
        <v>29</v>
      </c>
      <c r="J2599" t="s">
        <v>37</v>
      </c>
      <c r="K2599" t="s">
        <v>2985</v>
      </c>
      <c r="L2599">
        <v>246</v>
      </c>
      <c r="M2599" t="str">
        <f t="shared" si="80"/>
        <v>High</v>
      </c>
      <c r="N2599" t="str">
        <f t="shared" si="81"/>
        <v>Average</v>
      </c>
    </row>
    <row r="2600" spans="1:14">
      <c r="A2600" t="s">
        <v>65</v>
      </c>
      <c r="B2600">
        <v>2001</v>
      </c>
      <c r="C2600" t="s">
        <v>5603</v>
      </c>
      <c r="D2600" t="s">
        <v>33</v>
      </c>
      <c r="E2600" t="s">
        <v>5604</v>
      </c>
      <c r="F2600" t="s">
        <v>42</v>
      </c>
      <c r="G2600">
        <v>45.02</v>
      </c>
      <c r="H2600">
        <v>54</v>
      </c>
      <c r="I2600" t="s">
        <v>23</v>
      </c>
      <c r="J2600" t="s">
        <v>24</v>
      </c>
      <c r="K2600" t="s">
        <v>505</v>
      </c>
      <c r="L2600">
        <v>161</v>
      </c>
      <c r="M2600" t="str">
        <f t="shared" si="80"/>
        <v>High</v>
      </c>
      <c r="N2600" t="str">
        <f t="shared" si="81"/>
        <v>Average</v>
      </c>
    </row>
    <row r="2601" spans="1:14">
      <c r="A2601" t="s">
        <v>39</v>
      </c>
      <c r="B2601">
        <v>2012</v>
      </c>
      <c r="C2601" t="s">
        <v>5605</v>
      </c>
      <c r="D2601" t="s">
        <v>14</v>
      </c>
      <c r="E2601" t="s">
        <v>5606</v>
      </c>
      <c r="F2601" t="s">
        <v>16</v>
      </c>
      <c r="G2601">
        <v>22.16</v>
      </c>
      <c r="H2601">
        <v>81</v>
      </c>
      <c r="I2601" t="s">
        <v>29</v>
      </c>
      <c r="J2601" t="s">
        <v>37</v>
      </c>
      <c r="K2601" t="s">
        <v>39</v>
      </c>
      <c r="L2601">
        <v>351</v>
      </c>
      <c r="M2601" t="str">
        <f t="shared" si="80"/>
        <v>Medium</v>
      </c>
      <c r="N2601" t="str">
        <f t="shared" si="81"/>
        <v>Good</v>
      </c>
    </row>
    <row r="2602" spans="1:14">
      <c r="A2602" t="s">
        <v>31</v>
      </c>
      <c r="B2602">
        <v>2011</v>
      </c>
      <c r="C2602" t="s">
        <v>5607</v>
      </c>
      <c r="D2602" t="s">
        <v>33</v>
      </c>
      <c r="E2602" t="s">
        <v>5608</v>
      </c>
      <c r="F2602" t="s">
        <v>57</v>
      </c>
      <c r="G2602">
        <v>27</v>
      </c>
      <c r="H2602">
        <v>60</v>
      </c>
      <c r="I2602" t="s">
        <v>36</v>
      </c>
      <c r="J2602" t="s">
        <v>18</v>
      </c>
      <c r="K2602" t="s">
        <v>465</v>
      </c>
      <c r="L2602">
        <v>22</v>
      </c>
      <c r="M2602" t="str">
        <f t="shared" si="80"/>
        <v>Medium</v>
      </c>
      <c r="N2602" t="str">
        <f t="shared" si="81"/>
        <v>Average</v>
      </c>
    </row>
    <row r="2603" spans="1:14">
      <c r="A2603" t="s">
        <v>48</v>
      </c>
      <c r="B2603">
        <v>2011</v>
      </c>
      <c r="C2603" t="s">
        <v>5609</v>
      </c>
      <c r="D2603" t="s">
        <v>14</v>
      </c>
      <c r="E2603" t="s">
        <v>5610</v>
      </c>
      <c r="F2603" t="s">
        <v>46</v>
      </c>
      <c r="G2603">
        <v>14.67</v>
      </c>
      <c r="H2603">
        <v>97</v>
      </c>
      <c r="I2603" t="s">
        <v>17</v>
      </c>
      <c r="J2603" t="s">
        <v>37</v>
      </c>
      <c r="K2603" t="s">
        <v>1292</v>
      </c>
      <c r="L2603">
        <v>132</v>
      </c>
      <c r="M2603" t="str">
        <f t="shared" si="80"/>
        <v>Low</v>
      </c>
      <c r="N2603" t="str">
        <f t="shared" si="81"/>
        <v>Excellent</v>
      </c>
    </row>
    <row r="2604" spans="1:14">
      <c r="A2604" t="s">
        <v>68</v>
      </c>
      <c r="B2604">
        <v>2025</v>
      </c>
      <c r="C2604" t="s">
        <v>5611</v>
      </c>
      <c r="D2604" t="s">
        <v>14</v>
      </c>
      <c r="E2604" t="s">
        <v>5612</v>
      </c>
      <c r="F2604" t="s">
        <v>35</v>
      </c>
      <c r="G2604">
        <v>15.7</v>
      </c>
      <c r="H2604">
        <v>80</v>
      </c>
      <c r="I2604" t="s">
        <v>17</v>
      </c>
      <c r="J2604" t="s">
        <v>37</v>
      </c>
      <c r="K2604" t="s">
        <v>398</v>
      </c>
      <c r="L2604">
        <v>138</v>
      </c>
      <c r="M2604" t="str">
        <f t="shared" si="80"/>
        <v>Medium</v>
      </c>
      <c r="N2604" t="str">
        <f t="shared" si="81"/>
        <v>Good</v>
      </c>
    </row>
    <row r="2605" spans="1:14">
      <c r="A2605" t="s">
        <v>12</v>
      </c>
      <c r="B2605">
        <v>2013</v>
      </c>
      <c r="C2605" t="s">
        <v>5613</v>
      </c>
      <c r="D2605" t="s">
        <v>14</v>
      </c>
      <c r="E2605" t="s">
        <v>5614</v>
      </c>
      <c r="F2605" t="s">
        <v>57</v>
      </c>
      <c r="G2605">
        <v>34.89</v>
      </c>
      <c r="H2605">
        <v>65</v>
      </c>
      <c r="I2605" t="s">
        <v>61</v>
      </c>
      <c r="J2605" t="s">
        <v>24</v>
      </c>
      <c r="K2605" t="s">
        <v>2439</v>
      </c>
      <c r="L2605">
        <v>153</v>
      </c>
      <c r="M2605" t="str">
        <f t="shared" si="80"/>
        <v>Medium</v>
      </c>
      <c r="N2605" t="str">
        <f t="shared" si="81"/>
        <v>Average</v>
      </c>
    </row>
    <row r="2606" spans="1:14">
      <c r="A2606" t="s">
        <v>20</v>
      </c>
      <c r="B2606">
        <v>2020</v>
      </c>
      <c r="C2606" t="s">
        <v>5615</v>
      </c>
      <c r="D2606" t="s">
        <v>33</v>
      </c>
      <c r="E2606" t="s">
        <v>5616</v>
      </c>
      <c r="F2606" t="s">
        <v>46</v>
      </c>
      <c r="G2606">
        <v>34.58</v>
      </c>
      <c r="H2606">
        <v>61</v>
      </c>
      <c r="I2606" t="s">
        <v>23</v>
      </c>
      <c r="J2606" t="s">
        <v>37</v>
      </c>
      <c r="K2606" t="s">
        <v>5617</v>
      </c>
      <c r="L2606">
        <v>248</v>
      </c>
      <c r="M2606" t="str">
        <f t="shared" si="80"/>
        <v>Medium</v>
      </c>
      <c r="N2606" t="str">
        <f t="shared" si="81"/>
        <v>Average</v>
      </c>
    </row>
    <row r="2607" spans="1:14">
      <c r="A2607" t="s">
        <v>65</v>
      </c>
      <c r="B2607">
        <v>2023</v>
      </c>
      <c r="C2607" t="s">
        <v>5618</v>
      </c>
      <c r="D2607" t="s">
        <v>33</v>
      </c>
      <c r="E2607" t="s">
        <v>5619</v>
      </c>
      <c r="F2607" t="s">
        <v>46</v>
      </c>
      <c r="G2607">
        <v>45.81</v>
      </c>
      <c r="H2607">
        <v>100</v>
      </c>
      <c r="I2607" t="s">
        <v>61</v>
      </c>
      <c r="J2607" t="s">
        <v>37</v>
      </c>
      <c r="K2607" t="s">
        <v>839</v>
      </c>
      <c r="L2607">
        <v>71</v>
      </c>
      <c r="M2607" t="str">
        <f t="shared" si="80"/>
        <v>High</v>
      </c>
      <c r="N2607" t="str">
        <f t="shared" si="81"/>
        <v>Excellent</v>
      </c>
    </row>
    <row r="2608" spans="1:14">
      <c r="A2608" t="s">
        <v>48</v>
      </c>
      <c r="B2608">
        <v>2022</v>
      </c>
      <c r="C2608" t="s">
        <v>5620</v>
      </c>
      <c r="D2608" t="s">
        <v>14</v>
      </c>
      <c r="E2608" t="s">
        <v>633</v>
      </c>
      <c r="F2608" t="s">
        <v>16</v>
      </c>
      <c r="G2608">
        <v>31.03</v>
      </c>
      <c r="H2608">
        <v>69</v>
      </c>
      <c r="I2608" t="s">
        <v>61</v>
      </c>
      <c r="J2608" t="s">
        <v>18</v>
      </c>
      <c r="K2608" t="s">
        <v>65</v>
      </c>
      <c r="L2608">
        <v>115</v>
      </c>
      <c r="M2608" t="str">
        <f t="shared" si="80"/>
        <v>Medium</v>
      </c>
      <c r="N2608" t="str">
        <f t="shared" si="81"/>
        <v>Average</v>
      </c>
    </row>
    <row r="2609" spans="1:14">
      <c r="A2609" t="s">
        <v>47</v>
      </c>
      <c r="B2609">
        <v>2014</v>
      </c>
      <c r="C2609" t="s">
        <v>5621</v>
      </c>
      <c r="D2609" t="s">
        <v>33</v>
      </c>
      <c r="E2609" t="s">
        <v>5622</v>
      </c>
      <c r="F2609" t="s">
        <v>57</v>
      </c>
      <c r="G2609">
        <v>9.98</v>
      </c>
      <c r="H2609">
        <v>52</v>
      </c>
      <c r="I2609" t="s">
        <v>17</v>
      </c>
      <c r="J2609" t="s">
        <v>18</v>
      </c>
      <c r="K2609" t="s">
        <v>81</v>
      </c>
      <c r="L2609">
        <v>2</v>
      </c>
      <c r="M2609" t="str">
        <f t="shared" si="80"/>
        <v>Low</v>
      </c>
      <c r="N2609" t="str">
        <f t="shared" si="81"/>
        <v>Average</v>
      </c>
    </row>
    <row r="2610" spans="1:14">
      <c r="A2610" t="s">
        <v>68</v>
      </c>
      <c r="B2610">
        <v>2007</v>
      </c>
      <c r="C2610" t="s">
        <v>5623</v>
      </c>
      <c r="D2610" t="s">
        <v>33</v>
      </c>
      <c r="E2610" t="s">
        <v>5624</v>
      </c>
      <c r="F2610" t="s">
        <v>46</v>
      </c>
      <c r="G2610">
        <v>24.66</v>
      </c>
      <c r="H2610">
        <v>93</v>
      </c>
      <c r="I2610" t="s">
        <v>29</v>
      </c>
      <c r="J2610" t="s">
        <v>18</v>
      </c>
      <c r="K2610" t="s">
        <v>2066</v>
      </c>
      <c r="L2610">
        <v>307</v>
      </c>
      <c r="M2610" t="str">
        <f t="shared" si="80"/>
        <v>Medium</v>
      </c>
      <c r="N2610" t="str">
        <f t="shared" si="81"/>
        <v>Excellent</v>
      </c>
    </row>
    <row r="2611" spans="1:14">
      <c r="A2611" t="s">
        <v>65</v>
      </c>
      <c r="B2611">
        <v>2001</v>
      </c>
      <c r="C2611" t="s">
        <v>5625</v>
      </c>
      <c r="D2611" t="s">
        <v>14</v>
      </c>
      <c r="E2611" t="s">
        <v>4210</v>
      </c>
      <c r="F2611" t="s">
        <v>16</v>
      </c>
      <c r="G2611">
        <v>42.45</v>
      </c>
      <c r="H2611">
        <v>51</v>
      </c>
      <c r="I2611" t="s">
        <v>23</v>
      </c>
      <c r="J2611" t="s">
        <v>18</v>
      </c>
      <c r="K2611" t="s">
        <v>232</v>
      </c>
      <c r="L2611">
        <v>304</v>
      </c>
      <c r="M2611" t="str">
        <f t="shared" si="80"/>
        <v>High</v>
      </c>
      <c r="N2611" t="str">
        <f t="shared" si="81"/>
        <v>Average</v>
      </c>
    </row>
    <row r="2612" spans="1:14">
      <c r="A2612" t="s">
        <v>39</v>
      </c>
      <c r="B2612">
        <v>2022</v>
      </c>
      <c r="C2612" t="s">
        <v>5626</v>
      </c>
      <c r="D2612" t="s">
        <v>14</v>
      </c>
      <c r="E2612" t="s">
        <v>5627</v>
      </c>
      <c r="F2612" t="s">
        <v>46</v>
      </c>
      <c r="G2612">
        <v>11.57</v>
      </c>
      <c r="H2612">
        <v>82</v>
      </c>
      <c r="I2612" t="s">
        <v>61</v>
      </c>
      <c r="J2612" t="s">
        <v>18</v>
      </c>
      <c r="K2612" t="s">
        <v>58</v>
      </c>
      <c r="L2612">
        <v>155</v>
      </c>
      <c r="M2612" t="str">
        <f t="shared" si="80"/>
        <v>Low</v>
      </c>
      <c r="N2612" t="str">
        <f t="shared" si="81"/>
        <v>Good</v>
      </c>
    </row>
    <row r="2613" spans="1:14">
      <c r="A2613" t="s">
        <v>68</v>
      </c>
      <c r="B2613">
        <v>2015</v>
      </c>
      <c r="C2613" t="s">
        <v>5628</v>
      </c>
      <c r="D2613" t="s">
        <v>33</v>
      </c>
      <c r="E2613" t="s">
        <v>5629</v>
      </c>
      <c r="F2613" t="s">
        <v>16</v>
      </c>
      <c r="G2613">
        <v>27.56</v>
      </c>
      <c r="H2613">
        <v>65</v>
      </c>
      <c r="I2613" t="s">
        <v>29</v>
      </c>
      <c r="J2613" t="s">
        <v>37</v>
      </c>
      <c r="K2613" t="s">
        <v>47</v>
      </c>
      <c r="L2613">
        <v>158</v>
      </c>
      <c r="M2613" t="str">
        <f t="shared" si="80"/>
        <v>Medium</v>
      </c>
      <c r="N2613" t="str">
        <f t="shared" si="81"/>
        <v>Average</v>
      </c>
    </row>
    <row r="2614" spans="1:14">
      <c r="A2614" t="s">
        <v>48</v>
      </c>
      <c r="B2614">
        <v>2020</v>
      </c>
      <c r="C2614" t="s">
        <v>5630</v>
      </c>
      <c r="D2614" t="s">
        <v>14</v>
      </c>
      <c r="E2614" t="s">
        <v>5631</v>
      </c>
      <c r="F2614" t="s">
        <v>35</v>
      </c>
      <c r="G2614">
        <v>27.57</v>
      </c>
      <c r="H2614">
        <v>75</v>
      </c>
      <c r="I2614" t="s">
        <v>17</v>
      </c>
      <c r="J2614" t="s">
        <v>37</v>
      </c>
      <c r="K2614" t="s">
        <v>20</v>
      </c>
      <c r="L2614">
        <v>86</v>
      </c>
      <c r="M2614" t="str">
        <f t="shared" si="80"/>
        <v>Medium</v>
      </c>
      <c r="N2614" t="str">
        <f t="shared" si="81"/>
        <v>Good</v>
      </c>
    </row>
    <row r="2615" spans="1:14">
      <c r="A2615" t="s">
        <v>65</v>
      </c>
      <c r="B2615">
        <v>2017</v>
      </c>
      <c r="C2615" t="s">
        <v>5632</v>
      </c>
      <c r="D2615" t="s">
        <v>33</v>
      </c>
      <c r="E2615" t="s">
        <v>2817</v>
      </c>
      <c r="F2615" t="s">
        <v>35</v>
      </c>
      <c r="G2615">
        <v>32.619999999999997</v>
      </c>
      <c r="H2615">
        <v>87</v>
      </c>
      <c r="I2615" t="s">
        <v>29</v>
      </c>
      <c r="J2615" t="s">
        <v>37</v>
      </c>
      <c r="K2615" t="s">
        <v>1484</v>
      </c>
      <c r="L2615">
        <v>226</v>
      </c>
      <c r="M2615" t="str">
        <f t="shared" si="80"/>
        <v>Medium</v>
      </c>
      <c r="N2615" t="str">
        <f t="shared" si="81"/>
        <v>Good</v>
      </c>
    </row>
    <row r="2616" spans="1:14">
      <c r="A2616" t="s">
        <v>20</v>
      </c>
      <c r="B2616">
        <v>2006</v>
      </c>
      <c r="C2616" t="s">
        <v>5633</v>
      </c>
      <c r="D2616" t="s">
        <v>33</v>
      </c>
      <c r="E2616" t="s">
        <v>1875</v>
      </c>
      <c r="F2616" t="s">
        <v>46</v>
      </c>
      <c r="G2616">
        <v>40.33</v>
      </c>
      <c r="H2616">
        <v>100</v>
      </c>
      <c r="I2616" t="s">
        <v>23</v>
      </c>
      <c r="J2616" t="s">
        <v>18</v>
      </c>
      <c r="K2616" t="s">
        <v>1873</v>
      </c>
      <c r="L2616">
        <v>327</v>
      </c>
      <c r="M2616" t="str">
        <f t="shared" si="80"/>
        <v>High</v>
      </c>
      <c r="N2616" t="str">
        <f t="shared" si="81"/>
        <v>Excellent</v>
      </c>
    </row>
    <row r="2617" spans="1:14">
      <c r="A2617" t="s">
        <v>48</v>
      </c>
      <c r="B2617">
        <v>2024</v>
      </c>
      <c r="C2617" t="s">
        <v>5634</v>
      </c>
      <c r="D2617" t="s">
        <v>33</v>
      </c>
      <c r="E2617" t="s">
        <v>5635</v>
      </c>
      <c r="F2617" t="s">
        <v>35</v>
      </c>
      <c r="G2617">
        <v>35.799999999999997</v>
      </c>
      <c r="H2617">
        <v>75</v>
      </c>
      <c r="I2617" t="s">
        <v>23</v>
      </c>
      <c r="J2617" t="s">
        <v>18</v>
      </c>
      <c r="K2617" t="s">
        <v>48</v>
      </c>
      <c r="L2617">
        <v>360</v>
      </c>
      <c r="M2617" t="str">
        <f t="shared" si="80"/>
        <v>High</v>
      </c>
      <c r="N2617" t="str">
        <f t="shared" si="81"/>
        <v>Good</v>
      </c>
    </row>
    <row r="2618" spans="1:14">
      <c r="A2618" t="s">
        <v>39</v>
      </c>
      <c r="B2618">
        <v>2016</v>
      </c>
      <c r="C2618" t="s">
        <v>5636</v>
      </c>
      <c r="D2618" t="s">
        <v>33</v>
      </c>
      <c r="E2618" t="s">
        <v>5637</v>
      </c>
      <c r="F2618" t="s">
        <v>35</v>
      </c>
      <c r="G2618">
        <v>11.79</v>
      </c>
      <c r="H2618">
        <v>78</v>
      </c>
      <c r="I2618" t="s">
        <v>61</v>
      </c>
      <c r="J2618" t="s">
        <v>18</v>
      </c>
      <c r="K2618" t="s">
        <v>26</v>
      </c>
      <c r="L2618">
        <v>206</v>
      </c>
      <c r="M2618" t="str">
        <f t="shared" si="80"/>
        <v>Low</v>
      </c>
      <c r="N2618" t="str">
        <f t="shared" si="81"/>
        <v>Good</v>
      </c>
    </row>
    <row r="2619" spans="1:14">
      <c r="A2619" t="s">
        <v>31</v>
      </c>
      <c r="B2619">
        <v>2001</v>
      </c>
      <c r="C2619" t="s">
        <v>5638</v>
      </c>
      <c r="D2619" t="s">
        <v>14</v>
      </c>
      <c r="E2619" t="s">
        <v>5639</v>
      </c>
      <c r="F2619" t="s">
        <v>57</v>
      </c>
      <c r="G2619">
        <v>25.98</v>
      </c>
      <c r="H2619">
        <v>82</v>
      </c>
      <c r="I2619" t="s">
        <v>36</v>
      </c>
      <c r="J2619" t="s">
        <v>37</v>
      </c>
      <c r="K2619" t="s">
        <v>184</v>
      </c>
      <c r="L2619">
        <v>220</v>
      </c>
      <c r="M2619" t="str">
        <f t="shared" si="80"/>
        <v>Medium</v>
      </c>
      <c r="N2619" t="str">
        <f t="shared" si="81"/>
        <v>Good</v>
      </c>
    </row>
    <row r="2620" spans="1:14">
      <c r="A2620" t="s">
        <v>68</v>
      </c>
      <c r="B2620">
        <v>2019</v>
      </c>
      <c r="C2620" t="s">
        <v>5640</v>
      </c>
      <c r="D2620" t="s">
        <v>33</v>
      </c>
      <c r="E2620" t="s">
        <v>5641</v>
      </c>
      <c r="F2620" t="s">
        <v>16</v>
      </c>
      <c r="G2620">
        <v>38.479999999999997</v>
      </c>
      <c r="H2620">
        <v>69</v>
      </c>
      <c r="I2620" t="s">
        <v>17</v>
      </c>
      <c r="J2620" t="s">
        <v>18</v>
      </c>
      <c r="K2620" t="s">
        <v>47</v>
      </c>
      <c r="L2620">
        <v>177</v>
      </c>
      <c r="M2620" t="str">
        <f t="shared" si="80"/>
        <v>High</v>
      </c>
      <c r="N2620" t="str">
        <f t="shared" si="81"/>
        <v>Average</v>
      </c>
    </row>
    <row r="2621" spans="1:14">
      <c r="A2621" t="s">
        <v>65</v>
      </c>
      <c r="B2621">
        <v>2002</v>
      </c>
      <c r="C2621" t="s">
        <v>5642</v>
      </c>
      <c r="D2621" t="s">
        <v>33</v>
      </c>
      <c r="E2621" t="s">
        <v>5643</v>
      </c>
      <c r="F2621" t="s">
        <v>57</v>
      </c>
      <c r="G2621">
        <v>44.86</v>
      </c>
      <c r="H2621">
        <v>85</v>
      </c>
      <c r="I2621" t="s">
        <v>17</v>
      </c>
      <c r="J2621" t="s">
        <v>24</v>
      </c>
      <c r="K2621" t="s">
        <v>38</v>
      </c>
      <c r="L2621">
        <v>330</v>
      </c>
      <c r="M2621" t="str">
        <f t="shared" si="80"/>
        <v>High</v>
      </c>
      <c r="N2621" t="str">
        <f t="shared" si="81"/>
        <v>Good</v>
      </c>
    </row>
    <row r="2622" spans="1:14">
      <c r="A2622" t="s">
        <v>26</v>
      </c>
      <c r="B2622">
        <v>2023</v>
      </c>
      <c r="C2622" t="s">
        <v>5644</v>
      </c>
      <c r="D2622" t="s">
        <v>14</v>
      </c>
      <c r="E2622" t="s">
        <v>53</v>
      </c>
      <c r="F2622" t="s">
        <v>35</v>
      </c>
      <c r="G2622">
        <v>6.63</v>
      </c>
      <c r="H2622">
        <v>85</v>
      </c>
      <c r="I2622" t="s">
        <v>36</v>
      </c>
      <c r="J2622" t="s">
        <v>37</v>
      </c>
      <c r="K2622" t="s">
        <v>3242</v>
      </c>
      <c r="L2622">
        <v>82</v>
      </c>
      <c r="M2622" t="str">
        <f t="shared" si="80"/>
        <v>Low</v>
      </c>
      <c r="N2622" t="str">
        <f t="shared" si="81"/>
        <v>Good</v>
      </c>
    </row>
    <row r="2623" spans="1:14">
      <c r="A2623" t="s">
        <v>39</v>
      </c>
      <c r="B2623">
        <v>2017</v>
      </c>
      <c r="C2623" t="s">
        <v>5645</v>
      </c>
      <c r="D2623" t="s">
        <v>14</v>
      </c>
      <c r="E2623" t="s">
        <v>5646</v>
      </c>
      <c r="F2623" t="s">
        <v>42</v>
      </c>
      <c r="G2623">
        <v>20.76</v>
      </c>
      <c r="H2623">
        <v>53</v>
      </c>
      <c r="I2623" t="s">
        <v>23</v>
      </c>
      <c r="J2623" t="s">
        <v>24</v>
      </c>
      <c r="K2623" t="s">
        <v>5647</v>
      </c>
      <c r="L2623">
        <v>165</v>
      </c>
      <c r="M2623" t="str">
        <f t="shared" si="80"/>
        <v>Medium</v>
      </c>
      <c r="N2623" t="str">
        <f t="shared" si="81"/>
        <v>Average</v>
      </c>
    </row>
    <row r="2624" spans="1:14">
      <c r="A2624" t="s">
        <v>26</v>
      </c>
      <c r="B2624">
        <v>2024</v>
      </c>
      <c r="C2624" t="s">
        <v>5648</v>
      </c>
      <c r="D2624" t="s">
        <v>33</v>
      </c>
      <c r="E2624" t="s">
        <v>5649</v>
      </c>
      <c r="F2624" t="s">
        <v>46</v>
      </c>
      <c r="G2624">
        <v>16.36</v>
      </c>
      <c r="H2624">
        <v>78</v>
      </c>
      <c r="I2624" t="s">
        <v>36</v>
      </c>
      <c r="J2624" t="s">
        <v>24</v>
      </c>
      <c r="K2624" t="s">
        <v>359</v>
      </c>
      <c r="L2624">
        <v>260</v>
      </c>
      <c r="M2624" t="str">
        <f t="shared" si="80"/>
        <v>Medium</v>
      </c>
      <c r="N2624" t="str">
        <f t="shared" si="81"/>
        <v>Good</v>
      </c>
    </row>
    <row r="2625" spans="1:14">
      <c r="A2625" t="s">
        <v>38</v>
      </c>
      <c r="B2625">
        <v>2013</v>
      </c>
      <c r="C2625" t="s">
        <v>5650</v>
      </c>
      <c r="D2625" t="s">
        <v>33</v>
      </c>
      <c r="E2625" t="s">
        <v>3154</v>
      </c>
      <c r="F2625" t="s">
        <v>46</v>
      </c>
      <c r="G2625">
        <v>37.83</v>
      </c>
      <c r="H2625">
        <v>57</v>
      </c>
      <c r="I2625" t="s">
        <v>36</v>
      </c>
      <c r="J2625" t="s">
        <v>37</v>
      </c>
      <c r="K2625" t="s">
        <v>2125</v>
      </c>
      <c r="L2625">
        <v>217</v>
      </c>
      <c r="M2625" t="str">
        <f t="shared" si="80"/>
        <v>High</v>
      </c>
      <c r="N2625" t="str">
        <f t="shared" si="81"/>
        <v>Average</v>
      </c>
    </row>
    <row r="2626" spans="1:14">
      <c r="A2626" t="s">
        <v>12</v>
      </c>
      <c r="B2626">
        <v>2007</v>
      </c>
      <c r="C2626" t="s">
        <v>5651</v>
      </c>
      <c r="D2626" t="s">
        <v>33</v>
      </c>
      <c r="E2626" t="s">
        <v>5652</v>
      </c>
      <c r="F2626" t="s">
        <v>42</v>
      </c>
      <c r="G2626">
        <v>1.03</v>
      </c>
      <c r="H2626">
        <v>53</v>
      </c>
      <c r="I2626" t="s">
        <v>17</v>
      </c>
      <c r="J2626" t="s">
        <v>24</v>
      </c>
      <c r="K2626" t="s">
        <v>4553</v>
      </c>
      <c r="L2626">
        <v>38</v>
      </c>
      <c r="M2626" t="str">
        <f t="shared" si="80"/>
        <v>Low</v>
      </c>
      <c r="N2626" t="str">
        <f t="shared" si="81"/>
        <v>Average</v>
      </c>
    </row>
    <row r="2627" spans="1:14">
      <c r="A2627" t="s">
        <v>48</v>
      </c>
      <c r="B2627">
        <v>2002</v>
      </c>
      <c r="C2627" t="s">
        <v>5653</v>
      </c>
      <c r="D2627" t="s">
        <v>14</v>
      </c>
      <c r="E2627" t="s">
        <v>5654</v>
      </c>
      <c r="F2627" t="s">
        <v>16</v>
      </c>
      <c r="G2627">
        <v>37.880000000000003</v>
      </c>
      <c r="H2627">
        <v>83</v>
      </c>
      <c r="I2627" t="s">
        <v>17</v>
      </c>
      <c r="J2627" t="s">
        <v>24</v>
      </c>
      <c r="K2627" t="s">
        <v>38</v>
      </c>
      <c r="L2627">
        <v>66</v>
      </c>
      <c r="M2627" t="str">
        <f t="shared" ref="M2627:M2690" si="82">IF(G2627&lt;15,"Low",IF(G2627&lt;35,"Medium","High"))</f>
        <v>High</v>
      </c>
      <c r="N2627" t="str">
        <f t="shared" ref="N2627:N2690" si="83">IF(H2627&gt;=90,"Excellent",IF(H2627&gt;=75,"Good","Average"))</f>
        <v>Good</v>
      </c>
    </row>
    <row r="2628" spans="1:14">
      <c r="A2628" t="s">
        <v>38</v>
      </c>
      <c r="B2628">
        <v>2010</v>
      </c>
      <c r="C2628" t="s">
        <v>5655</v>
      </c>
      <c r="D2628" t="s">
        <v>14</v>
      </c>
      <c r="E2628" t="s">
        <v>5656</v>
      </c>
      <c r="F2628" t="s">
        <v>35</v>
      </c>
      <c r="G2628">
        <v>38.89</v>
      </c>
      <c r="H2628">
        <v>50</v>
      </c>
      <c r="I2628" t="s">
        <v>61</v>
      </c>
      <c r="J2628" t="s">
        <v>24</v>
      </c>
      <c r="K2628" t="s">
        <v>5657</v>
      </c>
      <c r="L2628">
        <v>193</v>
      </c>
      <c r="M2628" t="str">
        <f t="shared" si="82"/>
        <v>High</v>
      </c>
      <c r="N2628" t="str">
        <f t="shared" si="83"/>
        <v>Average</v>
      </c>
    </row>
    <row r="2629" spans="1:14">
      <c r="A2629" t="s">
        <v>48</v>
      </c>
      <c r="B2629">
        <v>2010</v>
      </c>
      <c r="C2629" t="s">
        <v>5658</v>
      </c>
      <c r="D2629" t="s">
        <v>33</v>
      </c>
      <c r="E2629" t="s">
        <v>5659</v>
      </c>
      <c r="F2629" t="s">
        <v>57</v>
      </c>
      <c r="G2629">
        <v>5.05</v>
      </c>
      <c r="H2629">
        <v>51</v>
      </c>
      <c r="I2629" t="s">
        <v>61</v>
      </c>
      <c r="J2629" t="s">
        <v>18</v>
      </c>
      <c r="K2629" t="s">
        <v>795</v>
      </c>
      <c r="L2629">
        <v>46</v>
      </c>
      <c r="M2629" t="str">
        <f t="shared" si="82"/>
        <v>Low</v>
      </c>
      <c r="N2629" t="str">
        <f t="shared" si="83"/>
        <v>Average</v>
      </c>
    </row>
    <row r="2630" spans="1:14">
      <c r="A2630" t="s">
        <v>47</v>
      </c>
      <c r="B2630">
        <v>2011</v>
      </c>
      <c r="C2630" t="s">
        <v>5660</v>
      </c>
      <c r="D2630" t="s">
        <v>14</v>
      </c>
      <c r="E2630" t="s">
        <v>5661</v>
      </c>
      <c r="F2630" t="s">
        <v>16</v>
      </c>
      <c r="G2630">
        <v>6.22</v>
      </c>
      <c r="H2630">
        <v>63</v>
      </c>
      <c r="I2630" t="s">
        <v>17</v>
      </c>
      <c r="J2630" t="s">
        <v>24</v>
      </c>
      <c r="K2630" t="s">
        <v>308</v>
      </c>
      <c r="L2630">
        <v>72</v>
      </c>
      <c r="M2630" t="str">
        <f t="shared" si="82"/>
        <v>Low</v>
      </c>
      <c r="N2630" t="str">
        <f t="shared" si="83"/>
        <v>Average</v>
      </c>
    </row>
    <row r="2631" spans="1:14">
      <c r="A2631" t="s">
        <v>38</v>
      </c>
      <c r="B2631">
        <v>2012</v>
      </c>
      <c r="C2631" t="s">
        <v>5662</v>
      </c>
      <c r="D2631" t="s">
        <v>33</v>
      </c>
      <c r="E2631" t="s">
        <v>5663</v>
      </c>
      <c r="F2631" t="s">
        <v>42</v>
      </c>
      <c r="G2631">
        <v>5.99</v>
      </c>
      <c r="H2631">
        <v>51</v>
      </c>
      <c r="I2631" t="s">
        <v>29</v>
      </c>
      <c r="J2631" t="s">
        <v>37</v>
      </c>
      <c r="K2631" t="s">
        <v>931</v>
      </c>
      <c r="L2631">
        <v>202</v>
      </c>
      <c r="M2631" t="str">
        <f t="shared" si="82"/>
        <v>Low</v>
      </c>
      <c r="N2631" t="str">
        <f t="shared" si="83"/>
        <v>Average</v>
      </c>
    </row>
    <row r="2632" spans="1:14">
      <c r="A2632" t="s">
        <v>48</v>
      </c>
      <c r="B2632">
        <v>2001</v>
      </c>
      <c r="C2632" t="s">
        <v>5664</v>
      </c>
      <c r="D2632" t="s">
        <v>33</v>
      </c>
      <c r="E2632" t="s">
        <v>5665</v>
      </c>
      <c r="F2632" t="s">
        <v>35</v>
      </c>
      <c r="G2632">
        <v>3.53</v>
      </c>
      <c r="H2632">
        <v>73</v>
      </c>
      <c r="I2632" t="s">
        <v>23</v>
      </c>
      <c r="J2632" t="s">
        <v>37</v>
      </c>
      <c r="K2632" t="s">
        <v>170</v>
      </c>
      <c r="L2632">
        <v>136</v>
      </c>
      <c r="M2632" t="str">
        <f t="shared" si="82"/>
        <v>Low</v>
      </c>
      <c r="N2632" t="str">
        <f t="shared" si="83"/>
        <v>Average</v>
      </c>
    </row>
    <row r="2633" spans="1:14">
      <c r="A2633" t="s">
        <v>38</v>
      </c>
      <c r="B2633">
        <v>2015</v>
      </c>
      <c r="C2633" t="s">
        <v>5666</v>
      </c>
      <c r="D2633" t="s">
        <v>14</v>
      </c>
      <c r="E2633" t="s">
        <v>5667</v>
      </c>
      <c r="F2633" t="s">
        <v>42</v>
      </c>
      <c r="G2633">
        <v>17.14</v>
      </c>
      <c r="H2633">
        <v>73</v>
      </c>
      <c r="I2633" t="s">
        <v>29</v>
      </c>
      <c r="J2633" t="s">
        <v>37</v>
      </c>
      <c r="K2633" t="s">
        <v>493</v>
      </c>
      <c r="L2633">
        <v>264</v>
      </c>
      <c r="M2633" t="str">
        <f t="shared" si="82"/>
        <v>Medium</v>
      </c>
      <c r="N2633" t="str">
        <f t="shared" si="83"/>
        <v>Average</v>
      </c>
    </row>
    <row r="2634" spans="1:14">
      <c r="A2634" t="s">
        <v>47</v>
      </c>
      <c r="B2634">
        <v>2009</v>
      </c>
      <c r="C2634" t="s">
        <v>5668</v>
      </c>
      <c r="D2634" t="s">
        <v>14</v>
      </c>
      <c r="E2634" t="s">
        <v>5669</v>
      </c>
      <c r="F2634" t="s">
        <v>46</v>
      </c>
      <c r="G2634">
        <v>32.29</v>
      </c>
      <c r="H2634">
        <v>50</v>
      </c>
      <c r="I2634" t="s">
        <v>36</v>
      </c>
      <c r="J2634" t="s">
        <v>18</v>
      </c>
      <c r="K2634" t="s">
        <v>942</v>
      </c>
      <c r="L2634">
        <v>47</v>
      </c>
      <c r="M2634" t="str">
        <f t="shared" si="82"/>
        <v>Medium</v>
      </c>
      <c r="N2634" t="str">
        <f t="shared" si="83"/>
        <v>Average</v>
      </c>
    </row>
    <row r="2635" spans="1:14">
      <c r="A2635" t="s">
        <v>20</v>
      </c>
      <c r="B2635">
        <v>2000</v>
      </c>
      <c r="C2635" t="s">
        <v>5670</v>
      </c>
      <c r="D2635" t="s">
        <v>33</v>
      </c>
      <c r="E2635" t="s">
        <v>2931</v>
      </c>
      <c r="F2635" t="s">
        <v>35</v>
      </c>
      <c r="G2635">
        <v>12.37</v>
      </c>
      <c r="H2635">
        <v>79</v>
      </c>
      <c r="I2635" t="s">
        <v>23</v>
      </c>
      <c r="J2635" t="s">
        <v>18</v>
      </c>
      <c r="K2635" t="s">
        <v>5671</v>
      </c>
      <c r="L2635">
        <v>282</v>
      </c>
      <c r="M2635" t="str">
        <f t="shared" si="82"/>
        <v>Low</v>
      </c>
      <c r="N2635" t="str">
        <f t="shared" si="83"/>
        <v>Good</v>
      </c>
    </row>
    <row r="2636" spans="1:14">
      <c r="A2636" t="s">
        <v>26</v>
      </c>
      <c r="B2636">
        <v>2006</v>
      </c>
      <c r="C2636" t="s">
        <v>5672</v>
      </c>
      <c r="D2636" t="s">
        <v>14</v>
      </c>
      <c r="E2636" t="s">
        <v>5673</v>
      </c>
      <c r="F2636" t="s">
        <v>16</v>
      </c>
      <c r="G2636">
        <v>17.190000000000001</v>
      </c>
      <c r="H2636">
        <v>50</v>
      </c>
      <c r="I2636" t="s">
        <v>29</v>
      </c>
      <c r="J2636" t="s">
        <v>24</v>
      </c>
      <c r="K2636" t="s">
        <v>78</v>
      </c>
      <c r="L2636">
        <v>263</v>
      </c>
      <c r="M2636" t="str">
        <f t="shared" si="82"/>
        <v>Medium</v>
      </c>
      <c r="N2636" t="str">
        <f t="shared" si="83"/>
        <v>Average</v>
      </c>
    </row>
    <row r="2637" spans="1:14">
      <c r="A2637" t="s">
        <v>48</v>
      </c>
      <c r="B2637">
        <v>2024</v>
      </c>
      <c r="C2637" t="s">
        <v>5674</v>
      </c>
      <c r="D2637" t="s">
        <v>33</v>
      </c>
      <c r="E2637" t="s">
        <v>1691</v>
      </c>
      <c r="F2637" t="s">
        <v>16</v>
      </c>
      <c r="G2637">
        <v>27.94</v>
      </c>
      <c r="H2637">
        <v>56</v>
      </c>
      <c r="I2637" t="s">
        <v>17</v>
      </c>
      <c r="J2637" t="s">
        <v>24</v>
      </c>
      <c r="K2637" t="s">
        <v>38</v>
      </c>
      <c r="L2637">
        <v>160</v>
      </c>
      <c r="M2637" t="str">
        <f t="shared" si="82"/>
        <v>Medium</v>
      </c>
      <c r="N2637" t="str">
        <f t="shared" si="83"/>
        <v>Average</v>
      </c>
    </row>
    <row r="2638" spans="1:14">
      <c r="A2638" t="s">
        <v>20</v>
      </c>
      <c r="B2638">
        <v>2025</v>
      </c>
      <c r="C2638" t="s">
        <v>5675</v>
      </c>
      <c r="D2638" t="s">
        <v>33</v>
      </c>
      <c r="E2638" t="s">
        <v>5676</v>
      </c>
      <c r="F2638" t="s">
        <v>16</v>
      </c>
      <c r="G2638">
        <v>46.19</v>
      </c>
      <c r="H2638">
        <v>83</v>
      </c>
      <c r="I2638" t="s">
        <v>36</v>
      </c>
      <c r="J2638" t="s">
        <v>18</v>
      </c>
      <c r="K2638" t="s">
        <v>1724</v>
      </c>
      <c r="L2638">
        <v>51</v>
      </c>
      <c r="M2638" t="str">
        <f t="shared" si="82"/>
        <v>High</v>
      </c>
      <c r="N2638" t="str">
        <f t="shared" si="83"/>
        <v>Good</v>
      </c>
    </row>
    <row r="2639" spans="1:14">
      <c r="A2639" t="s">
        <v>65</v>
      </c>
      <c r="B2639">
        <v>2020</v>
      </c>
      <c r="C2639" t="s">
        <v>5677</v>
      </c>
      <c r="D2639" t="s">
        <v>14</v>
      </c>
      <c r="E2639" t="s">
        <v>5678</v>
      </c>
      <c r="F2639" t="s">
        <v>57</v>
      </c>
      <c r="G2639">
        <v>8.83</v>
      </c>
      <c r="H2639">
        <v>96</v>
      </c>
      <c r="I2639" t="s">
        <v>36</v>
      </c>
      <c r="J2639" t="s">
        <v>24</v>
      </c>
      <c r="K2639" t="s">
        <v>65</v>
      </c>
      <c r="L2639">
        <v>230</v>
      </c>
      <c r="M2639" t="str">
        <f t="shared" si="82"/>
        <v>Low</v>
      </c>
      <c r="N2639" t="str">
        <f t="shared" si="83"/>
        <v>Excellent</v>
      </c>
    </row>
    <row r="2640" spans="1:14">
      <c r="A2640" t="s">
        <v>20</v>
      </c>
      <c r="B2640">
        <v>2019</v>
      </c>
      <c r="C2640" t="s">
        <v>5679</v>
      </c>
      <c r="D2640" t="s">
        <v>14</v>
      </c>
      <c r="E2640" t="s">
        <v>5680</v>
      </c>
      <c r="F2640" t="s">
        <v>42</v>
      </c>
      <c r="G2640">
        <v>22.56</v>
      </c>
      <c r="H2640">
        <v>84</v>
      </c>
      <c r="I2640" t="s">
        <v>29</v>
      </c>
      <c r="J2640" t="s">
        <v>24</v>
      </c>
      <c r="K2640" t="s">
        <v>279</v>
      </c>
      <c r="L2640">
        <v>314</v>
      </c>
      <c r="M2640" t="str">
        <f t="shared" si="82"/>
        <v>Medium</v>
      </c>
      <c r="N2640" t="str">
        <f t="shared" si="83"/>
        <v>Good</v>
      </c>
    </row>
    <row r="2641" spans="1:14">
      <c r="A2641" t="s">
        <v>65</v>
      </c>
      <c r="B2641">
        <v>2010</v>
      </c>
      <c r="C2641" t="s">
        <v>5681</v>
      </c>
      <c r="D2641" t="s">
        <v>14</v>
      </c>
      <c r="E2641" t="s">
        <v>5682</v>
      </c>
      <c r="F2641" t="s">
        <v>57</v>
      </c>
      <c r="G2641">
        <v>22.86</v>
      </c>
      <c r="H2641">
        <v>71</v>
      </c>
      <c r="I2641" t="s">
        <v>23</v>
      </c>
      <c r="J2641" t="s">
        <v>18</v>
      </c>
      <c r="K2641" t="s">
        <v>20</v>
      </c>
      <c r="L2641">
        <v>134</v>
      </c>
      <c r="M2641" t="str">
        <f t="shared" si="82"/>
        <v>Medium</v>
      </c>
      <c r="N2641" t="str">
        <f t="shared" si="83"/>
        <v>Average</v>
      </c>
    </row>
    <row r="2642" spans="1:14">
      <c r="A2642" t="s">
        <v>12</v>
      </c>
      <c r="B2642">
        <v>2008</v>
      </c>
      <c r="C2642" t="s">
        <v>5683</v>
      </c>
      <c r="D2642" t="s">
        <v>33</v>
      </c>
      <c r="E2642" t="s">
        <v>5684</v>
      </c>
      <c r="F2642" t="s">
        <v>42</v>
      </c>
      <c r="G2642">
        <v>10.06</v>
      </c>
      <c r="H2642">
        <v>83</v>
      </c>
      <c r="I2642" t="s">
        <v>36</v>
      </c>
      <c r="J2642" t="s">
        <v>18</v>
      </c>
      <c r="K2642" t="s">
        <v>4955</v>
      </c>
      <c r="L2642">
        <v>93</v>
      </c>
      <c r="M2642" t="str">
        <f t="shared" si="82"/>
        <v>Low</v>
      </c>
      <c r="N2642" t="str">
        <f t="shared" si="83"/>
        <v>Good</v>
      </c>
    </row>
    <row r="2643" spans="1:14">
      <c r="A2643" t="s">
        <v>12</v>
      </c>
      <c r="B2643">
        <v>2011</v>
      </c>
      <c r="C2643" t="s">
        <v>5685</v>
      </c>
      <c r="D2643" t="s">
        <v>33</v>
      </c>
      <c r="E2643" t="s">
        <v>5686</v>
      </c>
      <c r="F2643" t="s">
        <v>42</v>
      </c>
      <c r="G2643">
        <v>24.79</v>
      </c>
      <c r="H2643">
        <v>83</v>
      </c>
      <c r="I2643" t="s">
        <v>23</v>
      </c>
      <c r="J2643" t="s">
        <v>24</v>
      </c>
      <c r="K2643" t="s">
        <v>5050</v>
      </c>
      <c r="L2643">
        <v>102</v>
      </c>
      <c r="M2643" t="str">
        <f t="shared" si="82"/>
        <v>Medium</v>
      </c>
      <c r="N2643" t="str">
        <f t="shared" si="83"/>
        <v>Good</v>
      </c>
    </row>
    <row r="2644" spans="1:14">
      <c r="A2644" t="s">
        <v>68</v>
      </c>
      <c r="B2644">
        <v>2025</v>
      </c>
      <c r="C2644" t="s">
        <v>5687</v>
      </c>
      <c r="D2644" t="s">
        <v>14</v>
      </c>
      <c r="E2644" t="s">
        <v>5688</v>
      </c>
      <c r="F2644" t="s">
        <v>16</v>
      </c>
      <c r="G2644">
        <v>8.89</v>
      </c>
      <c r="H2644">
        <v>78</v>
      </c>
      <c r="I2644" t="s">
        <v>17</v>
      </c>
      <c r="J2644" t="s">
        <v>37</v>
      </c>
      <c r="K2644" t="s">
        <v>760</v>
      </c>
      <c r="L2644">
        <v>212</v>
      </c>
      <c r="M2644" t="str">
        <f t="shared" si="82"/>
        <v>Low</v>
      </c>
      <c r="N2644" t="str">
        <f t="shared" si="83"/>
        <v>Good</v>
      </c>
    </row>
    <row r="2645" spans="1:14">
      <c r="A2645" t="s">
        <v>65</v>
      </c>
      <c r="B2645">
        <v>2004</v>
      </c>
      <c r="C2645" t="s">
        <v>5689</v>
      </c>
      <c r="D2645" t="s">
        <v>33</v>
      </c>
      <c r="E2645" t="s">
        <v>5690</v>
      </c>
      <c r="F2645" t="s">
        <v>35</v>
      </c>
      <c r="G2645">
        <v>13.53</v>
      </c>
      <c r="H2645">
        <v>60</v>
      </c>
      <c r="I2645" t="s">
        <v>29</v>
      </c>
      <c r="J2645" t="s">
        <v>18</v>
      </c>
      <c r="K2645" t="s">
        <v>454</v>
      </c>
      <c r="L2645">
        <v>25</v>
      </c>
      <c r="M2645" t="str">
        <f t="shared" si="82"/>
        <v>Low</v>
      </c>
      <c r="N2645" t="str">
        <f t="shared" si="83"/>
        <v>Average</v>
      </c>
    </row>
    <row r="2646" spans="1:14">
      <c r="A2646" t="s">
        <v>12</v>
      </c>
      <c r="B2646">
        <v>2022</v>
      </c>
      <c r="C2646" t="s">
        <v>5691</v>
      </c>
      <c r="D2646" t="s">
        <v>33</v>
      </c>
      <c r="E2646" t="s">
        <v>5692</v>
      </c>
      <c r="F2646" t="s">
        <v>35</v>
      </c>
      <c r="G2646">
        <v>19.07</v>
      </c>
      <c r="H2646">
        <v>100</v>
      </c>
      <c r="I2646" t="s">
        <v>17</v>
      </c>
      <c r="J2646" t="s">
        <v>37</v>
      </c>
      <c r="K2646" t="s">
        <v>398</v>
      </c>
      <c r="L2646">
        <v>320</v>
      </c>
      <c r="M2646" t="str">
        <f t="shared" si="82"/>
        <v>Medium</v>
      </c>
      <c r="N2646" t="str">
        <f t="shared" si="83"/>
        <v>Excellent</v>
      </c>
    </row>
    <row r="2647" spans="1:14">
      <c r="A2647" t="s">
        <v>65</v>
      </c>
      <c r="B2647">
        <v>2011</v>
      </c>
      <c r="C2647" t="s">
        <v>5693</v>
      </c>
      <c r="D2647" t="s">
        <v>14</v>
      </c>
      <c r="E2647" t="s">
        <v>1936</v>
      </c>
      <c r="F2647" t="s">
        <v>16</v>
      </c>
      <c r="G2647">
        <v>47.12</v>
      </c>
      <c r="H2647">
        <v>92</v>
      </c>
      <c r="I2647" t="s">
        <v>61</v>
      </c>
      <c r="J2647" t="s">
        <v>37</v>
      </c>
      <c r="K2647" t="s">
        <v>831</v>
      </c>
      <c r="L2647">
        <v>257</v>
      </c>
      <c r="M2647" t="str">
        <f t="shared" si="82"/>
        <v>High</v>
      </c>
      <c r="N2647" t="str">
        <f t="shared" si="83"/>
        <v>Excellent</v>
      </c>
    </row>
    <row r="2648" spans="1:14">
      <c r="A2648" t="s">
        <v>47</v>
      </c>
      <c r="B2648">
        <v>2023</v>
      </c>
      <c r="C2648" t="s">
        <v>5694</v>
      </c>
      <c r="D2648" t="s">
        <v>14</v>
      </c>
      <c r="E2648" t="s">
        <v>4147</v>
      </c>
      <c r="F2648" t="s">
        <v>42</v>
      </c>
      <c r="G2648">
        <v>17.649999999999999</v>
      </c>
      <c r="H2648">
        <v>70</v>
      </c>
      <c r="I2648" t="s">
        <v>36</v>
      </c>
      <c r="J2648" t="s">
        <v>24</v>
      </c>
      <c r="K2648" t="s">
        <v>698</v>
      </c>
      <c r="L2648">
        <v>238</v>
      </c>
      <c r="M2648" t="str">
        <f t="shared" si="82"/>
        <v>Medium</v>
      </c>
      <c r="N2648" t="str">
        <f t="shared" si="83"/>
        <v>Average</v>
      </c>
    </row>
    <row r="2649" spans="1:14">
      <c r="A2649" t="s">
        <v>12</v>
      </c>
      <c r="B2649">
        <v>2002</v>
      </c>
      <c r="C2649" t="s">
        <v>5695</v>
      </c>
      <c r="D2649" t="s">
        <v>14</v>
      </c>
      <c r="E2649" t="s">
        <v>5696</v>
      </c>
      <c r="F2649" t="s">
        <v>42</v>
      </c>
      <c r="G2649">
        <v>33.409999999999997</v>
      </c>
      <c r="H2649">
        <v>87</v>
      </c>
      <c r="I2649" t="s">
        <v>29</v>
      </c>
      <c r="J2649" t="s">
        <v>18</v>
      </c>
      <c r="K2649" t="s">
        <v>39</v>
      </c>
      <c r="L2649">
        <v>200</v>
      </c>
      <c r="M2649" t="str">
        <f t="shared" si="82"/>
        <v>Medium</v>
      </c>
      <c r="N2649" t="str">
        <f t="shared" si="83"/>
        <v>Good</v>
      </c>
    </row>
    <row r="2650" spans="1:14">
      <c r="A2650" t="s">
        <v>26</v>
      </c>
      <c r="B2650">
        <v>2003</v>
      </c>
      <c r="C2650" t="s">
        <v>5697</v>
      </c>
      <c r="D2650" t="s">
        <v>14</v>
      </c>
      <c r="E2650" t="s">
        <v>5698</v>
      </c>
      <c r="F2650" t="s">
        <v>42</v>
      </c>
      <c r="G2650">
        <v>4.66</v>
      </c>
      <c r="H2650">
        <v>56</v>
      </c>
      <c r="I2650" t="s">
        <v>23</v>
      </c>
      <c r="J2650" t="s">
        <v>18</v>
      </c>
      <c r="K2650" t="s">
        <v>48</v>
      </c>
      <c r="L2650">
        <v>71</v>
      </c>
      <c r="M2650" t="str">
        <f t="shared" si="82"/>
        <v>Low</v>
      </c>
      <c r="N2650" t="str">
        <f t="shared" si="83"/>
        <v>Average</v>
      </c>
    </row>
    <row r="2651" spans="1:14">
      <c r="A2651" t="s">
        <v>26</v>
      </c>
      <c r="B2651">
        <v>2018</v>
      </c>
      <c r="C2651" t="s">
        <v>5699</v>
      </c>
      <c r="D2651" t="s">
        <v>14</v>
      </c>
      <c r="E2651" t="s">
        <v>5700</v>
      </c>
      <c r="F2651" t="s">
        <v>46</v>
      </c>
      <c r="G2651">
        <v>11.82</v>
      </c>
      <c r="H2651">
        <v>50</v>
      </c>
      <c r="I2651" t="s">
        <v>23</v>
      </c>
      <c r="J2651" t="s">
        <v>24</v>
      </c>
      <c r="K2651" t="s">
        <v>1537</v>
      </c>
      <c r="L2651">
        <v>121</v>
      </c>
      <c r="M2651" t="str">
        <f t="shared" si="82"/>
        <v>Low</v>
      </c>
      <c r="N2651" t="str">
        <f t="shared" si="83"/>
        <v>Average</v>
      </c>
    </row>
    <row r="2652" spans="1:14">
      <c r="A2652" t="s">
        <v>31</v>
      </c>
      <c r="B2652">
        <v>2021</v>
      </c>
      <c r="C2652" t="s">
        <v>5701</v>
      </c>
      <c r="D2652" t="s">
        <v>33</v>
      </c>
      <c r="E2652" t="s">
        <v>1133</v>
      </c>
      <c r="F2652" t="s">
        <v>16</v>
      </c>
      <c r="G2652">
        <v>5.44</v>
      </c>
      <c r="H2652">
        <v>72</v>
      </c>
      <c r="I2652" t="s">
        <v>29</v>
      </c>
      <c r="J2652" t="s">
        <v>37</v>
      </c>
      <c r="K2652" t="s">
        <v>493</v>
      </c>
      <c r="L2652">
        <v>63</v>
      </c>
      <c r="M2652" t="str">
        <f t="shared" si="82"/>
        <v>Low</v>
      </c>
      <c r="N2652" t="str">
        <f t="shared" si="83"/>
        <v>Average</v>
      </c>
    </row>
    <row r="2653" spans="1:14">
      <c r="A2653" t="s">
        <v>20</v>
      </c>
      <c r="B2653">
        <v>2003</v>
      </c>
      <c r="C2653" t="s">
        <v>5702</v>
      </c>
      <c r="D2653" t="s">
        <v>14</v>
      </c>
      <c r="E2653" t="s">
        <v>5703</v>
      </c>
      <c r="F2653" t="s">
        <v>46</v>
      </c>
      <c r="G2653">
        <v>24.54</v>
      </c>
      <c r="H2653">
        <v>64</v>
      </c>
      <c r="I2653" t="s">
        <v>36</v>
      </c>
      <c r="J2653" t="s">
        <v>18</v>
      </c>
      <c r="K2653" t="s">
        <v>2563</v>
      </c>
      <c r="L2653">
        <v>308</v>
      </c>
      <c r="M2653" t="str">
        <f t="shared" si="82"/>
        <v>Medium</v>
      </c>
      <c r="N2653" t="str">
        <f t="shared" si="83"/>
        <v>Average</v>
      </c>
    </row>
    <row r="2654" spans="1:14">
      <c r="A2654" t="s">
        <v>65</v>
      </c>
      <c r="B2654">
        <v>2006</v>
      </c>
      <c r="C2654" t="s">
        <v>5704</v>
      </c>
      <c r="D2654" t="s">
        <v>14</v>
      </c>
      <c r="E2654" t="s">
        <v>5575</v>
      </c>
      <c r="F2654" t="s">
        <v>46</v>
      </c>
      <c r="G2654">
        <v>40.450000000000003</v>
      </c>
      <c r="H2654">
        <v>100</v>
      </c>
      <c r="I2654" t="s">
        <v>36</v>
      </c>
      <c r="J2654" t="s">
        <v>18</v>
      </c>
      <c r="K2654" t="s">
        <v>1172</v>
      </c>
      <c r="L2654">
        <v>118</v>
      </c>
      <c r="M2654" t="str">
        <f t="shared" si="82"/>
        <v>High</v>
      </c>
      <c r="N2654" t="str">
        <f t="shared" si="83"/>
        <v>Excellent</v>
      </c>
    </row>
    <row r="2655" spans="1:14">
      <c r="A2655" t="s">
        <v>48</v>
      </c>
      <c r="B2655">
        <v>2014</v>
      </c>
      <c r="C2655" t="s">
        <v>5705</v>
      </c>
      <c r="D2655" t="s">
        <v>33</v>
      </c>
      <c r="E2655" t="s">
        <v>5706</v>
      </c>
      <c r="F2655" t="s">
        <v>16</v>
      </c>
      <c r="G2655">
        <v>33.68</v>
      </c>
      <c r="H2655">
        <v>57</v>
      </c>
      <c r="I2655" t="s">
        <v>29</v>
      </c>
      <c r="J2655" t="s">
        <v>24</v>
      </c>
      <c r="K2655" t="s">
        <v>48</v>
      </c>
      <c r="L2655">
        <v>353</v>
      </c>
      <c r="M2655" t="str">
        <f t="shared" si="82"/>
        <v>Medium</v>
      </c>
      <c r="N2655" t="str">
        <f t="shared" si="83"/>
        <v>Average</v>
      </c>
    </row>
    <row r="2656" spans="1:14">
      <c r="A2656" t="s">
        <v>47</v>
      </c>
      <c r="B2656">
        <v>2024</v>
      </c>
      <c r="C2656" t="s">
        <v>5707</v>
      </c>
      <c r="D2656" t="s">
        <v>33</v>
      </c>
      <c r="E2656" t="s">
        <v>5708</v>
      </c>
      <c r="F2656" t="s">
        <v>46</v>
      </c>
      <c r="G2656">
        <v>40.04</v>
      </c>
      <c r="H2656">
        <v>97</v>
      </c>
      <c r="I2656" t="s">
        <v>36</v>
      </c>
      <c r="J2656" t="s">
        <v>24</v>
      </c>
      <c r="K2656" t="s">
        <v>942</v>
      </c>
      <c r="L2656">
        <v>225</v>
      </c>
      <c r="M2656" t="str">
        <f t="shared" si="82"/>
        <v>High</v>
      </c>
      <c r="N2656" t="str">
        <f t="shared" si="83"/>
        <v>Excellent</v>
      </c>
    </row>
    <row r="2657" spans="1:14">
      <c r="A2657" t="s">
        <v>31</v>
      </c>
      <c r="B2657">
        <v>2020</v>
      </c>
      <c r="C2657" t="s">
        <v>5709</v>
      </c>
      <c r="D2657" t="s">
        <v>33</v>
      </c>
      <c r="E2657" t="s">
        <v>5710</v>
      </c>
      <c r="F2657" t="s">
        <v>57</v>
      </c>
      <c r="G2657">
        <v>17.649999999999999</v>
      </c>
      <c r="H2657">
        <v>55</v>
      </c>
      <c r="I2657" t="s">
        <v>29</v>
      </c>
      <c r="J2657" t="s">
        <v>24</v>
      </c>
      <c r="K2657" t="s">
        <v>5711</v>
      </c>
      <c r="L2657">
        <v>215</v>
      </c>
      <c r="M2657" t="str">
        <f t="shared" si="82"/>
        <v>Medium</v>
      </c>
      <c r="N2657" t="str">
        <f t="shared" si="83"/>
        <v>Average</v>
      </c>
    </row>
    <row r="2658" spans="1:14">
      <c r="A2658" t="s">
        <v>12</v>
      </c>
      <c r="B2658">
        <v>2004</v>
      </c>
      <c r="C2658" t="s">
        <v>5712</v>
      </c>
      <c r="D2658" t="s">
        <v>33</v>
      </c>
      <c r="E2658" t="s">
        <v>5713</v>
      </c>
      <c r="F2658" t="s">
        <v>46</v>
      </c>
      <c r="G2658">
        <v>26.27</v>
      </c>
      <c r="H2658">
        <v>83</v>
      </c>
      <c r="I2658" t="s">
        <v>29</v>
      </c>
      <c r="J2658" t="s">
        <v>18</v>
      </c>
      <c r="K2658" t="s">
        <v>548</v>
      </c>
      <c r="L2658">
        <v>352</v>
      </c>
      <c r="M2658" t="str">
        <f t="shared" si="82"/>
        <v>Medium</v>
      </c>
      <c r="N2658" t="str">
        <f t="shared" si="83"/>
        <v>Good</v>
      </c>
    </row>
    <row r="2659" spans="1:14">
      <c r="A2659" t="s">
        <v>48</v>
      </c>
      <c r="B2659">
        <v>2024</v>
      </c>
      <c r="C2659" t="s">
        <v>5714</v>
      </c>
      <c r="D2659" t="s">
        <v>33</v>
      </c>
      <c r="E2659" t="s">
        <v>5715</v>
      </c>
      <c r="F2659" t="s">
        <v>42</v>
      </c>
      <c r="G2659">
        <v>49.43</v>
      </c>
      <c r="H2659">
        <v>65</v>
      </c>
      <c r="I2659" t="s">
        <v>29</v>
      </c>
      <c r="J2659" t="s">
        <v>37</v>
      </c>
      <c r="K2659" t="s">
        <v>47</v>
      </c>
      <c r="L2659">
        <v>243</v>
      </c>
      <c r="M2659" t="str">
        <f t="shared" si="82"/>
        <v>High</v>
      </c>
      <c r="N2659" t="str">
        <f t="shared" si="83"/>
        <v>Average</v>
      </c>
    </row>
    <row r="2660" spans="1:14">
      <c r="A2660" t="s">
        <v>68</v>
      </c>
      <c r="B2660">
        <v>2001</v>
      </c>
      <c r="C2660" t="s">
        <v>5716</v>
      </c>
      <c r="D2660" t="s">
        <v>33</v>
      </c>
      <c r="E2660" t="s">
        <v>5717</v>
      </c>
      <c r="F2660" t="s">
        <v>42</v>
      </c>
      <c r="G2660">
        <v>29.43</v>
      </c>
      <c r="H2660">
        <v>53</v>
      </c>
      <c r="I2660" t="s">
        <v>61</v>
      </c>
      <c r="J2660" t="s">
        <v>18</v>
      </c>
      <c r="K2660" t="s">
        <v>2496</v>
      </c>
      <c r="L2660">
        <v>163</v>
      </c>
      <c r="M2660" t="str">
        <f t="shared" si="82"/>
        <v>Medium</v>
      </c>
      <c r="N2660" t="str">
        <f t="shared" si="83"/>
        <v>Average</v>
      </c>
    </row>
    <row r="2661" spans="1:14">
      <c r="A2661" t="s">
        <v>26</v>
      </c>
      <c r="B2661">
        <v>2016</v>
      </c>
      <c r="C2661" t="s">
        <v>5718</v>
      </c>
      <c r="D2661" t="s">
        <v>33</v>
      </c>
      <c r="E2661" t="s">
        <v>5719</v>
      </c>
      <c r="F2661" t="s">
        <v>35</v>
      </c>
      <c r="G2661">
        <v>39.99</v>
      </c>
      <c r="H2661">
        <v>52</v>
      </c>
      <c r="I2661" t="s">
        <v>36</v>
      </c>
      <c r="J2661" t="s">
        <v>24</v>
      </c>
      <c r="K2661" t="s">
        <v>3340</v>
      </c>
      <c r="L2661">
        <v>19</v>
      </c>
      <c r="M2661" t="str">
        <f t="shared" si="82"/>
        <v>High</v>
      </c>
      <c r="N2661" t="str">
        <f t="shared" si="83"/>
        <v>Average</v>
      </c>
    </row>
    <row r="2662" spans="1:14">
      <c r="A2662" t="s">
        <v>39</v>
      </c>
      <c r="B2662">
        <v>2020</v>
      </c>
      <c r="C2662" t="s">
        <v>5720</v>
      </c>
      <c r="D2662" t="s">
        <v>14</v>
      </c>
      <c r="E2662" t="s">
        <v>5721</v>
      </c>
      <c r="F2662" t="s">
        <v>16</v>
      </c>
      <c r="G2662">
        <v>15.12</v>
      </c>
      <c r="H2662">
        <v>72</v>
      </c>
      <c r="I2662" t="s">
        <v>36</v>
      </c>
      <c r="J2662" t="s">
        <v>37</v>
      </c>
      <c r="K2662" t="s">
        <v>314</v>
      </c>
      <c r="L2662">
        <v>358</v>
      </c>
      <c r="M2662" t="str">
        <f t="shared" si="82"/>
        <v>Medium</v>
      </c>
      <c r="N2662" t="str">
        <f t="shared" si="83"/>
        <v>Average</v>
      </c>
    </row>
    <row r="2663" spans="1:14">
      <c r="A2663" t="s">
        <v>48</v>
      </c>
      <c r="B2663">
        <v>2018</v>
      </c>
      <c r="C2663" t="s">
        <v>5722</v>
      </c>
      <c r="D2663" t="s">
        <v>14</v>
      </c>
      <c r="E2663" t="s">
        <v>5723</v>
      </c>
      <c r="F2663" t="s">
        <v>46</v>
      </c>
      <c r="G2663">
        <v>29.4</v>
      </c>
      <c r="H2663">
        <v>92</v>
      </c>
      <c r="I2663" t="s">
        <v>36</v>
      </c>
      <c r="J2663" t="s">
        <v>24</v>
      </c>
      <c r="K2663" t="s">
        <v>220</v>
      </c>
      <c r="L2663">
        <v>96</v>
      </c>
      <c r="M2663" t="str">
        <f t="shared" si="82"/>
        <v>Medium</v>
      </c>
      <c r="N2663" t="str">
        <f t="shared" si="83"/>
        <v>Excellent</v>
      </c>
    </row>
    <row r="2664" spans="1:14">
      <c r="A2664" t="s">
        <v>31</v>
      </c>
      <c r="B2664">
        <v>2004</v>
      </c>
      <c r="C2664" t="s">
        <v>5724</v>
      </c>
      <c r="D2664" t="s">
        <v>33</v>
      </c>
      <c r="E2664" t="s">
        <v>5725</v>
      </c>
      <c r="F2664" t="s">
        <v>46</v>
      </c>
      <c r="G2664">
        <v>48.69</v>
      </c>
      <c r="H2664">
        <v>91</v>
      </c>
      <c r="I2664" t="s">
        <v>29</v>
      </c>
      <c r="J2664" t="s">
        <v>24</v>
      </c>
      <c r="K2664" t="s">
        <v>5726</v>
      </c>
      <c r="L2664">
        <v>254</v>
      </c>
      <c r="M2664" t="str">
        <f t="shared" si="82"/>
        <v>High</v>
      </c>
      <c r="N2664" t="str">
        <f t="shared" si="83"/>
        <v>Excellent</v>
      </c>
    </row>
    <row r="2665" spans="1:14">
      <c r="A2665" t="s">
        <v>20</v>
      </c>
      <c r="B2665">
        <v>2014</v>
      </c>
      <c r="C2665" t="s">
        <v>5727</v>
      </c>
      <c r="D2665" t="s">
        <v>14</v>
      </c>
      <c r="E2665" t="s">
        <v>153</v>
      </c>
      <c r="F2665" t="s">
        <v>16</v>
      </c>
      <c r="G2665">
        <v>34.24</v>
      </c>
      <c r="H2665">
        <v>55</v>
      </c>
      <c r="I2665" t="s">
        <v>23</v>
      </c>
      <c r="J2665" t="s">
        <v>24</v>
      </c>
      <c r="K2665" t="s">
        <v>420</v>
      </c>
      <c r="L2665">
        <v>312</v>
      </c>
      <c r="M2665" t="str">
        <f t="shared" si="82"/>
        <v>Medium</v>
      </c>
      <c r="N2665" t="str">
        <f t="shared" si="83"/>
        <v>Average</v>
      </c>
    </row>
    <row r="2666" spans="1:14">
      <c r="A2666" t="s">
        <v>38</v>
      </c>
      <c r="B2666">
        <v>2011</v>
      </c>
      <c r="C2666" t="s">
        <v>5728</v>
      </c>
      <c r="D2666" t="s">
        <v>33</v>
      </c>
      <c r="E2666" t="s">
        <v>5729</v>
      </c>
      <c r="F2666" t="s">
        <v>16</v>
      </c>
      <c r="G2666">
        <v>18.75</v>
      </c>
      <c r="H2666">
        <v>100</v>
      </c>
      <c r="I2666" t="s">
        <v>23</v>
      </c>
      <c r="J2666" t="s">
        <v>24</v>
      </c>
      <c r="K2666" t="s">
        <v>5730</v>
      </c>
      <c r="L2666">
        <v>55</v>
      </c>
      <c r="M2666" t="str">
        <f t="shared" si="82"/>
        <v>Medium</v>
      </c>
      <c r="N2666" t="str">
        <f t="shared" si="83"/>
        <v>Excellent</v>
      </c>
    </row>
    <row r="2667" spans="1:14">
      <c r="A2667" t="s">
        <v>31</v>
      </c>
      <c r="B2667">
        <v>2004</v>
      </c>
      <c r="C2667" t="s">
        <v>5731</v>
      </c>
      <c r="D2667" t="s">
        <v>33</v>
      </c>
      <c r="E2667" t="s">
        <v>848</v>
      </c>
      <c r="F2667" t="s">
        <v>35</v>
      </c>
      <c r="G2667">
        <v>48.12</v>
      </c>
      <c r="H2667">
        <v>65</v>
      </c>
      <c r="I2667" t="s">
        <v>17</v>
      </c>
      <c r="J2667" t="s">
        <v>18</v>
      </c>
      <c r="K2667" t="s">
        <v>2029</v>
      </c>
      <c r="L2667">
        <v>278</v>
      </c>
      <c r="M2667" t="str">
        <f t="shared" si="82"/>
        <v>High</v>
      </c>
      <c r="N2667" t="str">
        <f t="shared" si="83"/>
        <v>Average</v>
      </c>
    </row>
    <row r="2668" spans="1:14">
      <c r="A2668" t="s">
        <v>20</v>
      </c>
      <c r="B2668">
        <v>2011</v>
      </c>
      <c r="C2668" t="s">
        <v>5732</v>
      </c>
      <c r="D2668" t="s">
        <v>33</v>
      </c>
      <c r="E2668" t="s">
        <v>5733</v>
      </c>
      <c r="F2668" t="s">
        <v>35</v>
      </c>
      <c r="G2668">
        <v>43.42</v>
      </c>
      <c r="H2668">
        <v>71</v>
      </c>
      <c r="I2668" t="s">
        <v>36</v>
      </c>
      <c r="J2668" t="s">
        <v>37</v>
      </c>
      <c r="K2668" t="s">
        <v>39</v>
      </c>
      <c r="L2668">
        <v>244</v>
      </c>
      <c r="M2668" t="str">
        <f t="shared" si="82"/>
        <v>High</v>
      </c>
      <c r="N2668" t="str">
        <f t="shared" si="83"/>
        <v>Average</v>
      </c>
    </row>
    <row r="2669" spans="1:14">
      <c r="A2669" t="s">
        <v>31</v>
      </c>
      <c r="B2669">
        <v>2009</v>
      </c>
      <c r="C2669" t="s">
        <v>5734</v>
      </c>
      <c r="D2669" t="s">
        <v>14</v>
      </c>
      <c r="E2669" t="s">
        <v>5735</v>
      </c>
      <c r="F2669" t="s">
        <v>16</v>
      </c>
      <c r="G2669">
        <v>1.9</v>
      </c>
      <c r="H2669">
        <v>76</v>
      </c>
      <c r="I2669" t="s">
        <v>23</v>
      </c>
      <c r="J2669" t="s">
        <v>24</v>
      </c>
      <c r="K2669" t="s">
        <v>457</v>
      </c>
      <c r="L2669">
        <v>289</v>
      </c>
      <c r="M2669" t="str">
        <f t="shared" si="82"/>
        <v>Low</v>
      </c>
      <c r="N2669" t="str">
        <f t="shared" si="83"/>
        <v>Good</v>
      </c>
    </row>
    <row r="2670" spans="1:14">
      <c r="A2670" t="s">
        <v>48</v>
      </c>
      <c r="B2670">
        <v>2021</v>
      </c>
      <c r="C2670" t="s">
        <v>5736</v>
      </c>
      <c r="D2670" t="s">
        <v>33</v>
      </c>
      <c r="E2670" t="s">
        <v>5737</v>
      </c>
      <c r="F2670" t="s">
        <v>16</v>
      </c>
      <c r="G2670">
        <v>30.58</v>
      </c>
      <c r="H2670">
        <v>96</v>
      </c>
      <c r="I2670" t="s">
        <v>17</v>
      </c>
      <c r="J2670" t="s">
        <v>18</v>
      </c>
      <c r="K2670" t="s">
        <v>931</v>
      </c>
      <c r="L2670">
        <v>323</v>
      </c>
      <c r="M2670" t="str">
        <f t="shared" si="82"/>
        <v>Medium</v>
      </c>
      <c r="N2670" t="str">
        <f t="shared" si="83"/>
        <v>Excellent</v>
      </c>
    </row>
    <row r="2671" spans="1:14">
      <c r="A2671" t="s">
        <v>68</v>
      </c>
      <c r="B2671">
        <v>2016</v>
      </c>
      <c r="C2671" t="s">
        <v>5738</v>
      </c>
      <c r="D2671" t="s">
        <v>14</v>
      </c>
      <c r="E2671" t="s">
        <v>3985</v>
      </c>
      <c r="F2671" t="s">
        <v>46</v>
      </c>
      <c r="G2671">
        <v>39.090000000000003</v>
      </c>
      <c r="H2671">
        <v>59</v>
      </c>
      <c r="I2671" t="s">
        <v>17</v>
      </c>
      <c r="J2671" t="s">
        <v>18</v>
      </c>
      <c r="K2671" t="s">
        <v>31</v>
      </c>
      <c r="L2671">
        <v>110</v>
      </c>
      <c r="M2671" t="str">
        <f t="shared" si="82"/>
        <v>High</v>
      </c>
      <c r="N2671" t="str">
        <f t="shared" si="83"/>
        <v>Average</v>
      </c>
    </row>
    <row r="2672" spans="1:14">
      <c r="A2672" t="s">
        <v>39</v>
      </c>
      <c r="B2672">
        <v>2007</v>
      </c>
      <c r="C2672" t="s">
        <v>5739</v>
      </c>
      <c r="D2672" t="s">
        <v>33</v>
      </c>
      <c r="E2672" t="s">
        <v>5740</v>
      </c>
      <c r="F2672" t="s">
        <v>16</v>
      </c>
      <c r="G2672">
        <v>41.97</v>
      </c>
      <c r="H2672">
        <v>78</v>
      </c>
      <c r="I2672" t="s">
        <v>29</v>
      </c>
      <c r="J2672" t="s">
        <v>37</v>
      </c>
      <c r="K2672" t="s">
        <v>48</v>
      </c>
      <c r="L2672">
        <v>121</v>
      </c>
      <c r="M2672" t="str">
        <f t="shared" si="82"/>
        <v>High</v>
      </c>
      <c r="N2672" t="str">
        <f t="shared" si="83"/>
        <v>Good</v>
      </c>
    </row>
    <row r="2673" spans="1:14">
      <c r="A2673" t="s">
        <v>31</v>
      </c>
      <c r="B2673">
        <v>2021</v>
      </c>
      <c r="C2673" t="s">
        <v>5741</v>
      </c>
      <c r="D2673" t="s">
        <v>14</v>
      </c>
      <c r="E2673" t="s">
        <v>5742</v>
      </c>
      <c r="F2673" t="s">
        <v>57</v>
      </c>
      <c r="G2673">
        <v>42.23</v>
      </c>
      <c r="H2673">
        <v>92</v>
      </c>
      <c r="I2673" t="s">
        <v>29</v>
      </c>
      <c r="J2673" t="s">
        <v>37</v>
      </c>
      <c r="K2673" t="s">
        <v>2110</v>
      </c>
      <c r="L2673">
        <v>284</v>
      </c>
      <c r="M2673" t="str">
        <f t="shared" si="82"/>
        <v>High</v>
      </c>
      <c r="N2673" t="str">
        <f t="shared" si="83"/>
        <v>Excellent</v>
      </c>
    </row>
    <row r="2674" spans="1:14">
      <c r="A2674" t="s">
        <v>48</v>
      </c>
      <c r="B2674">
        <v>2017</v>
      </c>
      <c r="C2674" t="s">
        <v>5743</v>
      </c>
      <c r="D2674" t="s">
        <v>33</v>
      </c>
      <c r="E2674" t="s">
        <v>5744</v>
      </c>
      <c r="F2674" t="s">
        <v>42</v>
      </c>
      <c r="G2674">
        <v>16.059999999999999</v>
      </c>
      <c r="H2674">
        <v>63</v>
      </c>
      <c r="I2674" t="s">
        <v>29</v>
      </c>
      <c r="J2674" t="s">
        <v>18</v>
      </c>
      <c r="K2674" t="s">
        <v>1326</v>
      </c>
      <c r="L2674">
        <v>71</v>
      </c>
      <c r="M2674" t="str">
        <f t="shared" si="82"/>
        <v>Medium</v>
      </c>
      <c r="N2674" t="str">
        <f t="shared" si="83"/>
        <v>Average</v>
      </c>
    </row>
    <row r="2675" spans="1:14">
      <c r="A2675" t="s">
        <v>68</v>
      </c>
      <c r="B2675">
        <v>2006</v>
      </c>
      <c r="C2675" t="s">
        <v>5745</v>
      </c>
      <c r="D2675" t="s">
        <v>14</v>
      </c>
      <c r="E2675" t="s">
        <v>5746</v>
      </c>
      <c r="F2675" t="s">
        <v>16</v>
      </c>
      <c r="G2675">
        <v>25.02</v>
      </c>
      <c r="H2675">
        <v>79</v>
      </c>
      <c r="I2675" t="s">
        <v>29</v>
      </c>
      <c r="J2675" t="s">
        <v>37</v>
      </c>
      <c r="K2675" t="s">
        <v>47</v>
      </c>
      <c r="L2675">
        <v>276</v>
      </c>
      <c r="M2675" t="str">
        <f t="shared" si="82"/>
        <v>Medium</v>
      </c>
      <c r="N2675" t="str">
        <f t="shared" si="83"/>
        <v>Good</v>
      </c>
    </row>
    <row r="2676" spans="1:14">
      <c r="A2676" t="s">
        <v>20</v>
      </c>
      <c r="B2676">
        <v>2013</v>
      </c>
      <c r="C2676" t="s">
        <v>5747</v>
      </c>
      <c r="D2676" t="s">
        <v>14</v>
      </c>
      <c r="E2676" t="s">
        <v>5748</v>
      </c>
      <c r="F2676" t="s">
        <v>35</v>
      </c>
      <c r="G2676">
        <v>3.2</v>
      </c>
      <c r="H2676">
        <v>96</v>
      </c>
      <c r="I2676" t="s">
        <v>36</v>
      </c>
      <c r="J2676" t="s">
        <v>24</v>
      </c>
      <c r="K2676" t="s">
        <v>537</v>
      </c>
      <c r="L2676">
        <v>149</v>
      </c>
      <c r="M2676" t="str">
        <f t="shared" si="82"/>
        <v>Low</v>
      </c>
      <c r="N2676" t="str">
        <f t="shared" si="83"/>
        <v>Excellent</v>
      </c>
    </row>
    <row r="2677" spans="1:14">
      <c r="A2677" t="s">
        <v>47</v>
      </c>
      <c r="B2677">
        <v>2016</v>
      </c>
      <c r="C2677" t="s">
        <v>5749</v>
      </c>
      <c r="D2677" t="s">
        <v>14</v>
      </c>
      <c r="E2677" t="s">
        <v>4312</v>
      </c>
      <c r="F2677" t="s">
        <v>57</v>
      </c>
      <c r="G2677">
        <v>39.590000000000003</v>
      </c>
      <c r="H2677">
        <v>76</v>
      </c>
      <c r="I2677" t="s">
        <v>61</v>
      </c>
      <c r="J2677" t="s">
        <v>18</v>
      </c>
      <c r="K2677" t="s">
        <v>31</v>
      </c>
      <c r="L2677">
        <v>57</v>
      </c>
      <c r="M2677" t="str">
        <f t="shared" si="82"/>
        <v>High</v>
      </c>
      <c r="N2677" t="str">
        <f t="shared" si="83"/>
        <v>Good</v>
      </c>
    </row>
    <row r="2678" spans="1:14">
      <c r="A2678" t="s">
        <v>65</v>
      </c>
      <c r="B2678">
        <v>2018</v>
      </c>
      <c r="C2678" t="s">
        <v>5750</v>
      </c>
      <c r="D2678" t="s">
        <v>14</v>
      </c>
      <c r="E2678" t="s">
        <v>5751</v>
      </c>
      <c r="F2678" t="s">
        <v>16</v>
      </c>
      <c r="G2678">
        <v>22.63</v>
      </c>
      <c r="H2678">
        <v>79</v>
      </c>
      <c r="I2678" t="s">
        <v>17</v>
      </c>
      <c r="J2678" t="s">
        <v>24</v>
      </c>
      <c r="K2678" t="s">
        <v>39</v>
      </c>
      <c r="L2678">
        <v>13</v>
      </c>
      <c r="M2678" t="str">
        <f t="shared" si="82"/>
        <v>Medium</v>
      </c>
      <c r="N2678" t="str">
        <f t="shared" si="83"/>
        <v>Good</v>
      </c>
    </row>
    <row r="2679" spans="1:14">
      <c r="A2679" t="s">
        <v>31</v>
      </c>
      <c r="B2679">
        <v>2015</v>
      </c>
      <c r="C2679" t="s">
        <v>5752</v>
      </c>
      <c r="D2679" t="s">
        <v>14</v>
      </c>
      <c r="E2679" t="s">
        <v>5753</v>
      </c>
      <c r="F2679" t="s">
        <v>46</v>
      </c>
      <c r="G2679">
        <v>41.3</v>
      </c>
      <c r="H2679">
        <v>57</v>
      </c>
      <c r="I2679" t="s">
        <v>29</v>
      </c>
      <c r="J2679" t="s">
        <v>37</v>
      </c>
      <c r="K2679" t="s">
        <v>26</v>
      </c>
      <c r="L2679">
        <v>239</v>
      </c>
      <c r="M2679" t="str">
        <f t="shared" si="82"/>
        <v>High</v>
      </c>
      <c r="N2679" t="str">
        <f t="shared" si="83"/>
        <v>Average</v>
      </c>
    </row>
    <row r="2680" spans="1:14">
      <c r="A2680" t="s">
        <v>20</v>
      </c>
      <c r="B2680">
        <v>2019</v>
      </c>
      <c r="C2680" t="s">
        <v>5754</v>
      </c>
      <c r="D2680" t="s">
        <v>14</v>
      </c>
      <c r="E2680" t="s">
        <v>5755</v>
      </c>
      <c r="F2680" t="s">
        <v>57</v>
      </c>
      <c r="G2680">
        <v>23.15</v>
      </c>
      <c r="H2680">
        <v>60</v>
      </c>
      <c r="I2680" t="s">
        <v>36</v>
      </c>
      <c r="J2680" t="s">
        <v>18</v>
      </c>
      <c r="K2680" t="s">
        <v>5756</v>
      </c>
      <c r="L2680">
        <v>201</v>
      </c>
      <c r="M2680" t="str">
        <f t="shared" si="82"/>
        <v>Medium</v>
      </c>
      <c r="N2680" t="str">
        <f t="shared" si="83"/>
        <v>Average</v>
      </c>
    </row>
    <row r="2681" spans="1:14">
      <c r="A2681" t="s">
        <v>31</v>
      </c>
      <c r="B2681">
        <v>2013</v>
      </c>
      <c r="C2681" t="s">
        <v>5757</v>
      </c>
      <c r="D2681" t="s">
        <v>14</v>
      </c>
      <c r="E2681" t="s">
        <v>2435</v>
      </c>
      <c r="F2681" t="s">
        <v>57</v>
      </c>
      <c r="G2681">
        <v>32.299999999999997</v>
      </c>
      <c r="H2681">
        <v>78</v>
      </c>
      <c r="I2681" t="s">
        <v>36</v>
      </c>
      <c r="J2681" t="s">
        <v>18</v>
      </c>
      <c r="K2681" t="s">
        <v>687</v>
      </c>
      <c r="L2681">
        <v>305</v>
      </c>
      <c r="M2681" t="str">
        <f t="shared" si="82"/>
        <v>Medium</v>
      </c>
      <c r="N2681" t="str">
        <f t="shared" si="83"/>
        <v>Good</v>
      </c>
    </row>
    <row r="2682" spans="1:14">
      <c r="A2682" t="s">
        <v>38</v>
      </c>
      <c r="B2682">
        <v>2008</v>
      </c>
      <c r="C2682" t="s">
        <v>5758</v>
      </c>
      <c r="D2682" t="s">
        <v>33</v>
      </c>
      <c r="E2682" t="s">
        <v>5759</v>
      </c>
      <c r="F2682" t="s">
        <v>46</v>
      </c>
      <c r="G2682">
        <v>35.92</v>
      </c>
      <c r="H2682">
        <v>75</v>
      </c>
      <c r="I2682" t="s">
        <v>61</v>
      </c>
      <c r="J2682" t="s">
        <v>24</v>
      </c>
      <c r="K2682" t="s">
        <v>81</v>
      </c>
      <c r="L2682">
        <v>327</v>
      </c>
      <c r="M2682" t="str">
        <f t="shared" si="82"/>
        <v>High</v>
      </c>
      <c r="N2682" t="str">
        <f t="shared" si="83"/>
        <v>Good</v>
      </c>
    </row>
    <row r="2683" spans="1:14">
      <c r="A2683" t="s">
        <v>47</v>
      </c>
      <c r="B2683">
        <v>2019</v>
      </c>
      <c r="C2683" t="s">
        <v>5760</v>
      </c>
      <c r="D2683" t="s">
        <v>14</v>
      </c>
      <c r="E2683" t="s">
        <v>5761</v>
      </c>
      <c r="F2683" t="s">
        <v>46</v>
      </c>
      <c r="G2683">
        <v>11.72</v>
      </c>
      <c r="H2683">
        <v>98</v>
      </c>
      <c r="I2683" t="s">
        <v>36</v>
      </c>
      <c r="J2683" t="s">
        <v>37</v>
      </c>
      <c r="K2683" t="s">
        <v>254</v>
      </c>
      <c r="L2683">
        <v>110</v>
      </c>
      <c r="M2683" t="str">
        <f t="shared" si="82"/>
        <v>Low</v>
      </c>
      <c r="N2683" t="str">
        <f t="shared" si="83"/>
        <v>Excellent</v>
      </c>
    </row>
    <row r="2684" spans="1:14">
      <c r="A2684" t="s">
        <v>39</v>
      </c>
      <c r="B2684">
        <v>2001</v>
      </c>
      <c r="C2684" t="s">
        <v>5762</v>
      </c>
      <c r="D2684" t="s">
        <v>33</v>
      </c>
      <c r="E2684" t="s">
        <v>5763</v>
      </c>
      <c r="F2684" t="s">
        <v>46</v>
      </c>
      <c r="G2684">
        <v>14.12</v>
      </c>
      <c r="H2684">
        <v>67</v>
      </c>
      <c r="I2684" t="s">
        <v>36</v>
      </c>
      <c r="J2684" t="s">
        <v>37</v>
      </c>
      <c r="K2684" t="s">
        <v>47</v>
      </c>
      <c r="L2684">
        <v>42</v>
      </c>
      <c r="M2684" t="str">
        <f t="shared" si="82"/>
        <v>Low</v>
      </c>
      <c r="N2684" t="str">
        <f t="shared" si="83"/>
        <v>Average</v>
      </c>
    </row>
    <row r="2685" spans="1:14">
      <c r="A2685" t="s">
        <v>38</v>
      </c>
      <c r="B2685">
        <v>2011</v>
      </c>
      <c r="C2685" t="s">
        <v>5764</v>
      </c>
      <c r="D2685" t="s">
        <v>33</v>
      </c>
      <c r="E2685" t="s">
        <v>5765</v>
      </c>
      <c r="F2685" t="s">
        <v>16</v>
      </c>
      <c r="G2685">
        <v>23.75</v>
      </c>
      <c r="H2685">
        <v>75</v>
      </c>
      <c r="I2685" t="s">
        <v>23</v>
      </c>
      <c r="J2685" t="s">
        <v>24</v>
      </c>
      <c r="K2685" t="s">
        <v>430</v>
      </c>
      <c r="L2685">
        <v>53</v>
      </c>
      <c r="M2685" t="str">
        <f t="shared" si="82"/>
        <v>Medium</v>
      </c>
      <c r="N2685" t="str">
        <f t="shared" si="83"/>
        <v>Good</v>
      </c>
    </row>
    <row r="2686" spans="1:14">
      <c r="A2686" t="s">
        <v>38</v>
      </c>
      <c r="B2686">
        <v>2025</v>
      </c>
      <c r="C2686" t="s">
        <v>5766</v>
      </c>
      <c r="D2686" t="s">
        <v>33</v>
      </c>
      <c r="E2686" t="s">
        <v>5767</v>
      </c>
      <c r="F2686" t="s">
        <v>57</v>
      </c>
      <c r="G2686">
        <v>46.91</v>
      </c>
      <c r="H2686">
        <v>81</v>
      </c>
      <c r="I2686" t="s">
        <v>23</v>
      </c>
      <c r="J2686" t="s">
        <v>18</v>
      </c>
      <c r="K2686" t="s">
        <v>5768</v>
      </c>
      <c r="L2686">
        <v>174</v>
      </c>
      <c r="M2686" t="str">
        <f t="shared" si="82"/>
        <v>High</v>
      </c>
      <c r="N2686" t="str">
        <f t="shared" si="83"/>
        <v>Good</v>
      </c>
    </row>
    <row r="2687" spans="1:14">
      <c r="A2687" t="s">
        <v>31</v>
      </c>
      <c r="B2687">
        <v>2010</v>
      </c>
      <c r="C2687" t="s">
        <v>5769</v>
      </c>
      <c r="D2687" t="s">
        <v>14</v>
      </c>
      <c r="E2687" t="s">
        <v>5770</v>
      </c>
      <c r="F2687" t="s">
        <v>46</v>
      </c>
      <c r="G2687">
        <v>47.3</v>
      </c>
      <c r="H2687">
        <v>100</v>
      </c>
      <c r="I2687" t="s">
        <v>23</v>
      </c>
      <c r="J2687" t="s">
        <v>18</v>
      </c>
      <c r="K2687" t="s">
        <v>5149</v>
      </c>
      <c r="L2687">
        <v>76</v>
      </c>
      <c r="M2687" t="str">
        <f t="shared" si="82"/>
        <v>High</v>
      </c>
      <c r="N2687" t="str">
        <f t="shared" si="83"/>
        <v>Excellent</v>
      </c>
    </row>
    <row r="2688" spans="1:14">
      <c r="A2688" t="s">
        <v>39</v>
      </c>
      <c r="B2688">
        <v>2022</v>
      </c>
      <c r="C2688" t="s">
        <v>5771</v>
      </c>
      <c r="D2688" t="s">
        <v>33</v>
      </c>
      <c r="E2688" t="s">
        <v>5772</v>
      </c>
      <c r="F2688" t="s">
        <v>57</v>
      </c>
      <c r="G2688">
        <v>20.56</v>
      </c>
      <c r="H2688">
        <v>66</v>
      </c>
      <c r="I2688" t="s">
        <v>36</v>
      </c>
      <c r="J2688" t="s">
        <v>24</v>
      </c>
      <c r="K2688" t="s">
        <v>12</v>
      </c>
      <c r="L2688">
        <v>307</v>
      </c>
      <c r="M2688" t="str">
        <f t="shared" si="82"/>
        <v>Medium</v>
      </c>
      <c r="N2688" t="str">
        <f t="shared" si="83"/>
        <v>Average</v>
      </c>
    </row>
    <row r="2689" spans="1:14">
      <c r="A2689" t="s">
        <v>38</v>
      </c>
      <c r="B2689">
        <v>2009</v>
      </c>
      <c r="C2689" t="s">
        <v>5773</v>
      </c>
      <c r="D2689" t="s">
        <v>14</v>
      </c>
      <c r="E2689" t="s">
        <v>5774</v>
      </c>
      <c r="F2689" t="s">
        <v>42</v>
      </c>
      <c r="G2689">
        <v>29.12</v>
      </c>
      <c r="H2689">
        <v>84</v>
      </c>
      <c r="I2689" t="s">
        <v>29</v>
      </c>
      <c r="J2689" t="s">
        <v>24</v>
      </c>
      <c r="K2689" t="s">
        <v>1976</v>
      </c>
      <c r="L2689">
        <v>281</v>
      </c>
      <c r="M2689" t="str">
        <f t="shared" si="82"/>
        <v>Medium</v>
      </c>
      <c r="N2689" t="str">
        <f t="shared" si="83"/>
        <v>Good</v>
      </c>
    </row>
    <row r="2690" spans="1:14">
      <c r="A2690" t="s">
        <v>47</v>
      </c>
      <c r="B2690">
        <v>2009</v>
      </c>
      <c r="C2690" t="s">
        <v>5775</v>
      </c>
      <c r="D2690" t="s">
        <v>14</v>
      </c>
      <c r="E2690" t="s">
        <v>2724</v>
      </c>
      <c r="F2690" t="s">
        <v>16</v>
      </c>
      <c r="G2690">
        <v>9.0299999999999994</v>
      </c>
      <c r="H2690">
        <v>89</v>
      </c>
      <c r="I2690" t="s">
        <v>17</v>
      </c>
      <c r="J2690" t="s">
        <v>18</v>
      </c>
      <c r="K2690" t="s">
        <v>371</v>
      </c>
      <c r="L2690">
        <v>144</v>
      </c>
      <c r="M2690" t="str">
        <f t="shared" si="82"/>
        <v>Low</v>
      </c>
      <c r="N2690" t="str">
        <f t="shared" si="83"/>
        <v>Good</v>
      </c>
    </row>
    <row r="2691" spans="1:14">
      <c r="A2691" t="s">
        <v>38</v>
      </c>
      <c r="B2691">
        <v>2002</v>
      </c>
      <c r="C2691" t="s">
        <v>5776</v>
      </c>
      <c r="D2691" t="s">
        <v>14</v>
      </c>
      <c r="E2691" t="s">
        <v>5777</v>
      </c>
      <c r="F2691" t="s">
        <v>57</v>
      </c>
      <c r="G2691">
        <v>22.11</v>
      </c>
      <c r="H2691">
        <v>83</v>
      </c>
      <c r="I2691" t="s">
        <v>61</v>
      </c>
      <c r="J2691" t="s">
        <v>24</v>
      </c>
      <c r="K2691" t="s">
        <v>5778</v>
      </c>
      <c r="L2691">
        <v>207</v>
      </c>
      <c r="M2691" t="str">
        <f t="shared" ref="M2691:M2754" si="84">IF(G2691&lt;15,"Low",IF(G2691&lt;35,"Medium","High"))</f>
        <v>Medium</v>
      </c>
      <c r="N2691" t="str">
        <f t="shared" ref="N2691:N2754" si="85">IF(H2691&gt;=90,"Excellent",IF(H2691&gt;=75,"Good","Average"))</f>
        <v>Good</v>
      </c>
    </row>
    <row r="2692" spans="1:14">
      <c r="A2692" t="s">
        <v>48</v>
      </c>
      <c r="B2692">
        <v>2014</v>
      </c>
      <c r="C2692" t="s">
        <v>5779</v>
      </c>
      <c r="D2692" t="s">
        <v>33</v>
      </c>
      <c r="E2692" t="s">
        <v>456</v>
      </c>
      <c r="F2692" t="s">
        <v>16</v>
      </c>
      <c r="G2692">
        <v>1.97</v>
      </c>
      <c r="H2692">
        <v>84</v>
      </c>
      <c r="I2692" t="s">
        <v>17</v>
      </c>
      <c r="J2692" t="s">
        <v>18</v>
      </c>
      <c r="K2692" t="s">
        <v>254</v>
      </c>
      <c r="L2692">
        <v>140</v>
      </c>
      <c r="M2692" t="str">
        <f t="shared" si="84"/>
        <v>Low</v>
      </c>
      <c r="N2692" t="str">
        <f t="shared" si="85"/>
        <v>Good</v>
      </c>
    </row>
    <row r="2693" spans="1:14">
      <c r="A2693" t="s">
        <v>47</v>
      </c>
      <c r="B2693">
        <v>2009</v>
      </c>
      <c r="C2693" t="s">
        <v>5780</v>
      </c>
      <c r="D2693" t="s">
        <v>14</v>
      </c>
      <c r="E2693" t="s">
        <v>5781</v>
      </c>
      <c r="F2693" t="s">
        <v>46</v>
      </c>
      <c r="G2693">
        <v>47.89</v>
      </c>
      <c r="H2693">
        <v>62</v>
      </c>
      <c r="I2693" t="s">
        <v>29</v>
      </c>
      <c r="J2693" t="s">
        <v>24</v>
      </c>
      <c r="K2693" t="s">
        <v>698</v>
      </c>
      <c r="L2693">
        <v>111</v>
      </c>
      <c r="M2693" t="str">
        <f t="shared" si="84"/>
        <v>High</v>
      </c>
      <c r="N2693" t="str">
        <f t="shared" si="85"/>
        <v>Average</v>
      </c>
    </row>
    <row r="2694" spans="1:14">
      <c r="A2694" t="s">
        <v>48</v>
      </c>
      <c r="B2694">
        <v>2001</v>
      </c>
      <c r="C2694" t="s">
        <v>5782</v>
      </c>
      <c r="D2694" t="s">
        <v>33</v>
      </c>
      <c r="E2694" t="s">
        <v>5783</v>
      </c>
      <c r="F2694" t="s">
        <v>46</v>
      </c>
      <c r="G2694">
        <v>7.41</v>
      </c>
      <c r="H2694">
        <v>87</v>
      </c>
      <c r="I2694" t="s">
        <v>17</v>
      </c>
      <c r="J2694" t="s">
        <v>24</v>
      </c>
      <c r="K2694" t="s">
        <v>39</v>
      </c>
      <c r="L2694">
        <v>251</v>
      </c>
      <c r="M2694" t="str">
        <f t="shared" si="84"/>
        <v>Low</v>
      </c>
      <c r="N2694" t="str">
        <f t="shared" si="85"/>
        <v>Good</v>
      </c>
    </row>
    <row r="2695" spans="1:14">
      <c r="A2695" t="s">
        <v>12</v>
      </c>
      <c r="B2695">
        <v>2001</v>
      </c>
      <c r="C2695" t="s">
        <v>5784</v>
      </c>
      <c r="D2695" t="s">
        <v>33</v>
      </c>
      <c r="E2695" t="s">
        <v>5227</v>
      </c>
      <c r="F2695" t="s">
        <v>57</v>
      </c>
      <c r="G2695">
        <v>36.659999999999997</v>
      </c>
      <c r="H2695">
        <v>50</v>
      </c>
      <c r="I2695" t="s">
        <v>61</v>
      </c>
      <c r="J2695" t="s">
        <v>18</v>
      </c>
      <c r="K2695" t="s">
        <v>47</v>
      </c>
      <c r="L2695">
        <v>288</v>
      </c>
      <c r="M2695" t="str">
        <f t="shared" si="84"/>
        <v>High</v>
      </c>
      <c r="N2695" t="str">
        <f t="shared" si="85"/>
        <v>Average</v>
      </c>
    </row>
    <row r="2696" spans="1:14">
      <c r="A2696" t="s">
        <v>26</v>
      </c>
      <c r="B2696">
        <v>2013</v>
      </c>
      <c r="C2696" t="s">
        <v>5785</v>
      </c>
      <c r="D2696" t="s">
        <v>33</v>
      </c>
      <c r="E2696" t="s">
        <v>5786</v>
      </c>
      <c r="F2696" t="s">
        <v>35</v>
      </c>
      <c r="G2696">
        <v>42.2</v>
      </c>
      <c r="H2696">
        <v>50</v>
      </c>
      <c r="I2696" t="s">
        <v>29</v>
      </c>
      <c r="J2696" t="s">
        <v>18</v>
      </c>
      <c r="K2696" t="s">
        <v>38</v>
      </c>
      <c r="L2696">
        <v>222</v>
      </c>
      <c r="M2696" t="str">
        <f t="shared" si="84"/>
        <v>High</v>
      </c>
      <c r="N2696" t="str">
        <f t="shared" si="85"/>
        <v>Average</v>
      </c>
    </row>
    <row r="2697" spans="1:14">
      <c r="A2697" t="s">
        <v>12</v>
      </c>
      <c r="B2697">
        <v>2008</v>
      </c>
      <c r="C2697" t="s">
        <v>5787</v>
      </c>
      <c r="D2697" t="s">
        <v>33</v>
      </c>
      <c r="E2697" t="s">
        <v>5788</v>
      </c>
      <c r="F2697" t="s">
        <v>35</v>
      </c>
      <c r="G2697">
        <v>46.86</v>
      </c>
      <c r="H2697">
        <v>70</v>
      </c>
      <c r="I2697" t="s">
        <v>61</v>
      </c>
      <c r="J2697" t="s">
        <v>18</v>
      </c>
      <c r="K2697" t="s">
        <v>47</v>
      </c>
      <c r="L2697">
        <v>31</v>
      </c>
      <c r="M2697" t="str">
        <f t="shared" si="84"/>
        <v>High</v>
      </c>
      <c r="N2697" t="str">
        <f t="shared" si="85"/>
        <v>Average</v>
      </c>
    </row>
    <row r="2698" spans="1:14">
      <c r="A2698" t="s">
        <v>38</v>
      </c>
      <c r="B2698">
        <v>2018</v>
      </c>
      <c r="C2698" t="s">
        <v>5789</v>
      </c>
      <c r="D2698" t="s">
        <v>33</v>
      </c>
      <c r="E2698" t="s">
        <v>5790</v>
      </c>
      <c r="F2698" t="s">
        <v>57</v>
      </c>
      <c r="G2698">
        <v>19.510000000000002</v>
      </c>
      <c r="H2698">
        <v>53</v>
      </c>
      <c r="I2698" t="s">
        <v>17</v>
      </c>
      <c r="J2698" t="s">
        <v>18</v>
      </c>
      <c r="K2698" t="s">
        <v>4615</v>
      </c>
      <c r="L2698">
        <v>6</v>
      </c>
      <c r="M2698" t="str">
        <f t="shared" si="84"/>
        <v>Medium</v>
      </c>
      <c r="N2698" t="str">
        <f t="shared" si="85"/>
        <v>Average</v>
      </c>
    </row>
    <row r="2699" spans="1:14">
      <c r="A2699" t="s">
        <v>20</v>
      </c>
      <c r="B2699">
        <v>2024</v>
      </c>
      <c r="C2699" t="s">
        <v>5791</v>
      </c>
      <c r="D2699" t="s">
        <v>33</v>
      </c>
      <c r="E2699" t="s">
        <v>5770</v>
      </c>
      <c r="F2699" t="s">
        <v>42</v>
      </c>
      <c r="G2699">
        <v>32.56</v>
      </c>
      <c r="H2699">
        <v>87</v>
      </c>
      <c r="I2699" t="s">
        <v>61</v>
      </c>
      <c r="J2699" t="s">
        <v>37</v>
      </c>
      <c r="K2699" t="s">
        <v>2650</v>
      </c>
      <c r="L2699">
        <v>14</v>
      </c>
      <c r="M2699" t="str">
        <f t="shared" si="84"/>
        <v>Medium</v>
      </c>
      <c r="N2699" t="str">
        <f t="shared" si="85"/>
        <v>Good</v>
      </c>
    </row>
    <row r="2700" spans="1:14">
      <c r="A2700" t="s">
        <v>31</v>
      </c>
      <c r="B2700">
        <v>2007</v>
      </c>
      <c r="C2700" t="s">
        <v>5792</v>
      </c>
      <c r="D2700" t="s">
        <v>14</v>
      </c>
      <c r="E2700" t="s">
        <v>5793</v>
      </c>
      <c r="F2700" t="s">
        <v>42</v>
      </c>
      <c r="G2700">
        <v>27.39</v>
      </c>
      <c r="H2700">
        <v>67</v>
      </c>
      <c r="I2700" t="s">
        <v>29</v>
      </c>
      <c r="J2700" t="s">
        <v>18</v>
      </c>
      <c r="K2700" t="s">
        <v>26</v>
      </c>
      <c r="L2700">
        <v>61</v>
      </c>
      <c r="M2700" t="str">
        <f t="shared" si="84"/>
        <v>Medium</v>
      </c>
      <c r="N2700" t="str">
        <f t="shared" si="85"/>
        <v>Average</v>
      </c>
    </row>
    <row r="2701" spans="1:14">
      <c r="A2701" t="s">
        <v>65</v>
      </c>
      <c r="B2701">
        <v>2021</v>
      </c>
      <c r="C2701" t="s">
        <v>5794</v>
      </c>
      <c r="D2701" t="s">
        <v>33</v>
      </c>
      <c r="E2701" t="s">
        <v>523</v>
      </c>
      <c r="F2701" t="s">
        <v>57</v>
      </c>
      <c r="G2701">
        <v>14.48</v>
      </c>
      <c r="H2701">
        <v>99</v>
      </c>
      <c r="I2701" t="s">
        <v>61</v>
      </c>
      <c r="J2701" t="s">
        <v>24</v>
      </c>
      <c r="K2701" t="s">
        <v>931</v>
      </c>
      <c r="L2701">
        <v>123</v>
      </c>
      <c r="M2701" t="str">
        <f t="shared" si="84"/>
        <v>Low</v>
      </c>
      <c r="N2701" t="str">
        <f t="shared" si="85"/>
        <v>Excellent</v>
      </c>
    </row>
    <row r="2702" spans="1:14">
      <c r="A2702" t="s">
        <v>31</v>
      </c>
      <c r="B2702">
        <v>2022</v>
      </c>
      <c r="C2702" t="s">
        <v>5795</v>
      </c>
      <c r="D2702" t="s">
        <v>33</v>
      </c>
      <c r="E2702" t="s">
        <v>5796</v>
      </c>
      <c r="F2702" t="s">
        <v>42</v>
      </c>
      <c r="G2702">
        <v>34.020000000000003</v>
      </c>
      <c r="H2702">
        <v>53</v>
      </c>
      <c r="I2702" t="s">
        <v>29</v>
      </c>
      <c r="J2702" t="s">
        <v>24</v>
      </c>
      <c r="K2702" t="s">
        <v>2554</v>
      </c>
      <c r="L2702">
        <v>75</v>
      </c>
      <c r="M2702" t="str">
        <f t="shared" si="84"/>
        <v>Medium</v>
      </c>
      <c r="N2702" t="str">
        <f t="shared" si="85"/>
        <v>Average</v>
      </c>
    </row>
    <row r="2703" spans="1:14">
      <c r="A2703" t="s">
        <v>39</v>
      </c>
      <c r="B2703">
        <v>2005</v>
      </c>
      <c r="C2703" t="s">
        <v>5797</v>
      </c>
      <c r="D2703" t="s">
        <v>33</v>
      </c>
      <c r="E2703" t="s">
        <v>5798</v>
      </c>
      <c r="F2703" t="s">
        <v>46</v>
      </c>
      <c r="G2703">
        <v>48.07</v>
      </c>
      <c r="H2703">
        <v>64</v>
      </c>
      <c r="I2703" t="s">
        <v>17</v>
      </c>
      <c r="J2703" t="s">
        <v>18</v>
      </c>
      <c r="K2703" t="s">
        <v>31</v>
      </c>
      <c r="L2703">
        <v>228</v>
      </c>
      <c r="M2703" t="str">
        <f t="shared" si="84"/>
        <v>High</v>
      </c>
      <c r="N2703" t="str">
        <f t="shared" si="85"/>
        <v>Average</v>
      </c>
    </row>
    <row r="2704" spans="1:14">
      <c r="A2704" t="s">
        <v>31</v>
      </c>
      <c r="B2704">
        <v>2013</v>
      </c>
      <c r="C2704" t="s">
        <v>5799</v>
      </c>
      <c r="D2704" t="s">
        <v>33</v>
      </c>
      <c r="E2704" t="s">
        <v>5800</v>
      </c>
      <c r="F2704" t="s">
        <v>42</v>
      </c>
      <c r="G2704">
        <v>31.38</v>
      </c>
      <c r="H2704">
        <v>77</v>
      </c>
      <c r="I2704" t="s">
        <v>17</v>
      </c>
      <c r="J2704" t="s">
        <v>18</v>
      </c>
      <c r="K2704" t="s">
        <v>996</v>
      </c>
      <c r="L2704">
        <v>84</v>
      </c>
      <c r="M2704" t="str">
        <f t="shared" si="84"/>
        <v>Medium</v>
      </c>
      <c r="N2704" t="str">
        <f t="shared" si="85"/>
        <v>Good</v>
      </c>
    </row>
    <row r="2705" spans="1:14">
      <c r="A2705" t="s">
        <v>20</v>
      </c>
      <c r="B2705">
        <v>2001</v>
      </c>
      <c r="C2705" t="s">
        <v>5801</v>
      </c>
      <c r="D2705" t="s">
        <v>14</v>
      </c>
      <c r="E2705" t="s">
        <v>5802</v>
      </c>
      <c r="F2705" t="s">
        <v>46</v>
      </c>
      <c r="G2705">
        <v>30.36</v>
      </c>
      <c r="H2705">
        <v>91</v>
      </c>
      <c r="I2705" t="s">
        <v>61</v>
      </c>
      <c r="J2705" t="s">
        <v>24</v>
      </c>
      <c r="K2705" t="s">
        <v>1283</v>
      </c>
      <c r="L2705">
        <v>58</v>
      </c>
      <c r="M2705" t="str">
        <f t="shared" si="84"/>
        <v>Medium</v>
      </c>
      <c r="N2705" t="str">
        <f t="shared" si="85"/>
        <v>Excellent</v>
      </c>
    </row>
    <row r="2706" spans="1:14">
      <c r="A2706" t="s">
        <v>20</v>
      </c>
      <c r="B2706">
        <v>2013</v>
      </c>
      <c r="C2706" t="s">
        <v>5803</v>
      </c>
      <c r="D2706" t="s">
        <v>33</v>
      </c>
      <c r="E2706" t="s">
        <v>5804</v>
      </c>
      <c r="F2706" t="s">
        <v>46</v>
      </c>
      <c r="G2706">
        <v>31.64</v>
      </c>
      <c r="H2706">
        <v>51</v>
      </c>
      <c r="I2706" t="s">
        <v>36</v>
      </c>
      <c r="J2706" t="s">
        <v>24</v>
      </c>
      <c r="K2706" t="s">
        <v>3690</v>
      </c>
      <c r="L2706">
        <v>248</v>
      </c>
      <c r="M2706" t="str">
        <f t="shared" si="84"/>
        <v>Medium</v>
      </c>
      <c r="N2706" t="str">
        <f t="shared" si="85"/>
        <v>Average</v>
      </c>
    </row>
    <row r="2707" spans="1:14">
      <c r="A2707" t="s">
        <v>39</v>
      </c>
      <c r="B2707">
        <v>2008</v>
      </c>
      <c r="C2707" t="s">
        <v>5805</v>
      </c>
      <c r="D2707" t="s">
        <v>33</v>
      </c>
      <c r="E2707" t="s">
        <v>4220</v>
      </c>
      <c r="F2707" t="s">
        <v>16</v>
      </c>
      <c r="G2707">
        <v>26.36</v>
      </c>
      <c r="H2707">
        <v>83</v>
      </c>
      <c r="I2707" t="s">
        <v>23</v>
      </c>
      <c r="J2707" t="s">
        <v>18</v>
      </c>
      <c r="K2707" t="s">
        <v>1019</v>
      </c>
      <c r="L2707">
        <v>187</v>
      </c>
      <c r="M2707" t="str">
        <f t="shared" si="84"/>
        <v>Medium</v>
      </c>
      <c r="N2707" t="str">
        <f t="shared" si="85"/>
        <v>Good</v>
      </c>
    </row>
    <row r="2708" spans="1:14">
      <c r="A2708" t="s">
        <v>12</v>
      </c>
      <c r="B2708">
        <v>2011</v>
      </c>
      <c r="C2708" t="s">
        <v>5806</v>
      </c>
      <c r="D2708" t="s">
        <v>33</v>
      </c>
      <c r="E2708" t="s">
        <v>5807</v>
      </c>
      <c r="F2708" t="s">
        <v>42</v>
      </c>
      <c r="G2708">
        <v>29.08</v>
      </c>
      <c r="H2708">
        <v>99</v>
      </c>
      <c r="I2708" t="s">
        <v>61</v>
      </c>
      <c r="J2708" t="s">
        <v>37</v>
      </c>
      <c r="K2708" t="s">
        <v>20</v>
      </c>
      <c r="L2708">
        <v>153</v>
      </c>
      <c r="M2708" t="str">
        <f t="shared" si="84"/>
        <v>Medium</v>
      </c>
      <c r="N2708" t="str">
        <f t="shared" si="85"/>
        <v>Excellent</v>
      </c>
    </row>
    <row r="2709" spans="1:14">
      <c r="A2709" t="s">
        <v>65</v>
      </c>
      <c r="B2709">
        <v>2024</v>
      </c>
      <c r="C2709" t="s">
        <v>5808</v>
      </c>
      <c r="D2709" t="s">
        <v>33</v>
      </c>
      <c r="E2709" t="s">
        <v>4792</v>
      </c>
      <c r="F2709" t="s">
        <v>46</v>
      </c>
      <c r="G2709">
        <v>2.31</v>
      </c>
      <c r="H2709">
        <v>97</v>
      </c>
      <c r="I2709" t="s">
        <v>36</v>
      </c>
      <c r="J2709" t="s">
        <v>37</v>
      </c>
      <c r="K2709" t="s">
        <v>1609</v>
      </c>
      <c r="L2709">
        <v>14</v>
      </c>
      <c r="M2709" t="str">
        <f t="shared" si="84"/>
        <v>Low</v>
      </c>
      <c r="N2709" t="str">
        <f t="shared" si="85"/>
        <v>Excellent</v>
      </c>
    </row>
    <row r="2710" spans="1:14">
      <c r="A2710" t="s">
        <v>12</v>
      </c>
      <c r="B2710">
        <v>2008</v>
      </c>
      <c r="C2710" t="s">
        <v>5809</v>
      </c>
      <c r="D2710" t="s">
        <v>33</v>
      </c>
      <c r="E2710" t="s">
        <v>5810</v>
      </c>
      <c r="F2710" t="s">
        <v>46</v>
      </c>
      <c r="G2710">
        <v>29.73</v>
      </c>
      <c r="H2710">
        <v>60</v>
      </c>
      <c r="I2710" t="s">
        <v>23</v>
      </c>
      <c r="J2710" t="s">
        <v>18</v>
      </c>
      <c r="K2710" t="s">
        <v>1470</v>
      </c>
      <c r="L2710">
        <v>341</v>
      </c>
      <c r="M2710" t="str">
        <f t="shared" si="84"/>
        <v>Medium</v>
      </c>
      <c r="N2710" t="str">
        <f t="shared" si="85"/>
        <v>Average</v>
      </c>
    </row>
    <row r="2711" spans="1:14">
      <c r="A2711" t="s">
        <v>26</v>
      </c>
      <c r="B2711">
        <v>2020</v>
      </c>
      <c r="C2711" t="s">
        <v>5811</v>
      </c>
      <c r="D2711" t="s">
        <v>14</v>
      </c>
      <c r="E2711" t="s">
        <v>579</v>
      </c>
      <c r="F2711" t="s">
        <v>57</v>
      </c>
      <c r="G2711">
        <v>27.04</v>
      </c>
      <c r="H2711">
        <v>99</v>
      </c>
      <c r="I2711" t="s">
        <v>61</v>
      </c>
      <c r="J2711" t="s">
        <v>37</v>
      </c>
      <c r="K2711" t="s">
        <v>39</v>
      </c>
      <c r="L2711">
        <v>30</v>
      </c>
      <c r="M2711" t="str">
        <f t="shared" si="84"/>
        <v>Medium</v>
      </c>
      <c r="N2711" t="str">
        <f t="shared" si="85"/>
        <v>Excellent</v>
      </c>
    </row>
    <row r="2712" spans="1:14">
      <c r="A2712" t="s">
        <v>39</v>
      </c>
      <c r="B2712">
        <v>2023</v>
      </c>
      <c r="C2712" t="s">
        <v>5812</v>
      </c>
      <c r="D2712" t="s">
        <v>14</v>
      </c>
      <c r="E2712" t="s">
        <v>5813</v>
      </c>
      <c r="F2712" t="s">
        <v>57</v>
      </c>
      <c r="G2712">
        <v>44.59</v>
      </c>
      <c r="H2712">
        <v>79</v>
      </c>
      <c r="I2712" t="s">
        <v>61</v>
      </c>
      <c r="J2712" t="s">
        <v>18</v>
      </c>
      <c r="K2712" t="s">
        <v>1326</v>
      </c>
      <c r="L2712">
        <v>329</v>
      </c>
      <c r="M2712" t="str">
        <f t="shared" si="84"/>
        <v>High</v>
      </c>
      <c r="N2712" t="str">
        <f t="shared" si="85"/>
        <v>Good</v>
      </c>
    </row>
    <row r="2713" spans="1:14">
      <c r="A2713" t="s">
        <v>12</v>
      </c>
      <c r="B2713">
        <v>2014</v>
      </c>
      <c r="C2713" t="s">
        <v>5814</v>
      </c>
      <c r="D2713" t="s">
        <v>14</v>
      </c>
      <c r="E2713" t="s">
        <v>5815</v>
      </c>
      <c r="F2713" t="s">
        <v>35</v>
      </c>
      <c r="G2713">
        <v>7.91</v>
      </c>
      <c r="H2713">
        <v>68</v>
      </c>
      <c r="I2713" t="s">
        <v>61</v>
      </c>
      <c r="J2713" t="s">
        <v>24</v>
      </c>
      <c r="K2713" t="s">
        <v>220</v>
      </c>
      <c r="L2713">
        <v>172</v>
      </c>
      <c r="M2713" t="str">
        <f t="shared" si="84"/>
        <v>Low</v>
      </c>
      <c r="N2713" t="str">
        <f t="shared" si="85"/>
        <v>Average</v>
      </c>
    </row>
    <row r="2714" spans="1:14">
      <c r="A2714" t="s">
        <v>39</v>
      </c>
      <c r="B2714">
        <v>2001</v>
      </c>
      <c r="C2714" t="s">
        <v>5816</v>
      </c>
      <c r="D2714" t="s">
        <v>33</v>
      </c>
      <c r="E2714" t="s">
        <v>5817</v>
      </c>
      <c r="F2714" t="s">
        <v>46</v>
      </c>
      <c r="G2714">
        <v>0.7</v>
      </c>
      <c r="H2714">
        <v>93</v>
      </c>
      <c r="I2714" t="s">
        <v>29</v>
      </c>
      <c r="J2714" t="s">
        <v>18</v>
      </c>
      <c r="K2714" t="s">
        <v>26</v>
      </c>
      <c r="L2714">
        <v>108</v>
      </c>
      <c r="M2714" t="str">
        <f t="shared" si="84"/>
        <v>Low</v>
      </c>
      <c r="N2714" t="str">
        <f t="shared" si="85"/>
        <v>Excellent</v>
      </c>
    </row>
    <row r="2715" spans="1:14">
      <c r="A2715" t="s">
        <v>65</v>
      </c>
      <c r="B2715">
        <v>2001</v>
      </c>
      <c r="C2715" t="s">
        <v>5818</v>
      </c>
      <c r="D2715" t="s">
        <v>14</v>
      </c>
      <c r="E2715" t="s">
        <v>5819</v>
      </c>
      <c r="F2715" t="s">
        <v>57</v>
      </c>
      <c r="G2715">
        <v>2.82</v>
      </c>
      <c r="H2715">
        <v>81</v>
      </c>
      <c r="I2715" t="s">
        <v>29</v>
      </c>
      <c r="J2715" t="s">
        <v>37</v>
      </c>
      <c r="K2715" t="s">
        <v>5820</v>
      </c>
      <c r="L2715">
        <v>122</v>
      </c>
      <c r="M2715" t="str">
        <f t="shared" si="84"/>
        <v>Low</v>
      </c>
      <c r="N2715" t="str">
        <f t="shared" si="85"/>
        <v>Good</v>
      </c>
    </row>
    <row r="2716" spans="1:14">
      <c r="A2716" t="s">
        <v>65</v>
      </c>
      <c r="B2716">
        <v>2013</v>
      </c>
      <c r="C2716" t="s">
        <v>5821</v>
      </c>
      <c r="D2716" t="s">
        <v>33</v>
      </c>
      <c r="E2716" t="s">
        <v>5822</v>
      </c>
      <c r="F2716" t="s">
        <v>46</v>
      </c>
      <c r="G2716">
        <v>32.14</v>
      </c>
      <c r="H2716">
        <v>73</v>
      </c>
      <c r="I2716" t="s">
        <v>23</v>
      </c>
      <c r="J2716" t="s">
        <v>24</v>
      </c>
      <c r="K2716" t="s">
        <v>184</v>
      </c>
      <c r="L2716">
        <v>165</v>
      </c>
      <c r="M2716" t="str">
        <f t="shared" si="84"/>
        <v>Medium</v>
      </c>
      <c r="N2716" t="str">
        <f t="shared" si="85"/>
        <v>Average</v>
      </c>
    </row>
    <row r="2717" spans="1:14">
      <c r="A2717" t="s">
        <v>20</v>
      </c>
      <c r="B2717">
        <v>2014</v>
      </c>
      <c r="C2717" t="s">
        <v>5823</v>
      </c>
      <c r="D2717" t="s">
        <v>33</v>
      </c>
      <c r="E2717" t="s">
        <v>5824</v>
      </c>
      <c r="F2717" t="s">
        <v>57</v>
      </c>
      <c r="G2717">
        <v>15.08</v>
      </c>
      <c r="H2717">
        <v>96</v>
      </c>
      <c r="I2717" t="s">
        <v>29</v>
      </c>
      <c r="J2717" t="s">
        <v>24</v>
      </c>
      <c r="K2717" t="s">
        <v>1064</v>
      </c>
      <c r="L2717">
        <v>227</v>
      </c>
      <c r="M2717" t="str">
        <f t="shared" si="84"/>
        <v>Medium</v>
      </c>
      <c r="N2717" t="str">
        <f t="shared" si="85"/>
        <v>Excellent</v>
      </c>
    </row>
    <row r="2718" spans="1:14">
      <c r="A2718" t="s">
        <v>31</v>
      </c>
      <c r="B2718">
        <v>2000</v>
      </c>
      <c r="C2718" t="s">
        <v>5825</v>
      </c>
      <c r="D2718" t="s">
        <v>33</v>
      </c>
      <c r="E2718" t="s">
        <v>5826</v>
      </c>
      <c r="F2718" t="s">
        <v>35</v>
      </c>
      <c r="G2718">
        <v>10.050000000000001</v>
      </c>
      <c r="H2718">
        <v>57</v>
      </c>
      <c r="I2718" t="s">
        <v>17</v>
      </c>
      <c r="J2718" t="s">
        <v>37</v>
      </c>
      <c r="K2718" t="s">
        <v>513</v>
      </c>
      <c r="L2718">
        <v>161</v>
      </c>
      <c r="M2718" t="str">
        <f t="shared" si="84"/>
        <v>Low</v>
      </c>
      <c r="N2718" t="str">
        <f t="shared" si="85"/>
        <v>Average</v>
      </c>
    </row>
    <row r="2719" spans="1:14">
      <c r="A2719" t="s">
        <v>38</v>
      </c>
      <c r="B2719">
        <v>2025</v>
      </c>
      <c r="C2719" t="s">
        <v>5827</v>
      </c>
      <c r="D2719" t="s">
        <v>14</v>
      </c>
      <c r="E2719" t="s">
        <v>5828</v>
      </c>
      <c r="F2719" t="s">
        <v>16</v>
      </c>
      <c r="G2719">
        <v>45.44</v>
      </c>
      <c r="H2719">
        <v>50</v>
      </c>
      <c r="I2719" t="s">
        <v>29</v>
      </c>
      <c r="J2719" t="s">
        <v>37</v>
      </c>
      <c r="K2719" t="s">
        <v>12</v>
      </c>
      <c r="L2719">
        <v>25</v>
      </c>
      <c r="M2719" t="str">
        <f t="shared" si="84"/>
        <v>High</v>
      </c>
      <c r="N2719" t="str">
        <f t="shared" si="85"/>
        <v>Average</v>
      </c>
    </row>
    <row r="2720" spans="1:14">
      <c r="A2720" t="s">
        <v>65</v>
      </c>
      <c r="B2720">
        <v>2017</v>
      </c>
      <c r="C2720" t="s">
        <v>5829</v>
      </c>
      <c r="D2720" t="s">
        <v>14</v>
      </c>
      <c r="E2720" t="s">
        <v>5395</v>
      </c>
      <c r="F2720" t="s">
        <v>35</v>
      </c>
      <c r="G2720">
        <v>19.2</v>
      </c>
      <c r="H2720">
        <v>82</v>
      </c>
      <c r="I2720" t="s">
        <v>23</v>
      </c>
      <c r="J2720" t="s">
        <v>18</v>
      </c>
      <c r="K2720" t="s">
        <v>5830</v>
      </c>
      <c r="L2720">
        <v>195</v>
      </c>
      <c r="M2720" t="str">
        <f t="shared" si="84"/>
        <v>Medium</v>
      </c>
      <c r="N2720" t="str">
        <f t="shared" si="85"/>
        <v>Good</v>
      </c>
    </row>
    <row r="2721" spans="1:14">
      <c r="A2721" t="s">
        <v>31</v>
      </c>
      <c r="B2721">
        <v>2014</v>
      </c>
      <c r="C2721" t="s">
        <v>5831</v>
      </c>
      <c r="D2721" t="s">
        <v>33</v>
      </c>
      <c r="E2721" t="s">
        <v>5832</v>
      </c>
      <c r="F2721" t="s">
        <v>35</v>
      </c>
      <c r="G2721">
        <v>2.2400000000000002</v>
      </c>
      <c r="H2721">
        <v>99</v>
      </c>
      <c r="I2721" t="s">
        <v>23</v>
      </c>
      <c r="J2721" t="s">
        <v>37</v>
      </c>
      <c r="K2721" t="s">
        <v>31</v>
      </c>
      <c r="L2721">
        <v>224</v>
      </c>
      <c r="M2721" t="str">
        <f t="shared" si="84"/>
        <v>Low</v>
      </c>
      <c r="N2721" t="str">
        <f t="shared" si="85"/>
        <v>Excellent</v>
      </c>
    </row>
    <row r="2722" spans="1:14">
      <c r="A2722" t="s">
        <v>38</v>
      </c>
      <c r="B2722">
        <v>2002</v>
      </c>
      <c r="C2722" t="s">
        <v>5833</v>
      </c>
      <c r="D2722" t="s">
        <v>14</v>
      </c>
      <c r="E2722" t="s">
        <v>5834</v>
      </c>
      <c r="F2722" t="s">
        <v>16</v>
      </c>
      <c r="G2722">
        <v>5.99</v>
      </c>
      <c r="H2722">
        <v>83</v>
      </c>
      <c r="I2722" t="s">
        <v>36</v>
      </c>
      <c r="J2722" t="s">
        <v>24</v>
      </c>
      <c r="K2722" t="s">
        <v>323</v>
      </c>
      <c r="L2722">
        <v>94</v>
      </c>
      <c r="M2722" t="str">
        <f t="shared" si="84"/>
        <v>Low</v>
      </c>
      <c r="N2722" t="str">
        <f t="shared" si="85"/>
        <v>Good</v>
      </c>
    </row>
    <row r="2723" spans="1:14">
      <c r="A2723" t="s">
        <v>68</v>
      </c>
      <c r="B2723">
        <v>2000</v>
      </c>
      <c r="C2723" t="s">
        <v>5835</v>
      </c>
      <c r="D2723" t="s">
        <v>33</v>
      </c>
      <c r="E2723" t="s">
        <v>5836</v>
      </c>
      <c r="F2723" t="s">
        <v>42</v>
      </c>
      <c r="G2723">
        <v>39.71</v>
      </c>
      <c r="H2723">
        <v>51</v>
      </c>
      <c r="I2723" t="s">
        <v>36</v>
      </c>
      <c r="J2723" t="s">
        <v>18</v>
      </c>
      <c r="K2723" t="s">
        <v>3229</v>
      </c>
      <c r="L2723">
        <v>224</v>
      </c>
      <c r="M2723" t="str">
        <f t="shared" si="84"/>
        <v>High</v>
      </c>
      <c r="N2723" t="str">
        <f t="shared" si="85"/>
        <v>Average</v>
      </c>
    </row>
    <row r="2724" spans="1:14">
      <c r="A2724" t="s">
        <v>31</v>
      </c>
      <c r="B2724">
        <v>2001</v>
      </c>
      <c r="C2724" t="s">
        <v>5837</v>
      </c>
      <c r="D2724" t="s">
        <v>14</v>
      </c>
      <c r="E2724" t="s">
        <v>5838</v>
      </c>
      <c r="F2724" t="s">
        <v>16</v>
      </c>
      <c r="G2724">
        <v>23.24</v>
      </c>
      <c r="H2724">
        <v>81</v>
      </c>
      <c r="I2724" t="s">
        <v>29</v>
      </c>
      <c r="J2724" t="s">
        <v>37</v>
      </c>
      <c r="K2724" t="s">
        <v>942</v>
      </c>
      <c r="L2724">
        <v>78</v>
      </c>
      <c r="M2724" t="str">
        <f t="shared" si="84"/>
        <v>Medium</v>
      </c>
      <c r="N2724" t="str">
        <f t="shared" si="85"/>
        <v>Good</v>
      </c>
    </row>
    <row r="2725" spans="1:14">
      <c r="A2725" t="s">
        <v>12</v>
      </c>
      <c r="B2725">
        <v>2001</v>
      </c>
      <c r="C2725" t="s">
        <v>5839</v>
      </c>
      <c r="D2725" t="s">
        <v>14</v>
      </c>
      <c r="E2725" t="s">
        <v>5840</v>
      </c>
      <c r="F2725" t="s">
        <v>16</v>
      </c>
      <c r="G2725">
        <v>20.88</v>
      </c>
      <c r="H2725">
        <v>70</v>
      </c>
      <c r="I2725" t="s">
        <v>23</v>
      </c>
      <c r="J2725" t="s">
        <v>18</v>
      </c>
      <c r="K2725" t="s">
        <v>81</v>
      </c>
      <c r="L2725">
        <v>313</v>
      </c>
      <c r="M2725" t="str">
        <f t="shared" si="84"/>
        <v>Medium</v>
      </c>
      <c r="N2725" t="str">
        <f t="shared" si="85"/>
        <v>Average</v>
      </c>
    </row>
    <row r="2726" spans="1:14">
      <c r="A2726" t="s">
        <v>38</v>
      </c>
      <c r="B2726">
        <v>2005</v>
      </c>
      <c r="C2726" t="s">
        <v>5841</v>
      </c>
      <c r="D2726" t="s">
        <v>33</v>
      </c>
      <c r="E2726" t="s">
        <v>5842</v>
      </c>
      <c r="F2726" t="s">
        <v>16</v>
      </c>
      <c r="G2726">
        <v>37.76</v>
      </c>
      <c r="H2726">
        <v>95</v>
      </c>
      <c r="I2726" t="s">
        <v>61</v>
      </c>
      <c r="J2726" t="s">
        <v>18</v>
      </c>
      <c r="K2726" t="s">
        <v>65</v>
      </c>
      <c r="L2726">
        <v>66</v>
      </c>
      <c r="M2726" t="str">
        <f t="shared" si="84"/>
        <v>High</v>
      </c>
      <c r="N2726" t="str">
        <f t="shared" si="85"/>
        <v>Excellent</v>
      </c>
    </row>
    <row r="2727" spans="1:14">
      <c r="A2727" t="s">
        <v>31</v>
      </c>
      <c r="B2727">
        <v>2010</v>
      </c>
      <c r="C2727" t="s">
        <v>5843</v>
      </c>
      <c r="D2727" t="s">
        <v>33</v>
      </c>
      <c r="E2727" t="s">
        <v>5844</v>
      </c>
      <c r="F2727" t="s">
        <v>16</v>
      </c>
      <c r="G2727">
        <v>2.88</v>
      </c>
      <c r="H2727">
        <v>95</v>
      </c>
      <c r="I2727" t="s">
        <v>61</v>
      </c>
      <c r="J2727" t="s">
        <v>18</v>
      </c>
      <c r="K2727" t="s">
        <v>12</v>
      </c>
      <c r="L2727">
        <v>241</v>
      </c>
      <c r="M2727" t="str">
        <f t="shared" si="84"/>
        <v>Low</v>
      </c>
      <c r="N2727" t="str">
        <f t="shared" si="85"/>
        <v>Excellent</v>
      </c>
    </row>
    <row r="2728" spans="1:14">
      <c r="A2728" t="s">
        <v>38</v>
      </c>
      <c r="B2728">
        <v>2018</v>
      </c>
      <c r="C2728" t="s">
        <v>5845</v>
      </c>
      <c r="D2728" t="s">
        <v>14</v>
      </c>
      <c r="E2728" t="s">
        <v>5846</v>
      </c>
      <c r="F2728" t="s">
        <v>57</v>
      </c>
      <c r="G2728">
        <v>3.12</v>
      </c>
      <c r="H2728">
        <v>99</v>
      </c>
      <c r="I2728" t="s">
        <v>29</v>
      </c>
      <c r="J2728" t="s">
        <v>37</v>
      </c>
      <c r="K2728" t="s">
        <v>5847</v>
      </c>
      <c r="L2728">
        <v>90</v>
      </c>
      <c r="M2728" t="str">
        <f t="shared" si="84"/>
        <v>Low</v>
      </c>
      <c r="N2728" t="str">
        <f t="shared" si="85"/>
        <v>Excellent</v>
      </c>
    </row>
    <row r="2729" spans="1:14">
      <c r="A2729" t="s">
        <v>68</v>
      </c>
      <c r="B2729">
        <v>2017</v>
      </c>
      <c r="C2729" t="s">
        <v>5848</v>
      </c>
      <c r="D2729" t="s">
        <v>14</v>
      </c>
      <c r="E2729" t="s">
        <v>5849</v>
      </c>
      <c r="F2729" t="s">
        <v>46</v>
      </c>
      <c r="G2729">
        <v>29.4</v>
      </c>
      <c r="H2729">
        <v>57</v>
      </c>
      <c r="I2729" t="s">
        <v>36</v>
      </c>
      <c r="J2729" t="s">
        <v>18</v>
      </c>
      <c r="K2729" t="s">
        <v>65</v>
      </c>
      <c r="L2729">
        <v>89</v>
      </c>
      <c r="M2729" t="str">
        <f t="shared" si="84"/>
        <v>Medium</v>
      </c>
      <c r="N2729" t="str">
        <f t="shared" si="85"/>
        <v>Average</v>
      </c>
    </row>
    <row r="2730" spans="1:14">
      <c r="A2730" t="s">
        <v>20</v>
      </c>
      <c r="B2730">
        <v>2012</v>
      </c>
      <c r="C2730" t="s">
        <v>5850</v>
      </c>
      <c r="D2730" t="s">
        <v>33</v>
      </c>
      <c r="E2730" t="s">
        <v>3337</v>
      </c>
      <c r="F2730" t="s">
        <v>46</v>
      </c>
      <c r="G2730">
        <v>7.56</v>
      </c>
      <c r="H2730">
        <v>69</v>
      </c>
      <c r="I2730" t="s">
        <v>29</v>
      </c>
      <c r="J2730" t="s">
        <v>18</v>
      </c>
      <c r="K2730" t="s">
        <v>1604</v>
      </c>
      <c r="L2730">
        <v>301</v>
      </c>
      <c r="M2730" t="str">
        <f t="shared" si="84"/>
        <v>Low</v>
      </c>
      <c r="N2730" t="str">
        <f t="shared" si="85"/>
        <v>Average</v>
      </c>
    </row>
    <row r="2731" spans="1:14">
      <c r="A2731" t="s">
        <v>68</v>
      </c>
      <c r="B2731">
        <v>2010</v>
      </c>
      <c r="C2731" t="s">
        <v>5851</v>
      </c>
      <c r="D2731" t="s">
        <v>33</v>
      </c>
      <c r="E2731" t="s">
        <v>833</v>
      </c>
      <c r="F2731" t="s">
        <v>35</v>
      </c>
      <c r="G2731">
        <v>43.28</v>
      </c>
      <c r="H2731">
        <v>69</v>
      </c>
      <c r="I2731" t="s">
        <v>36</v>
      </c>
      <c r="J2731" t="s">
        <v>37</v>
      </c>
      <c r="K2731" t="s">
        <v>26</v>
      </c>
      <c r="L2731">
        <v>198</v>
      </c>
      <c r="M2731" t="str">
        <f t="shared" si="84"/>
        <v>High</v>
      </c>
      <c r="N2731" t="str">
        <f t="shared" si="85"/>
        <v>Average</v>
      </c>
    </row>
    <row r="2732" spans="1:14">
      <c r="A2732" t="s">
        <v>65</v>
      </c>
      <c r="B2732">
        <v>2017</v>
      </c>
      <c r="C2732" t="s">
        <v>5852</v>
      </c>
      <c r="D2732" t="s">
        <v>14</v>
      </c>
      <c r="E2732" t="s">
        <v>5853</v>
      </c>
      <c r="F2732" t="s">
        <v>16</v>
      </c>
      <c r="G2732">
        <v>23.76</v>
      </c>
      <c r="H2732">
        <v>59</v>
      </c>
      <c r="I2732" t="s">
        <v>23</v>
      </c>
      <c r="J2732" t="s">
        <v>18</v>
      </c>
      <c r="K2732" t="s">
        <v>5854</v>
      </c>
      <c r="L2732">
        <v>244</v>
      </c>
      <c r="M2732" t="str">
        <f t="shared" si="84"/>
        <v>Medium</v>
      </c>
      <c r="N2732" t="str">
        <f t="shared" si="85"/>
        <v>Average</v>
      </c>
    </row>
    <row r="2733" spans="1:14">
      <c r="A2733" t="s">
        <v>48</v>
      </c>
      <c r="B2733">
        <v>2006</v>
      </c>
      <c r="C2733" t="s">
        <v>5855</v>
      </c>
      <c r="D2733" t="s">
        <v>14</v>
      </c>
      <c r="E2733" t="s">
        <v>5856</v>
      </c>
      <c r="F2733" t="s">
        <v>46</v>
      </c>
      <c r="G2733">
        <v>3.2</v>
      </c>
      <c r="H2733">
        <v>95</v>
      </c>
      <c r="I2733" t="s">
        <v>61</v>
      </c>
      <c r="J2733" t="s">
        <v>18</v>
      </c>
      <c r="K2733" t="s">
        <v>627</v>
      </c>
      <c r="L2733">
        <v>190</v>
      </c>
      <c r="M2733" t="str">
        <f t="shared" si="84"/>
        <v>Low</v>
      </c>
      <c r="N2733" t="str">
        <f t="shared" si="85"/>
        <v>Excellent</v>
      </c>
    </row>
    <row r="2734" spans="1:14">
      <c r="A2734" t="s">
        <v>26</v>
      </c>
      <c r="B2734">
        <v>2013</v>
      </c>
      <c r="C2734" t="s">
        <v>5857</v>
      </c>
      <c r="D2734" t="s">
        <v>33</v>
      </c>
      <c r="E2734" t="s">
        <v>5858</v>
      </c>
      <c r="F2734" t="s">
        <v>42</v>
      </c>
      <c r="G2734">
        <v>27.24</v>
      </c>
      <c r="H2734">
        <v>60</v>
      </c>
      <c r="I2734" t="s">
        <v>36</v>
      </c>
      <c r="J2734" t="s">
        <v>24</v>
      </c>
      <c r="K2734" t="s">
        <v>359</v>
      </c>
      <c r="L2734">
        <v>151</v>
      </c>
      <c r="M2734" t="str">
        <f t="shared" si="84"/>
        <v>Medium</v>
      </c>
      <c r="N2734" t="str">
        <f t="shared" si="85"/>
        <v>Average</v>
      </c>
    </row>
    <row r="2735" spans="1:14">
      <c r="A2735" t="s">
        <v>12</v>
      </c>
      <c r="B2735">
        <v>2019</v>
      </c>
      <c r="C2735" t="s">
        <v>5859</v>
      </c>
      <c r="D2735" t="s">
        <v>14</v>
      </c>
      <c r="E2735" t="s">
        <v>5860</v>
      </c>
      <c r="F2735" t="s">
        <v>57</v>
      </c>
      <c r="G2735">
        <v>22.01</v>
      </c>
      <c r="H2735">
        <v>87</v>
      </c>
      <c r="I2735" t="s">
        <v>36</v>
      </c>
      <c r="J2735" t="s">
        <v>37</v>
      </c>
      <c r="K2735" t="s">
        <v>68</v>
      </c>
      <c r="L2735">
        <v>364</v>
      </c>
      <c r="M2735" t="str">
        <f t="shared" si="84"/>
        <v>Medium</v>
      </c>
      <c r="N2735" t="str">
        <f t="shared" si="85"/>
        <v>Good</v>
      </c>
    </row>
    <row r="2736" spans="1:14">
      <c r="A2736" t="s">
        <v>47</v>
      </c>
      <c r="B2736">
        <v>2003</v>
      </c>
      <c r="C2736" t="s">
        <v>5861</v>
      </c>
      <c r="D2736" t="s">
        <v>33</v>
      </c>
      <c r="E2736" t="s">
        <v>4807</v>
      </c>
      <c r="F2736" t="s">
        <v>46</v>
      </c>
      <c r="G2736">
        <v>46.77</v>
      </c>
      <c r="H2736">
        <v>65</v>
      </c>
      <c r="I2736" t="s">
        <v>23</v>
      </c>
      <c r="J2736" t="s">
        <v>24</v>
      </c>
      <c r="K2736" t="s">
        <v>5862</v>
      </c>
      <c r="L2736">
        <v>101</v>
      </c>
      <c r="M2736" t="str">
        <f t="shared" si="84"/>
        <v>High</v>
      </c>
      <c r="N2736" t="str">
        <f t="shared" si="85"/>
        <v>Average</v>
      </c>
    </row>
    <row r="2737" spans="1:14">
      <c r="A2737" t="s">
        <v>31</v>
      </c>
      <c r="B2737">
        <v>2024</v>
      </c>
      <c r="C2737" t="s">
        <v>5863</v>
      </c>
      <c r="D2737" t="s">
        <v>33</v>
      </c>
      <c r="E2737" t="s">
        <v>4884</v>
      </c>
      <c r="F2737" t="s">
        <v>42</v>
      </c>
      <c r="G2737">
        <v>7.8</v>
      </c>
      <c r="H2737">
        <v>75</v>
      </c>
      <c r="I2737" t="s">
        <v>36</v>
      </c>
      <c r="J2737" t="s">
        <v>24</v>
      </c>
      <c r="K2737" t="s">
        <v>831</v>
      </c>
      <c r="L2737">
        <v>278</v>
      </c>
      <c r="M2737" t="str">
        <f t="shared" si="84"/>
        <v>Low</v>
      </c>
      <c r="N2737" t="str">
        <f t="shared" si="85"/>
        <v>Good</v>
      </c>
    </row>
    <row r="2738" spans="1:14">
      <c r="A2738" t="s">
        <v>12</v>
      </c>
      <c r="B2738">
        <v>2017</v>
      </c>
      <c r="C2738" t="s">
        <v>5864</v>
      </c>
      <c r="D2738" t="s">
        <v>14</v>
      </c>
      <c r="E2738" t="s">
        <v>5865</v>
      </c>
      <c r="F2738" t="s">
        <v>46</v>
      </c>
      <c r="G2738">
        <v>18.86</v>
      </c>
      <c r="H2738">
        <v>90</v>
      </c>
      <c r="I2738" t="s">
        <v>23</v>
      </c>
      <c r="J2738" t="s">
        <v>24</v>
      </c>
      <c r="K2738" t="s">
        <v>123</v>
      </c>
      <c r="L2738">
        <v>83</v>
      </c>
      <c r="M2738" t="str">
        <f t="shared" si="84"/>
        <v>Medium</v>
      </c>
      <c r="N2738" t="str">
        <f t="shared" si="85"/>
        <v>Excellent</v>
      </c>
    </row>
    <row r="2739" spans="1:14">
      <c r="A2739" t="s">
        <v>20</v>
      </c>
      <c r="B2739">
        <v>2003</v>
      </c>
      <c r="C2739" t="s">
        <v>5866</v>
      </c>
      <c r="D2739" t="s">
        <v>33</v>
      </c>
      <c r="E2739" t="s">
        <v>5867</v>
      </c>
      <c r="F2739" t="s">
        <v>42</v>
      </c>
      <c r="G2739">
        <v>24.31</v>
      </c>
      <c r="H2739">
        <v>52</v>
      </c>
      <c r="I2739" t="s">
        <v>23</v>
      </c>
      <c r="J2739" t="s">
        <v>18</v>
      </c>
      <c r="K2739" t="s">
        <v>2517</v>
      </c>
      <c r="L2739">
        <v>238</v>
      </c>
      <c r="M2739" t="str">
        <f t="shared" si="84"/>
        <v>Medium</v>
      </c>
      <c r="N2739" t="str">
        <f t="shared" si="85"/>
        <v>Average</v>
      </c>
    </row>
    <row r="2740" spans="1:14">
      <c r="A2740" t="s">
        <v>47</v>
      </c>
      <c r="B2740">
        <v>2022</v>
      </c>
      <c r="C2740" t="s">
        <v>5868</v>
      </c>
      <c r="D2740" t="s">
        <v>33</v>
      </c>
      <c r="E2740" t="s">
        <v>813</v>
      </c>
      <c r="F2740" t="s">
        <v>42</v>
      </c>
      <c r="G2740">
        <v>3.78</v>
      </c>
      <c r="H2740">
        <v>76</v>
      </c>
      <c r="I2740" t="s">
        <v>36</v>
      </c>
      <c r="J2740" t="s">
        <v>24</v>
      </c>
      <c r="K2740" t="s">
        <v>84</v>
      </c>
      <c r="L2740">
        <v>164</v>
      </c>
      <c r="M2740" t="str">
        <f t="shared" si="84"/>
        <v>Low</v>
      </c>
      <c r="N2740" t="str">
        <f t="shared" si="85"/>
        <v>Good</v>
      </c>
    </row>
    <row r="2741" spans="1:14">
      <c r="A2741" t="s">
        <v>48</v>
      </c>
      <c r="B2741">
        <v>2024</v>
      </c>
      <c r="C2741" t="s">
        <v>5869</v>
      </c>
      <c r="D2741" t="s">
        <v>33</v>
      </c>
      <c r="E2741" t="s">
        <v>5870</v>
      </c>
      <c r="F2741" t="s">
        <v>16</v>
      </c>
      <c r="G2741">
        <v>1.24</v>
      </c>
      <c r="H2741">
        <v>83</v>
      </c>
      <c r="I2741" t="s">
        <v>61</v>
      </c>
      <c r="J2741" t="s">
        <v>37</v>
      </c>
      <c r="K2741" t="s">
        <v>317</v>
      </c>
      <c r="L2741">
        <v>149</v>
      </c>
      <c r="M2741" t="str">
        <f t="shared" si="84"/>
        <v>Low</v>
      </c>
      <c r="N2741" t="str">
        <f t="shared" si="85"/>
        <v>Good</v>
      </c>
    </row>
    <row r="2742" spans="1:14">
      <c r="A2742" t="s">
        <v>20</v>
      </c>
      <c r="B2742">
        <v>2019</v>
      </c>
      <c r="C2742" t="s">
        <v>5871</v>
      </c>
      <c r="D2742" t="s">
        <v>33</v>
      </c>
      <c r="E2742" t="s">
        <v>5872</v>
      </c>
      <c r="F2742" t="s">
        <v>46</v>
      </c>
      <c r="G2742">
        <v>6.89</v>
      </c>
      <c r="H2742">
        <v>61</v>
      </c>
      <c r="I2742" t="s">
        <v>36</v>
      </c>
      <c r="J2742" t="s">
        <v>24</v>
      </c>
      <c r="K2742" t="s">
        <v>48</v>
      </c>
      <c r="L2742">
        <v>132</v>
      </c>
      <c r="M2742" t="str">
        <f t="shared" si="84"/>
        <v>Low</v>
      </c>
      <c r="N2742" t="str">
        <f t="shared" si="85"/>
        <v>Average</v>
      </c>
    </row>
    <row r="2743" spans="1:14">
      <c r="A2743" t="s">
        <v>38</v>
      </c>
      <c r="B2743">
        <v>2023</v>
      </c>
      <c r="C2743" t="s">
        <v>5873</v>
      </c>
      <c r="D2743" t="s">
        <v>14</v>
      </c>
      <c r="E2743" t="s">
        <v>5874</v>
      </c>
      <c r="F2743" t="s">
        <v>35</v>
      </c>
      <c r="G2743">
        <v>44.55</v>
      </c>
      <c r="H2743">
        <v>93</v>
      </c>
      <c r="I2743" t="s">
        <v>61</v>
      </c>
      <c r="J2743" t="s">
        <v>37</v>
      </c>
      <c r="K2743" t="s">
        <v>65</v>
      </c>
      <c r="L2743">
        <v>14</v>
      </c>
      <c r="M2743" t="str">
        <f t="shared" si="84"/>
        <v>High</v>
      </c>
      <c r="N2743" t="str">
        <f t="shared" si="85"/>
        <v>Excellent</v>
      </c>
    </row>
    <row r="2744" spans="1:14">
      <c r="A2744" t="s">
        <v>48</v>
      </c>
      <c r="B2744">
        <v>2013</v>
      </c>
      <c r="C2744" t="s">
        <v>5875</v>
      </c>
      <c r="D2744" t="s">
        <v>33</v>
      </c>
      <c r="E2744" t="s">
        <v>5876</v>
      </c>
      <c r="F2744" t="s">
        <v>42</v>
      </c>
      <c r="G2744">
        <v>48.98</v>
      </c>
      <c r="H2744">
        <v>72</v>
      </c>
      <c r="I2744" t="s">
        <v>36</v>
      </c>
      <c r="J2744" t="s">
        <v>37</v>
      </c>
      <c r="K2744" t="s">
        <v>38</v>
      </c>
      <c r="L2744">
        <v>12</v>
      </c>
      <c r="M2744" t="str">
        <f t="shared" si="84"/>
        <v>High</v>
      </c>
      <c r="N2744" t="str">
        <f t="shared" si="85"/>
        <v>Average</v>
      </c>
    </row>
    <row r="2745" spans="1:14">
      <c r="A2745" t="s">
        <v>39</v>
      </c>
      <c r="B2745">
        <v>2009</v>
      </c>
      <c r="C2745" t="s">
        <v>5877</v>
      </c>
      <c r="D2745" t="s">
        <v>33</v>
      </c>
      <c r="E2745" t="s">
        <v>5878</v>
      </c>
      <c r="F2745" t="s">
        <v>46</v>
      </c>
      <c r="G2745">
        <v>36.11</v>
      </c>
      <c r="H2745">
        <v>70</v>
      </c>
      <c r="I2745" t="s">
        <v>17</v>
      </c>
      <c r="J2745" t="s">
        <v>37</v>
      </c>
      <c r="K2745" t="s">
        <v>4874</v>
      </c>
      <c r="L2745">
        <v>108</v>
      </c>
      <c r="M2745" t="str">
        <f t="shared" si="84"/>
        <v>High</v>
      </c>
      <c r="N2745" t="str">
        <f t="shared" si="85"/>
        <v>Average</v>
      </c>
    </row>
    <row r="2746" spans="1:14">
      <c r="A2746" t="s">
        <v>38</v>
      </c>
      <c r="B2746">
        <v>2022</v>
      </c>
      <c r="C2746" t="s">
        <v>5879</v>
      </c>
      <c r="D2746" t="s">
        <v>33</v>
      </c>
      <c r="E2746" t="s">
        <v>3220</v>
      </c>
      <c r="F2746" t="s">
        <v>46</v>
      </c>
      <c r="G2746">
        <v>42.1</v>
      </c>
      <c r="H2746">
        <v>74</v>
      </c>
      <c r="I2746" t="s">
        <v>61</v>
      </c>
      <c r="J2746" t="s">
        <v>18</v>
      </c>
      <c r="K2746" t="s">
        <v>20</v>
      </c>
      <c r="L2746">
        <v>200</v>
      </c>
      <c r="M2746" t="str">
        <f t="shared" si="84"/>
        <v>High</v>
      </c>
      <c r="N2746" t="str">
        <f t="shared" si="85"/>
        <v>Average</v>
      </c>
    </row>
    <row r="2747" spans="1:14">
      <c r="A2747" t="s">
        <v>38</v>
      </c>
      <c r="B2747">
        <v>2002</v>
      </c>
      <c r="C2747" t="s">
        <v>5880</v>
      </c>
      <c r="D2747" t="s">
        <v>14</v>
      </c>
      <c r="E2747" t="s">
        <v>5881</v>
      </c>
      <c r="F2747" t="s">
        <v>57</v>
      </c>
      <c r="G2747">
        <v>11.14</v>
      </c>
      <c r="H2747">
        <v>100</v>
      </c>
      <c r="I2747" t="s">
        <v>23</v>
      </c>
      <c r="J2747" t="s">
        <v>24</v>
      </c>
      <c r="K2747" t="s">
        <v>2653</v>
      </c>
      <c r="L2747">
        <v>192</v>
      </c>
      <c r="M2747" t="str">
        <f t="shared" si="84"/>
        <v>Low</v>
      </c>
      <c r="N2747" t="str">
        <f t="shared" si="85"/>
        <v>Excellent</v>
      </c>
    </row>
    <row r="2748" spans="1:14">
      <c r="A2748" t="s">
        <v>47</v>
      </c>
      <c r="B2748">
        <v>2010</v>
      </c>
      <c r="C2748" t="s">
        <v>5882</v>
      </c>
      <c r="D2748" t="s">
        <v>33</v>
      </c>
      <c r="E2748" t="s">
        <v>794</v>
      </c>
      <c r="F2748" t="s">
        <v>46</v>
      </c>
      <c r="G2748">
        <v>40.5</v>
      </c>
      <c r="H2748">
        <v>51</v>
      </c>
      <c r="I2748" t="s">
        <v>29</v>
      </c>
      <c r="J2748" t="s">
        <v>37</v>
      </c>
      <c r="K2748" t="s">
        <v>78</v>
      </c>
      <c r="L2748">
        <v>274</v>
      </c>
      <c r="M2748" t="str">
        <f t="shared" si="84"/>
        <v>High</v>
      </c>
      <c r="N2748" t="str">
        <f t="shared" si="85"/>
        <v>Average</v>
      </c>
    </row>
    <row r="2749" spans="1:14">
      <c r="A2749" t="s">
        <v>47</v>
      </c>
      <c r="B2749">
        <v>2021</v>
      </c>
      <c r="C2749" t="s">
        <v>5883</v>
      </c>
      <c r="D2749" t="s">
        <v>14</v>
      </c>
      <c r="E2749" t="s">
        <v>5884</v>
      </c>
      <c r="F2749" t="s">
        <v>16</v>
      </c>
      <c r="G2749">
        <v>11.44</v>
      </c>
      <c r="H2749">
        <v>62</v>
      </c>
      <c r="I2749" t="s">
        <v>36</v>
      </c>
      <c r="J2749" t="s">
        <v>18</v>
      </c>
      <c r="K2749" t="s">
        <v>351</v>
      </c>
      <c r="L2749">
        <v>273</v>
      </c>
      <c r="M2749" t="str">
        <f t="shared" si="84"/>
        <v>Low</v>
      </c>
      <c r="N2749" t="str">
        <f t="shared" si="85"/>
        <v>Average</v>
      </c>
    </row>
    <row r="2750" spans="1:14">
      <c r="A2750" t="s">
        <v>38</v>
      </c>
      <c r="B2750">
        <v>2019</v>
      </c>
      <c r="C2750" t="s">
        <v>5885</v>
      </c>
      <c r="D2750" t="s">
        <v>14</v>
      </c>
      <c r="E2750" t="s">
        <v>5886</v>
      </c>
      <c r="F2750" t="s">
        <v>46</v>
      </c>
      <c r="G2750">
        <v>23.41</v>
      </c>
      <c r="H2750">
        <v>88</v>
      </c>
      <c r="I2750" t="s">
        <v>17</v>
      </c>
      <c r="J2750" t="s">
        <v>18</v>
      </c>
      <c r="K2750" t="s">
        <v>68</v>
      </c>
      <c r="L2750">
        <v>65</v>
      </c>
      <c r="M2750" t="str">
        <f t="shared" si="84"/>
        <v>Medium</v>
      </c>
      <c r="N2750" t="str">
        <f t="shared" si="85"/>
        <v>Good</v>
      </c>
    </row>
    <row r="2751" spans="1:14">
      <c r="A2751" t="s">
        <v>38</v>
      </c>
      <c r="B2751">
        <v>2019</v>
      </c>
      <c r="C2751" t="s">
        <v>5887</v>
      </c>
      <c r="D2751" t="s">
        <v>33</v>
      </c>
      <c r="E2751" t="s">
        <v>5888</v>
      </c>
      <c r="F2751" t="s">
        <v>57</v>
      </c>
      <c r="G2751">
        <v>1.79</v>
      </c>
      <c r="H2751">
        <v>84</v>
      </c>
      <c r="I2751" t="s">
        <v>23</v>
      </c>
      <c r="J2751" t="s">
        <v>37</v>
      </c>
      <c r="K2751" t="s">
        <v>65</v>
      </c>
      <c r="L2751">
        <v>188</v>
      </c>
      <c r="M2751" t="str">
        <f t="shared" si="84"/>
        <v>Low</v>
      </c>
      <c r="N2751" t="str">
        <f t="shared" si="85"/>
        <v>Good</v>
      </c>
    </row>
    <row r="2752" spans="1:14">
      <c r="A2752" t="s">
        <v>26</v>
      </c>
      <c r="B2752">
        <v>2005</v>
      </c>
      <c r="C2752" t="s">
        <v>5889</v>
      </c>
      <c r="D2752" t="s">
        <v>14</v>
      </c>
      <c r="E2752" t="s">
        <v>5890</v>
      </c>
      <c r="F2752" t="s">
        <v>57</v>
      </c>
      <c r="G2752">
        <v>49.87</v>
      </c>
      <c r="H2752">
        <v>61</v>
      </c>
      <c r="I2752" t="s">
        <v>61</v>
      </c>
      <c r="J2752" t="s">
        <v>37</v>
      </c>
      <c r="K2752" t="s">
        <v>48</v>
      </c>
      <c r="L2752">
        <v>22</v>
      </c>
      <c r="M2752" t="str">
        <f t="shared" si="84"/>
        <v>High</v>
      </c>
      <c r="N2752" t="str">
        <f t="shared" si="85"/>
        <v>Average</v>
      </c>
    </row>
    <row r="2753" spans="1:14">
      <c r="A2753" t="s">
        <v>31</v>
      </c>
      <c r="B2753">
        <v>2013</v>
      </c>
      <c r="C2753" t="s">
        <v>5891</v>
      </c>
      <c r="D2753" t="s">
        <v>14</v>
      </c>
      <c r="E2753" t="s">
        <v>5892</v>
      </c>
      <c r="F2753" t="s">
        <v>46</v>
      </c>
      <c r="G2753">
        <v>32.369999999999997</v>
      </c>
      <c r="H2753">
        <v>82</v>
      </c>
      <c r="I2753" t="s">
        <v>29</v>
      </c>
      <c r="J2753" t="s">
        <v>24</v>
      </c>
      <c r="K2753" t="s">
        <v>5893</v>
      </c>
      <c r="L2753">
        <v>231</v>
      </c>
      <c r="M2753" t="str">
        <f t="shared" si="84"/>
        <v>Medium</v>
      </c>
      <c r="N2753" t="str">
        <f t="shared" si="85"/>
        <v>Good</v>
      </c>
    </row>
    <row r="2754" spans="1:14">
      <c r="A2754" t="s">
        <v>38</v>
      </c>
      <c r="B2754">
        <v>2021</v>
      </c>
      <c r="C2754" t="s">
        <v>5894</v>
      </c>
      <c r="D2754" t="s">
        <v>33</v>
      </c>
      <c r="E2754" t="s">
        <v>5895</v>
      </c>
      <c r="F2754" t="s">
        <v>16</v>
      </c>
      <c r="G2754">
        <v>17.989999999999998</v>
      </c>
      <c r="H2754">
        <v>59</v>
      </c>
      <c r="I2754" t="s">
        <v>23</v>
      </c>
      <c r="J2754" t="s">
        <v>37</v>
      </c>
      <c r="K2754" t="s">
        <v>5756</v>
      </c>
      <c r="L2754">
        <v>338</v>
      </c>
      <c r="M2754" t="str">
        <f t="shared" si="84"/>
        <v>Medium</v>
      </c>
      <c r="N2754" t="str">
        <f t="shared" si="85"/>
        <v>Average</v>
      </c>
    </row>
    <row r="2755" spans="1:14">
      <c r="A2755" t="s">
        <v>12</v>
      </c>
      <c r="B2755">
        <v>2002</v>
      </c>
      <c r="C2755" t="s">
        <v>5896</v>
      </c>
      <c r="D2755" t="s">
        <v>33</v>
      </c>
      <c r="E2755" t="s">
        <v>5897</v>
      </c>
      <c r="F2755" t="s">
        <v>57</v>
      </c>
      <c r="G2755">
        <v>22.58</v>
      </c>
      <c r="H2755">
        <v>84</v>
      </c>
      <c r="I2755" t="s">
        <v>29</v>
      </c>
      <c r="J2755" t="s">
        <v>24</v>
      </c>
      <c r="K2755" t="s">
        <v>457</v>
      </c>
      <c r="L2755">
        <v>234</v>
      </c>
      <c r="M2755" t="str">
        <f t="shared" ref="M2755:M2818" si="86">IF(G2755&lt;15,"Low",IF(G2755&lt;35,"Medium","High"))</f>
        <v>Medium</v>
      </c>
      <c r="N2755" t="str">
        <f t="shared" ref="N2755:N2818" si="87">IF(H2755&gt;=90,"Excellent",IF(H2755&gt;=75,"Good","Average"))</f>
        <v>Good</v>
      </c>
    </row>
    <row r="2756" spans="1:14">
      <c r="A2756" t="s">
        <v>38</v>
      </c>
      <c r="B2756">
        <v>2009</v>
      </c>
      <c r="C2756" t="s">
        <v>5898</v>
      </c>
      <c r="D2756" t="s">
        <v>14</v>
      </c>
      <c r="E2756" t="s">
        <v>5899</v>
      </c>
      <c r="F2756" t="s">
        <v>46</v>
      </c>
      <c r="G2756">
        <v>30.19</v>
      </c>
      <c r="H2756">
        <v>68</v>
      </c>
      <c r="I2756" t="s">
        <v>36</v>
      </c>
      <c r="J2756" t="s">
        <v>18</v>
      </c>
      <c r="K2756" t="s">
        <v>4160</v>
      </c>
      <c r="L2756">
        <v>234</v>
      </c>
      <c r="M2756" t="str">
        <f t="shared" si="86"/>
        <v>Medium</v>
      </c>
      <c r="N2756" t="str">
        <f t="shared" si="87"/>
        <v>Average</v>
      </c>
    </row>
    <row r="2757" spans="1:14">
      <c r="A2757" t="s">
        <v>38</v>
      </c>
      <c r="B2757">
        <v>2014</v>
      </c>
      <c r="C2757" t="s">
        <v>5900</v>
      </c>
      <c r="D2757" t="s">
        <v>14</v>
      </c>
      <c r="E2757" t="s">
        <v>1589</v>
      </c>
      <c r="F2757" t="s">
        <v>16</v>
      </c>
      <c r="G2757">
        <v>23.22</v>
      </c>
      <c r="H2757">
        <v>52</v>
      </c>
      <c r="I2757" t="s">
        <v>61</v>
      </c>
      <c r="J2757" t="s">
        <v>37</v>
      </c>
      <c r="K2757" t="s">
        <v>3892</v>
      </c>
      <c r="L2757">
        <v>356</v>
      </c>
      <c r="M2757" t="str">
        <f t="shared" si="86"/>
        <v>Medium</v>
      </c>
      <c r="N2757" t="str">
        <f t="shared" si="87"/>
        <v>Average</v>
      </c>
    </row>
    <row r="2758" spans="1:14">
      <c r="A2758" t="s">
        <v>38</v>
      </c>
      <c r="B2758">
        <v>2019</v>
      </c>
      <c r="C2758" t="s">
        <v>5901</v>
      </c>
      <c r="D2758" t="s">
        <v>14</v>
      </c>
      <c r="E2758" t="s">
        <v>5902</v>
      </c>
      <c r="F2758" t="s">
        <v>42</v>
      </c>
      <c r="G2758">
        <v>21.52</v>
      </c>
      <c r="H2758">
        <v>83</v>
      </c>
      <c r="I2758" t="s">
        <v>23</v>
      </c>
      <c r="J2758" t="s">
        <v>24</v>
      </c>
      <c r="K2758" t="s">
        <v>3942</v>
      </c>
      <c r="L2758">
        <v>109</v>
      </c>
      <c r="M2758" t="str">
        <f t="shared" si="86"/>
        <v>Medium</v>
      </c>
      <c r="N2758" t="str">
        <f t="shared" si="87"/>
        <v>Good</v>
      </c>
    </row>
    <row r="2759" spans="1:14">
      <c r="A2759" t="s">
        <v>47</v>
      </c>
      <c r="B2759">
        <v>2022</v>
      </c>
      <c r="C2759" t="s">
        <v>5903</v>
      </c>
      <c r="D2759" t="s">
        <v>14</v>
      </c>
      <c r="E2759" t="s">
        <v>5368</v>
      </c>
      <c r="F2759" t="s">
        <v>42</v>
      </c>
      <c r="G2759">
        <v>4.3499999999999996</v>
      </c>
      <c r="H2759">
        <v>66</v>
      </c>
      <c r="I2759" t="s">
        <v>17</v>
      </c>
      <c r="J2759" t="s">
        <v>24</v>
      </c>
      <c r="K2759" t="s">
        <v>47</v>
      </c>
      <c r="L2759">
        <v>254</v>
      </c>
      <c r="M2759" t="str">
        <f t="shared" si="86"/>
        <v>Low</v>
      </c>
      <c r="N2759" t="str">
        <f t="shared" si="87"/>
        <v>Average</v>
      </c>
    </row>
    <row r="2760" spans="1:14">
      <c r="A2760" t="s">
        <v>12</v>
      </c>
      <c r="B2760">
        <v>2000</v>
      </c>
      <c r="C2760" t="s">
        <v>5904</v>
      </c>
      <c r="D2760" t="s">
        <v>33</v>
      </c>
      <c r="E2760" t="s">
        <v>5905</v>
      </c>
      <c r="F2760" t="s">
        <v>16</v>
      </c>
      <c r="G2760">
        <v>36.89</v>
      </c>
      <c r="H2760">
        <v>100</v>
      </c>
      <c r="I2760" t="s">
        <v>23</v>
      </c>
      <c r="J2760" t="s">
        <v>37</v>
      </c>
      <c r="K2760" t="s">
        <v>12</v>
      </c>
      <c r="L2760">
        <v>66</v>
      </c>
      <c r="M2760" t="str">
        <f t="shared" si="86"/>
        <v>High</v>
      </c>
      <c r="N2760" t="str">
        <f t="shared" si="87"/>
        <v>Excellent</v>
      </c>
    </row>
    <row r="2761" spans="1:14">
      <c r="A2761" t="s">
        <v>47</v>
      </c>
      <c r="B2761">
        <v>2008</v>
      </c>
      <c r="C2761" t="s">
        <v>5906</v>
      </c>
      <c r="D2761" t="s">
        <v>14</v>
      </c>
      <c r="E2761" t="s">
        <v>5907</v>
      </c>
      <c r="F2761" t="s">
        <v>35</v>
      </c>
      <c r="G2761">
        <v>10.56</v>
      </c>
      <c r="H2761">
        <v>94</v>
      </c>
      <c r="I2761" t="s">
        <v>36</v>
      </c>
      <c r="J2761" t="s">
        <v>37</v>
      </c>
      <c r="K2761" t="s">
        <v>5908</v>
      </c>
      <c r="L2761">
        <v>21</v>
      </c>
      <c r="M2761" t="str">
        <f t="shared" si="86"/>
        <v>Low</v>
      </c>
      <c r="N2761" t="str">
        <f t="shared" si="87"/>
        <v>Excellent</v>
      </c>
    </row>
    <row r="2762" spans="1:14">
      <c r="A2762" t="s">
        <v>68</v>
      </c>
      <c r="B2762">
        <v>2001</v>
      </c>
      <c r="C2762" t="s">
        <v>5909</v>
      </c>
      <c r="D2762" t="s">
        <v>33</v>
      </c>
      <c r="E2762" t="s">
        <v>5910</v>
      </c>
      <c r="F2762" t="s">
        <v>35</v>
      </c>
      <c r="G2762">
        <v>43.9</v>
      </c>
      <c r="H2762">
        <v>52</v>
      </c>
      <c r="I2762" t="s">
        <v>61</v>
      </c>
      <c r="J2762" t="s">
        <v>24</v>
      </c>
      <c r="K2762" t="s">
        <v>65</v>
      </c>
      <c r="L2762">
        <v>100</v>
      </c>
      <c r="M2762" t="str">
        <f t="shared" si="86"/>
        <v>High</v>
      </c>
      <c r="N2762" t="str">
        <f t="shared" si="87"/>
        <v>Average</v>
      </c>
    </row>
    <row r="2763" spans="1:14">
      <c r="A2763" t="s">
        <v>48</v>
      </c>
      <c r="B2763">
        <v>2020</v>
      </c>
      <c r="C2763" t="s">
        <v>5911</v>
      </c>
      <c r="D2763" t="s">
        <v>14</v>
      </c>
      <c r="E2763" t="s">
        <v>4873</v>
      </c>
      <c r="F2763" t="s">
        <v>46</v>
      </c>
      <c r="G2763">
        <v>14.77</v>
      </c>
      <c r="H2763">
        <v>52</v>
      </c>
      <c r="I2763" t="s">
        <v>61</v>
      </c>
      <c r="J2763" t="s">
        <v>37</v>
      </c>
      <c r="K2763" t="s">
        <v>68</v>
      </c>
      <c r="L2763">
        <v>245</v>
      </c>
      <c r="M2763" t="str">
        <f t="shared" si="86"/>
        <v>Low</v>
      </c>
      <c r="N2763" t="str">
        <f t="shared" si="87"/>
        <v>Average</v>
      </c>
    </row>
    <row r="2764" spans="1:14">
      <c r="A2764" t="s">
        <v>38</v>
      </c>
      <c r="B2764">
        <v>2020</v>
      </c>
      <c r="C2764" t="s">
        <v>5912</v>
      </c>
      <c r="D2764" t="s">
        <v>14</v>
      </c>
      <c r="E2764" t="s">
        <v>5913</v>
      </c>
      <c r="F2764" t="s">
        <v>16</v>
      </c>
      <c r="G2764">
        <v>33.380000000000003</v>
      </c>
      <c r="H2764">
        <v>70</v>
      </c>
      <c r="I2764" t="s">
        <v>61</v>
      </c>
      <c r="J2764" t="s">
        <v>18</v>
      </c>
      <c r="K2764" t="s">
        <v>12</v>
      </c>
      <c r="L2764">
        <v>113</v>
      </c>
      <c r="M2764" t="str">
        <f t="shared" si="86"/>
        <v>Medium</v>
      </c>
      <c r="N2764" t="str">
        <f t="shared" si="87"/>
        <v>Average</v>
      </c>
    </row>
    <row r="2765" spans="1:14">
      <c r="A2765" t="s">
        <v>31</v>
      </c>
      <c r="B2765">
        <v>2011</v>
      </c>
      <c r="C2765" t="s">
        <v>5914</v>
      </c>
      <c r="D2765" t="s">
        <v>33</v>
      </c>
      <c r="E2765" t="s">
        <v>5915</v>
      </c>
      <c r="F2765" t="s">
        <v>46</v>
      </c>
      <c r="G2765">
        <v>49.42</v>
      </c>
      <c r="H2765">
        <v>97</v>
      </c>
      <c r="I2765" t="s">
        <v>36</v>
      </c>
      <c r="J2765" t="s">
        <v>18</v>
      </c>
      <c r="K2765" t="s">
        <v>5916</v>
      </c>
      <c r="L2765">
        <v>67</v>
      </c>
      <c r="M2765" t="str">
        <f t="shared" si="86"/>
        <v>High</v>
      </c>
      <c r="N2765" t="str">
        <f t="shared" si="87"/>
        <v>Excellent</v>
      </c>
    </row>
    <row r="2766" spans="1:14">
      <c r="A2766" t="s">
        <v>47</v>
      </c>
      <c r="B2766">
        <v>2018</v>
      </c>
      <c r="C2766" t="s">
        <v>5917</v>
      </c>
      <c r="D2766" t="s">
        <v>33</v>
      </c>
      <c r="E2766" t="s">
        <v>5918</v>
      </c>
      <c r="F2766" t="s">
        <v>35</v>
      </c>
      <c r="G2766">
        <v>15.57</v>
      </c>
      <c r="H2766">
        <v>78</v>
      </c>
      <c r="I2766" t="s">
        <v>23</v>
      </c>
      <c r="J2766" t="s">
        <v>37</v>
      </c>
      <c r="K2766" t="s">
        <v>1032</v>
      </c>
      <c r="L2766">
        <v>151</v>
      </c>
      <c r="M2766" t="str">
        <f t="shared" si="86"/>
        <v>Medium</v>
      </c>
      <c r="N2766" t="str">
        <f t="shared" si="87"/>
        <v>Good</v>
      </c>
    </row>
    <row r="2767" spans="1:14">
      <c r="A2767" t="s">
        <v>20</v>
      </c>
      <c r="B2767">
        <v>2023</v>
      </c>
      <c r="C2767" t="s">
        <v>5919</v>
      </c>
      <c r="D2767" t="s">
        <v>14</v>
      </c>
      <c r="E2767" t="s">
        <v>5920</v>
      </c>
      <c r="F2767" t="s">
        <v>35</v>
      </c>
      <c r="G2767">
        <v>20.48</v>
      </c>
      <c r="H2767">
        <v>91</v>
      </c>
      <c r="I2767" t="s">
        <v>29</v>
      </c>
      <c r="J2767" t="s">
        <v>37</v>
      </c>
      <c r="K2767" t="s">
        <v>1131</v>
      </c>
      <c r="L2767">
        <v>191</v>
      </c>
      <c r="M2767" t="str">
        <f t="shared" si="86"/>
        <v>Medium</v>
      </c>
      <c r="N2767" t="str">
        <f t="shared" si="87"/>
        <v>Excellent</v>
      </c>
    </row>
    <row r="2768" spans="1:14">
      <c r="A2768" t="s">
        <v>26</v>
      </c>
      <c r="B2768">
        <v>2000</v>
      </c>
      <c r="C2768" t="s">
        <v>5921</v>
      </c>
      <c r="D2768" t="s">
        <v>33</v>
      </c>
      <c r="E2768" t="s">
        <v>5922</v>
      </c>
      <c r="F2768" t="s">
        <v>57</v>
      </c>
      <c r="G2768">
        <v>26.54</v>
      </c>
      <c r="H2768">
        <v>94</v>
      </c>
      <c r="I2768" t="s">
        <v>61</v>
      </c>
      <c r="J2768" t="s">
        <v>37</v>
      </c>
      <c r="K2768" t="s">
        <v>173</v>
      </c>
      <c r="L2768">
        <v>66</v>
      </c>
      <c r="M2768" t="str">
        <f t="shared" si="86"/>
        <v>Medium</v>
      </c>
      <c r="N2768" t="str">
        <f t="shared" si="87"/>
        <v>Excellent</v>
      </c>
    </row>
    <row r="2769" spans="1:14">
      <c r="A2769" t="s">
        <v>38</v>
      </c>
      <c r="B2769">
        <v>2021</v>
      </c>
      <c r="C2769" t="s">
        <v>5923</v>
      </c>
      <c r="D2769" t="s">
        <v>14</v>
      </c>
      <c r="E2769" t="s">
        <v>5924</v>
      </c>
      <c r="F2769" t="s">
        <v>46</v>
      </c>
      <c r="G2769">
        <v>39.56</v>
      </c>
      <c r="H2769">
        <v>70</v>
      </c>
      <c r="I2769" t="s">
        <v>36</v>
      </c>
      <c r="J2769" t="s">
        <v>24</v>
      </c>
      <c r="K2769" t="s">
        <v>2439</v>
      </c>
      <c r="L2769">
        <v>93</v>
      </c>
      <c r="M2769" t="str">
        <f t="shared" si="86"/>
        <v>High</v>
      </c>
      <c r="N2769" t="str">
        <f t="shared" si="87"/>
        <v>Average</v>
      </c>
    </row>
    <row r="2770" spans="1:14">
      <c r="A2770" t="s">
        <v>39</v>
      </c>
      <c r="B2770">
        <v>2004</v>
      </c>
      <c r="C2770" t="s">
        <v>5925</v>
      </c>
      <c r="D2770" t="s">
        <v>14</v>
      </c>
      <c r="E2770" t="s">
        <v>5926</v>
      </c>
      <c r="F2770" t="s">
        <v>16</v>
      </c>
      <c r="G2770">
        <v>12.47</v>
      </c>
      <c r="H2770">
        <v>99</v>
      </c>
      <c r="I2770" t="s">
        <v>61</v>
      </c>
      <c r="J2770" t="s">
        <v>24</v>
      </c>
      <c r="K2770" t="s">
        <v>427</v>
      </c>
      <c r="L2770">
        <v>355</v>
      </c>
      <c r="M2770" t="str">
        <f t="shared" si="86"/>
        <v>Low</v>
      </c>
      <c r="N2770" t="str">
        <f t="shared" si="87"/>
        <v>Excellent</v>
      </c>
    </row>
    <row r="2771" spans="1:14">
      <c r="A2771" t="s">
        <v>12</v>
      </c>
      <c r="B2771">
        <v>2025</v>
      </c>
      <c r="C2771" t="s">
        <v>5927</v>
      </c>
      <c r="D2771" t="s">
        <v>33</v>
      </c>
      <c r="E2771" t="s">
        <v>1273</v>
      </c>
      <c r="F2771" t="s">
        <v>46</v>
      </c>
      <c r="G2771">
        <v>29.9</v>
      </c>
      <c r="H2771">
        <v>65</v>
      </c>
      <c r="I2771" t="s">
        <v>36</v>
      </c>
      <c r="J2771" t="s">
        <v>18</v>
      </c>
      <c r="K2771" t="s">
        <v>3310</v>
      </c>
      <c r="L2771">
        <v>142</v>
      </c>
      <c r="M2771" t="str">
        <f t="shared" si="86"/>
        <v>Medium</v>
      </c>
      <c r="N2771" t="str">
        <f t="shared" si="87"/>
        <v>Average</v>
      </c>
    </row>
    <row r="2772" spans="1:14">
      <c r="A2772" t="s">
        <v>20</v>
      </c>
      <c r="B2772">
        <v>2006</v>
      </c>
      <c r="C2772" t="s">
        <v>5928</v>
      </c>
      <c r="D2772" t="s">
        <v>33</v>
      </c>
      <c r="E2772" t="s">
        <v>5929</v>
      </c>
      <c r="F2772" t="s">
        <v>42</v>
      </c>
      <c r="G2772">
        <v>1.5</v>
      </c>
      <c r="H2772">
        <v>57</v>
      </c>
      <c r="I2772" t="s">
        <v>36</v>
      </c>
      <c r="J2772" t="s">
        <v>37</v>
      </c>
      <c r="K2772" t="s">
        <v>867</v>
      </c>
      <c r="L2772">
        <v>114</v>
      </c>
      <c r="M2772" t="str">
        <f t="shared" si="86"/>
        <v>Low</v>
      </c>
      <c r="N2772" t="str">
        <f t="shared" si="87"/>
        <v>Average</v>
      </c>
    </row>
    <row r="2773" spans="1:14">
      <c r="A2773" t="s">
        <v>48</v>
      </c>
      <c r="B2773">
        <v>2010</v>
      </c>
      <c r="C2773" t="s">
        <v>5930</v>
      </c>
      <c r="D2773" t="s">
        <v>33</v>
      </c>
      <c r="E2773" t="s">
        <v>5931</v>
      </c>
      <c r="F2773" t="s">
        <v>35</v>
      </c>
      <c r="G2773">
        <v>1.52</v>
      </c>
      <c r="H2773">
        <v>99</v>
      </c>
      <c r="I2773" t="s">
        <v>61</v>
      </c>
      <c r="J2773" t="s">
        <v>18</v>
      </c>
      <c r="K2773" t="s">
        <v>607</v>
      </c>
      <c r="L2773">
        <v>245</v>
      </c>
      <c r="M2773" t="str">
        <f t="shared" si="86"/>
        <v>Low</v>
      </c>
      <c r="N2773" t="str">
        <f t="shared" si="87"/>
        <v>Excellent</v>
      </c>
    </row>
    <row r="2774" spans="1:14">
      <c r="A2774" t="s">
        <v>47</v>
      </c>
      <c r="B2774">
        <v>2005</v>
      </c>
      <c r="C2774" t="s">
        <v>5932</v>
      </c>
      <c r="D2774" t="s">
        <v>14</v>
      </c>
      <c r="E2774" t="s">
        <v>5933</v>
      </c>
      <c r="F2774" t="s">
        <v>57</v>
      </c>
      <c r="G2774">
        <v>34.81</v>
      </c>
      <c r="H2774">
        <v>97</v>
      </c>
      <c r="I2774" t="s">
        <v>23</v>
      </c>
      <c r="J2774" t="s">
        <v>37</v>
      </c>
      <c r="K2774" t="s">
        <v>4016</v>
      </c>
      <c r="L2774">
        <v>39</v>
      </c>
      <c r="M2774" t="str">
        <f t="shared" si="86"/>
        <v>Medium</v>
      </c>
      <c r="N2774" t="str">
        <f t="shared" si="87"/>
        <v>Excellent</v>
      </c>
    </row>
    <row r="2775" spans="1:14">
      <c r="A2775" t="s">
        <v>68</v>
      </c>
      <c r="B2775">
        <v>2004</v>
      </c>
      <c r="C2775" t="s">
        <v>5934</v>
      </c>
      <c r="D2775" t="s">
        <v>14</v>
      </c>
      <c r="E2775" t="s">
        <v>5935</v>
      </c>
      <c r="F2775" t="s">
        <v>16</v>
      </c>
      <c r="G2775">
        <v>17.809999999999999</v>
      </c>
      <c r="H2775">
        <v>60</v>
      </c>
      <c r="I2775" t="s">
        <v>23</v>
      </c>
      <c r="J2775" t="s">
        <v>37</v>
      </c>
      <c r="K2775" t="s">
        <v>656</v>
      </c>
      <c r="L2775">
        <v>8</v>
      </c>
      <c r="M2775" t="str">
        <f t="shared" si="86"/>
        <v>Medium</v>
      </c>
      <c r="N2775" t="str">
        <f t="shared" si="87"/>
        <v>Average</v>
      </c>
    </row>
    <row r="2776" spans="1:14">
      <c r="A2776" t="s">
        <v>68</v>
      </c>
      <c r="B2776">
        <v>2017</v>
      </c>
      <c r="C2776" t="s">
        <v>5936</v>
      </c>
      <c r="D2776" t="s">
        <v>33</v>
      </c>
      <c r="E2776" t="s">
        <v>5937</v>
      </c>
      <c r="F2776" t="s">
        <v>46</v>
      </c>
      <c r="G2776">
        <v>15.99</v>
      </c>
      <c r="H2776">
        <v>66</v>
      </c>
      <c r="I2776" t="s">
        <v>61</v>
      </c>
      <c r="J2776" t="s">
        <v>18</v>
      </c>
      <c r="K2776" t="s">
        <v>314</v>
      </c>
      <c r="L2776">
        <v>296</v>
      </c>
      <c r="M2776" t="str">
        <f t="shared" si="86"/>
        <v>Medium</v>
      </c>
      <c r="N2776" t="str">
        <f t="shared" si="87"/>
        <v>Average</v>
      </c>
    </row>
    <row r="2777" spans="1:14">
      <c r="A2777" t="s">
        <v>12</v>
      </c>
      <c r="B2777">
        <v>2021</v>
      </c>
      <c r="C2777" t="s">
        <v>5938</v>
      </c>
      <c r="D2777" t="s">
        <v>33</v>
      </c>
      <c r="E2777" t="s">
        <v>5939</v>
      </c>
      <c r="F2777" t="s">
        <v>16</v>
      </c>
      <c r="G2777">
        <v>20.75</v>
      </c>
      <c r="H2777">
        <v>99</v>
      </c>
      <c r="I2777" t="s">
        <v>23</v>
      </c>
      <c r="J2777" t="s">
        <v>24</v>
      </c>
      <c r="K2777" t="s">
        <v>65</v>
      </c>
      <c r="L2777">
        <v>155</v>
      </c>
      <c r="M2777" t="str">
        <f t="shared" si="86"/>
        <v>Medium</v>
      </c>
      <c r="N2777" t="str">
        <f t="shared" si="87"/>
        <v>Excellent</v>
      </c>
    </row>
    <row r="2778" spans="1:14">
      <c r="A2778" t="s">
        <v>20</v>
      </c>
      <c r="B2778">
        <v>2019</v>
      </c>
      <c r="C2778" t="s">
        <v>5940</v>
      </c>
      <c r="D2778" t="s">
        <v>14</v>
      </c>
      <c r="E2778" t="s">
        <v>5941</v>
      </c>
      <c r="F2778" t="s">
        <v>42</v>
      </c>
      <c r="G2778">
        <v>30.41</v>
      </c>
      <c r="H2778">
        <v>96</v>
      </c>
      <c r="I2778" t="s">
        <v>36</v>
      </c>
      <c r="J2778" t="s">
        <v>37</v>
      </c>
      <c r="K2778" t="s">
        <v>48</v>
      </c>
      <c r="L2778">
        <v>50</v>
      </c>
      <c r="M2778" t="str">
        <f t="shared" si="86"/>
        <v>Medium</v>
      </c>
      <c r="N2778" t="str">
        <f t="shared" si="87"/>
        <v>Excellent</v>
      </c>
    </row>
    <row r="2779" spans="1:14">
      <c r="A2779" t="s">
        <v>26</v>
      </c>
      <c r="B2779">
        <v>2002</v>
      </c>
      <c r="C2779" t="s">
        <v>5942</v>
      </c>
      <c r="D2779" t="s">
        <v>33</v>
      </c>
      <c r="E2779" t="s">
        <v>5943</v>
      </c>
      <c r="F2779" t="s">
        <v>42</v>
      </c>
      <c r="G2779">
        <v>19.37</v>
      </c>
      <c r="H2779">
        <v>94</v>
      </c>
      <c r="I2779" t="s">
        <v>61</v>
      </c>
      <c r="J2779" t="s">
        <v>24</v>
      </c>
      <c r="K2779" t="s">
        <v>48</v>
      </c>
      <c r="L2779">
        <v>341</v>
      </c>
      <c r="M2779" t="str">
        <f t="shared" si="86"/>
        <v>Medium</v>
      </c>
      <c r="N2779" t="str">
        <f t="shared" si="87"/>
        <v>Excellent</v>
      </c>
    </row>
    <row r="2780" spans="1:14">
      <c r="A2780" t="s">
        <v>26</v>
      </c>
      <c r="B2780">
        <v>2013</v>
      </c>
      <c r="C2780" t="s">
        <v>5944</v>
      </c>
      <c r="D2780" t="s">
        <v>14</v>
      </c>
      <c r="E2780" t="s">
        <v>5945</v>
      </c>
      <c r="F2780" t="s">
        <v>46</v>
      </c>
      <c r="G2780">
        <v>49.61</v>
      </c>
      <c r="H2780">
        <v>84</v>
      </c>
      <c r="I2780" t="s">
        <v>36</v>
      </c>
      <c r="J2780" t="s">
        <v>24</v>
      </c>
      <c r="K2780" t="s">
        <v>68</v>
      </c>
      <c r="L2780">
        <v>345</v>
      </c>
      <c r="M2780" t="str">
        <f t="shared" si="86"/>
        <v>High</v>
      </c>
      <c r="N2780" t="str">
        <f t="shared" si="87"/>
        <v>Good</v>
      </c>
    </row>
    <row r="2781" spans="1:14">
      <c r="A2781" t="s">
        <v>12</v>
      </c>
      <c r="B2781">
        <v>2012</v>
      </c>
      <c r="C2781" t="s">
        <v>5946</v>
      </c>
      <c r="D2781" t="s">
        <v>14</v>
      </c>
      <c r="E2781" t="s">
        <v>5947</v>
      </c>
      <c r="F2781" t="s">
        <v>46</v>
      </c>
      <c r="G2781">
        <v>43</v>
      </c>
      <c r="H2781">
        <v>55</v>
      </c>
      <c r="I2781" t="s">
        <v>61</v>
      </c>
      <c r="J2781" t="s">
        <v>24</v>
      </c>
      <c r="K2781" t="s">
        <v>78</v>
      </c>
      <c r="L2781">
        <v>111</v>
      </c>
      <c r="M2781" t="str">
        <f t="shared" si="86"/>
        <v>High</v>
      </c>
      <c r="N2781" t="str">
        <f t="shared" si="87"/>
        <v>Average</v>
      </c>
    </row>
    <row r="2782" spans="1:14">
      <c r="A2782" t="s">
        <v>12</v>
      </c>
      <c r="B2782">
        <v>2002</v>
      </c>
      <c r="C2782" t="s">
        <v>5948</v>
      </c>
      <c r="D2782" t="s">
        <v>33</v>
      </c>
      <c r="E2782" t="s">
        <v>5949</v>
      </c>
      <c r="F2782" t="s">
        <v>46</v>
      </c>
      <c r="G2782">
        <v>0.56000000000000005</v>
      </c>
      <c r="H2782">
        <v>75</v>
      </c>
      <c r="I2782" t="s">
        <v>29</v>
      </c>
      <c r="J2782" t="s">
        <v>37</v>
      </c>
      <c r="K2782" t="s">
        <v>184</v>
      </c>
      <c r="L2782">
        <v>332</v>
      </c>
      <c r="M2782" t="str">
        <f t="shared" si="86"/>
        <v>Low</v>
      </c>
      <c r="N2782" t="str">
        <f t="shared" si="87"/>
        <v>Good</v>
      </c>
    </row>
    <row r="2783" spans="1:14">
      <c r="A2783" t="s">
        <v>68</v>
      </c>
      <c r="B2783">
        <v>2001</v>
      </c>
      <c r="C2783" t="s">
        <v>5950</v>
      </c>
      <c r="D2783" t="s">
        <v>33</v>
      </c>
      <c r="E2783" t="s">
        <v>5951</v>
      </c>
      <c r="F2783" t="s">
        <v>16</v>
      </c>
      <c r="G2783">
        <v>14.3</v>
      </c>
      <c r="H2783">
        <v>64</v>
      </c>
      <c r="I2783" t="s">
        <v>29</v>
      </c>
      <c r="J2783" t="s">
        <v>24</v>
      </c>
      <c r="K2783" t="s">
        <v>308</v>
      </c>
      <c r="L2783">
        <v>307</v>
      </c>
      <c r="M2783" t="str">
        <f t="shared" si="86"/>
        <v>Low</v>
      </c>
      <c r="N2783" t="str">
        <f t="shared" si="87"/>
        <v>Average</v>
      </c>
    </row>
    <row r="2784" spans="1:14">
      <c r="A2784" t="s">
        <v>12</v>
      </c>
      <c r="B2784">
        <v>2011</v>
      </c>
      <c r="C2784" t="s">
        <v>5952</v>
      </c>
      <c r="D2784" t="s">
        <v>14</v>
      </c>
      <c r="E2784" t="s">
        <v>5953</v>
      </c>
      <c r="F2784" t="s">
        <v>57</v>
      </c>
      <c r="G2784">
        <v>16.47</v>
      </c>
      <c r="H2784">
        <v>85</v>
      </c>
      <c r="I2784" t="s">
        <v>23</v>
      </c>
      <c r="J2784" t="s">
        <v>37</v>
      </c>
      <c r="K2784" t="s">
        <v>2584</v>
      </c>
      <c r="L2784">
        <v>13</v>
      </c>
      <c r="M2784" t="str">
        <f t="shared" si="86"/>
        <v>Medium</v>
      </c>
      <c r="N2784" t="str">
        <f t="shared" si="87"/>
        <v>Good</v>
      </c>
    </row>
    <row r="2785" spans="1:14">
      <c r="A2785" t="s">
        <v>39</v>
      </c>
      <c r="B2785">
        <v>2010</v>
      </c>
      <c r="C2785" t="s">
        <v>5954</v>
      </c>
      <c r="D2785" t="s">
        <v>14</v>
      </c>
      <c r="E2785" t="s">
        <v>5955</v>
      </c>
      <c r="F2785" t="s">
        <v>35</v>
      </c>
      <c r="G2785">
        <v>46.57</v>
      </c>
      <c r="H2785">
        <v>76</v>
      </c>
      <c r="I2785" t="s">
        <v>23</v>
      </c>
      <c r="J2785" t="s">
        <v>24</v>
      </c>
      <c r="K2785" t="s">
        <v>4488</v>
      </c>
      <c r="L2785">
        <v>312</v>
      </c>
      <c r="M2785" t="str">
        <f t="shared" si="86"/>
        <v>High</v>
      </c>
      <c r="N2785" t="str">
        <f t="shared" si="87"/>
        <v>Good</v>
      </c>
    </row>
    <row r="2786" spans="1:14">
      <c r="A2786" t="s">
        <v>31</v>
      </c>
      <c r="B2786">
        <v>2020</v>
      </c>
      <c r="C2786" t="s">
        <v>5956</v>
      </c>
      <c r="D2786" t="s">
        <v>14</v>
      </c>
      <c r="E2786" t="s">
        <v>5957</v>
      </c>
      <c r="F2786" t="s">
        <v>57</v>
      </c>
      <c r="G2786">
        <v>32.65</v>
      </c>
      <c r="H2786">
        <v>81</v>
      </c>
      <c r="I2786" t="s">
        <v>29</v>
      </c>
      <c r="J2786" t="s">
        <v>24</v>
      </c>
      <c r="K2786" t="s">
        <v>94</v>
      </c>
      <c r="L2786">
        <v>84</v>
      </c>
      <c r="M2786" t="str">
        <f t="shared" si="86"/>
        <v>Medium</v>
      </c>
      <c r="N2786" t="str">
        <f t="shared" si="87"/>
        <v>Good</v>
      </c>
    </row>
    <row r="2787" spans="1:14">
      <c r="A2787" t="s">
        <v>65</v>
      </c>
      <c r="B2787">
        <v>2011</v>
      </c>
      <c r="C2787" t="s">
        <v>5958</v>
      </c>
      <c r="D2787" t="s">
        <v>14</v>
      </c>
      <c r="E2787" t="s">
        <v>5959</v>
      </c>
      <c r="F2787" t="s">
        <v>35</v>
      </c>
      <c r="G2787">
        <v>6.3</v>
      </c>
      <c r="H2787">
        <v>81</v>
      </c>
      <c r="I2787" t="s">
        <v>61</v>
      </c>
      <c r="J2787" t="s">
        <v>37</v>
      </c>
      <c r="K2787" t="s">
        <v>537</v>
      </c>
      <c r="L2787">
        <v>40</v>
      </c>
      <c r="M2787" t="str">
        <f t="shared" si="86"/>
        <v>Low</v>
      </c>
      <c r="N2787" t="str">
        <f t="shared" si="87"/>
        <v>Good</v>
      </c>
    </row>
    <row r="2788" spans="1:14">
      <c r="A2788" t="s">
        <v>39</v>
      </c>
      <c r="B2788">
        <v>2006</v>
      </c>
      <c r="C2788" t="s">
        <v>5960</v>
      </c>
      <c r="D2788" t="s">
        <v>33</v>
      </c>
      <c r="E2788" t="s">
        <v>5961</v>
      </c>
      <c r="F2788" t="s">
        <v>42</v>
      </c>
      <c r="G2788">
        <v>17.239999999999998</v>
      </c>
      <c r="H2788">
        <v>77</v>
      </c>
      <c r="I2788" t="s">
        <v>36</v>
      </c>
      <c r="J2788" t="s">
        <v>37</v>
      </c>
      <c r="K2788" t="s">
        <v>433</v>
      </c>
      <c r="L2788">
        <v>184</v>
      </c>
      <c r="M2788" t="str">
        <f t="shared" si="86"/>
        <v>Medium</v>
      </c>
      <c r="N2788" t="str">
        <f t="shared" si="87"/>
        <v>Good</v>
      </c>
    </row>
    <row r="2789" spans="1:14">
      <c r="A2789" t="s">
        <v>26</v>
      </c>
      <c r="B2789">
        <v>2023</v>
      </c>
      <c r="C2789" t="s">
        <v>5962</v>
      </c>
      <c r="D2789" t="s">
        <v>14</v>
      </c>
      <c r="E2789" t="s">
        <v>5963</v>
      </c>
      <c r="F2789" t="s">
        <v>57</v>
      </c>
      <c r="G2789">
        <v>27.81</v>
      </c>
      <c r="H2789">
        <v>62</v>
      </c>
      <c r="I2789" t="s">
        <v>36</v>
      </c>
      <c r="J2789" t="s">
        <v>24</v>
      </c>
      <c r="K2789" t="s">
        <v>2957</v>
      </c>
      <c r="L2789">
        <v>47</v>
      </c>
      <c r="M2789" t="str">
        <f t="shared" si="86"/>
        <v>Medium</v>
      </c>
      <c r="N2789" t="str">
        <f t="shared" si="87"/>
        <v>Average</v>
      </c>
    </row>
    <row r="2790" spans="1:14">
      <c r="A2790" t="s">
        <v>68</v>
      </c>
      <c r="B2790">
        <v>2006</v>
      </c>
      <c r="C2790" t="s">
        <v>5964</v>
      </c>
      <c r="D2790" t="s">
        <v>33</v>
      </c>
      <c r="E2790" t="s">
        <v>3074</v>
      </c>
      <c r="F2790" t="s">
        <v>46</v>
      </c>
      <c r="G2790">
        <v>22.1</v>
      </c>
      <c r="H2790">
        <v>99</v>
      </c>
      <c r="I2790" t="s">
        <v>36</v>
      </c>
      <c r="J2790" t="s">
        <v>24</v>
      </c>
      <c r="K2790" t="s">
        <v>39</v>
      </c>
      <c r="L2790">
        <v>32</v>
      </c>
      <c r="M2790" t="str">
        <f t="shared" si="86"/>
        <v>Medium</v>
      </c>
      <c r="N2790" t="str">
        <f t="shared" si="87"/>
        <v>Excellent</v>
      </c>
    </row>
    <row r="2791" spans="1:14">
      <c r="A2791" t="s">
        <v>68</v>
      </c>
      <c r="B2791">
        <v>2001</v>
      </c>
      <c r="C2791" t="s">
        <v>5965</v>
      </c>
      <c r="D2791" t="s">
        <v>33</v>
      </c>
      <c r="E2791" t="s">
        <v>2022</v>
      </c>
      <c r="F2791" t="s">
        <v>46</v>
      </c>
      <c r="G2791">
        <v>42.91</v>
      </c>
      <c r="H2791">
        <v>90</v>
      </c>
      <c r="I2791" t="s">
        <v>29</v>
      </c>
      <c r="J2791" t="s">
        <v>37</v>
      </c>
      <c r="K2791" t="s">
        <v>68</v>
      </c>
      <c r="L2791">
        <v>31</v>
      </c>
      <c r="M2791" t="str">
        <f t="shared" si="86"/>
        <v>High</v>
      </c>
      <c r="N2791" t="str">
        <f t="shared" si="87"/>
        <v>Excellent</v>
      </c>
    </row>
    <row r="2792" spans="1:14">
      <c r="A2792" t="s">
        <v>31</v>
      </c>
      <c r="B2792">
        <v>2013</v>
      </c>
      <c r="C2792" t="s">
        <v>5966</v>
      </c>
      <c r="D2792" t="s">
        <v>14</v>
      </c>
      <c r="E2792" t="s">
        <v>5967</v>
      </c>
      <c r="F2792" t="s">
        <v>16</v>
      </c>
      <c r="G2792">
        <v>17.62</v>
      </c>
      <c r="H2792">
        <v>100</v>
      </c>
      <c r="I2792" t="s">
        <v>36</v>
      </c>
      <c r="J2792" t="s">
        <v>37</v>
      </c>
      <c r="K2792" t="s">
        <v>12</v>
      </c>
      <c r="L2792">
        <v>128</v>
      </c>
      <c r="M2792" t="str">
        <f t="shared" si="86"/>
        <v>Medium</v>
      </c>
      <c r="N2792" t="str">
        <f t="shared" si="87"/>
        <v>Excellent</v>
      </c>
    </row>
    <row r="2793" spans="1:14">
      <c r="A2793" t="s">
        <v>48</v>
      </c>
      <c r="B2793">
        <v>2010</v>
      </c>
      <c r="C2793" t="s">
        <v>5968</v>
      </c>
      <c r="D2793" t="s">
        <v>14</v>
      </c>
      <c r="E2793" t="s">
        <v>5969</v>
      </c>
      <c r="F2793" t="s">
        <v>42</v>
      </c>
      <c r="G2793">
        <v>35.479999999999997</v>
      </c>
      <c r="H2793">
        <v>74</v>
      </c>
      <c r="I2793" t="s">
        <v>29</v>
      </c>
      <c r="J2793" t="s">
        <v>37</v>
      </c>
      <c r="K2793" t="s">
        <v>445</v>
      </c>
      <c r="L2793">
        <v>148</v>
      </c>
      <c r="M2793" t="str">
        <f t="shared" si="86"/>
        <v>High</v>
      </c>
      <c r="N2793" t="str">
        <f t="shared" si="87"/>
        <v>Average</v>
      </c>
    </row>
    <row r="2794" spans="1:14">
      <c r="A2794" t="s">
        <v>47</v>
      </c>
      <c r="B2794">
        <v>2000</v>
      </c>
      <c r="C2794" t="s">
        <v>5970</v>
      </c>
      <c r="D2794" t="s">
        <v>14</v>
      </c>
      <c r="E2794" t="s">
        <v>5971</v>
      </c>
      <c r="F2794" t="s">
        <v>46</v>
      </c>
      <c r="G2794">
        <v>45.48</v>
      </c>
      <c r="H2794">
        <v>56</v>
      </c>
      <c r="I2794" t="s">
        <v>36</v>
      </c>
      <c r="J2794" t="s">
        <v>37</v>
      </c>
      <c r="K2794" t="s">
        <v>292</v>
      </c>
      <c r="L2794">
        <v>40</v>
      </c>
      <c r="M2794" t="str">
        <f t="shared" si="86"/>
        <v>High</v>
      </c>
      <c r="N2794" t="str">
        <f t="shared" si="87"/>
        <v>Average</v>
      </c>
    </row>
    <row r="2795" spans="1:14">
      <c r="A2795" t="s">
        <v>39</v>
      </c>
      <c r="B2795">
        <v>2008</v>
      </c>
      <c r="C2795" t="s">
        <v>5972</v>
      </c>
      <c r="D2795" t="s">
        <v>14</v>
      </c>
      <c r="E2795" t="s">
        <v>5973</v>
      </c>
      <c r="F2795" t="s">
        <v>42</v>
      </c>
      <c r="G2795">
        <v>47.33</v>
      </c>
      <c r="H2795">
        <v>63</v>
      </c>
      <c r="I2795" t="s">
        <v>36</v>
      </c>
      <c r="J2795" t="s">
        <v>37</v>
      </c>
      <c r="K2795" t="s">
        <v>48</v>
      </c>
      <c r="L2795">
        <v>42</v>
      </c>
      <c r="M2795" t="str">
        <f t="shared" si="86"/>
        <v>High</v>
      </c>
      <c r="N2795" t="str">
        <f t="shared" si="87"/>
        <v>Average</v>
      </c>
    </row>
    <row r="2796" spans="1:14">
      <c r="A2796" t="s">
        <v>47</v>
      </c>
      <c r="B2796">
        <v>2001</v>
      </c>
      <c r="C2796" t="s">
        <v>5974</v>
      </c>
      <c r="D2796" t="s">
        <v>33</v>
      </c>
      <c r="E2796" t="s">
        <v>3413</v>
      </c>
      <c r="F2796" t="s">
        <v>42</v>
      </c>
      <c r="G2796">
        <v>3.02</v>
      </c>
      <c r="H2796">
        <v>92</v>
      </c>
      <c r="I2796" t="s">
        <v>29</v>
      </c>
      <c r="J2796" t="s">
        <v>18</v>
      </c>
      <c r="K2796" t="s">
        <v>20</v>
      </c>
      <c r="L2796">
        <v>98</v>
      </c>
      <c r="M2796" t="str">
        <f t="shared" si="86"/>
        <v>Low</v>
      </c>
      <c r="N2796" t="str">
        <f t="shared" si="87"/>
        <v>Excellent</v>
      </c>
    </row>
    <row r="2797" spans="1:14">
      <c r="A2797" t="s">
        <v>12</v>
      </c>
      <c r="B2797">
        <v>2024</v>
      </c>
      <c r="C2797" t="s">
        <v>5975</v>
      </c>
      <c r="D2797" t="s">
        <v>14</v>
      </c>
      <c r="E2797" t="s">
        <v>5976</v>
      </c>
      <c r="F2797" t="s">
        <v>35</v>
      </c>
      <c r="G2797">
        <v>44.73</v>
      </c>
      <c r="H2797">
        <v>80</v>
      </c>
      <c r="I2797" t="s">
        <v>17</v>
      </c>
      <c r="J2797" t="s">
        <v>24</v>
      </c>
      <c r="K2797" t="s">
        <v>4519</v>
      </c>
      <c r="L2797">
        <v>24</v>
      </c>
      <c r="M2797" t="str">
        <f t="shared" si="86"/>
        <v>High</v>
      </c>
      <c r="N2797" t="str">
        <f t="shared" si="87"/>
        <v>Good</v>
      </c>
    </row>
    <row r="2798" spans="1:14">
      <c r="A2798" t="s">
        <v>68</v>
      </c>
      <c r="B2798">
        <v>2004</v>
      </c>
      <c r="C2798" t="s">
        <v>5977</v>
      </c>
      <c r="D2798" t="s">
        <v>33</v>
      </c>
      <c r="E2798" t="s">
        <v>5978</v>
      </c>
      <c r="F2798" t="s">
        <v>46</v>
      </c>
      <c r="G2798">
        <v>5.62</v>
      </c>
      <c r="H2798">
        <v>57</v>
      </c>
      <c r="I2798" t="s">
        <v>29</v>
      </c>
      <c r="J2798" t="s">
        <v>37</v>
      </c>
      <c r="K2798" t="s">
        <v>5979</v>
      </c>
      <c r="L2798">
        <v>139</v>
      </c>
      <c r="M2798" t="str">
        <f t="shared" si="86"/>
        <v>Low</v>
      </c>
      <c r="N2798" t="str">
        <f t="shared" si="87"/>
        <v>Average</v>
      </c>
    </row>
    <row r="2799" spans="1:14">
      <c r="A2799" t="s">
        <v>31</v>
      </c>
      <c r="B2799">
        <v>2021</v>
      </c>
      <c r="C2799" t="s">
        <v>5980</v>
      </c>
      <c r="D2799" t="s">
        <v>14</v>
      </c>
      <c r="E2799" t="s">
        <v>5981</v>
      </c>
      <c r="F2799" t="s">
        <v>57</v>
      </c>
      <c r="G2799">
        <v>17.420000000000002</v>
      </c>
      <c r="H2799">
        <v>86</v>
      </c>
      <c r="I2799" t="s">
        <v>36</v>
      </c>
      <c r="J2799" t="s">
        <v>37</v>
      </c>
      <c r="K2799" t="s">
        <v>39</v>
      </c>
      <c r="L2799">
        <v>91</v>
      </c>
      <c r="M2799" t="str">
        <f t="shared" si="86"/>
        <v>Medium</v>
      </c>
      <c r="N2799" t="str">
        <f t="shared" si="87"/>
        <v>Good</v>
      </c>
    </row>
    <row r="2800" spans="1:14">
      <c r="A2800" t="s">
        <v>47</v>
      </c>
      <c r="B2800">
        <v>2019</v>
      </c>
      <c r="C2800" t="s">
        <v>5982</v>
      </c>
      <c r="D2800" t="s">
        <v>14</v>
      </c>
      <c r="E2800" t="s">
        <v>5983</v>
      </c>
      <c r="F2800" t="s">
        <v>35</v>
      </c>
      <c r="G2800">
        <v>29.38</v>
      </c>
      <c r="H2800">
        <v>95</v>
      </c>
      <c r="I2800" t="s">
        <v>29</v>
      </c>
      <c r="J2800" t="s">
        <v>37</v>
      </c>
      <c r="K2800" t="s">
        <v>39</v>
      </c>
      <c r="L2800">
        <v>27</v>
      </c>
      <c r="M2800" t="str">
        <f t="shared" si="86"/>
        <v>Medium</v>
      </c>
      <c r="N2800" t="str">
        <f t="shared" si="87"/>
        <v>Excellent</v>
      </c>
    </row>
    <row r="2801" spans="1:14">
      <c r="A2801" t="s">
        <v>20</v>
      </c>
      <c r="B2801">
        <v>2017</v>
      </c>
      <c r="C2801" t="s">
        <v>5984</v>
      </c>
      <c r="D2801" t="s">
        <v>33</v>
      </c>
      <c r="E2801" t="s">
        <v>5985</v>
      </c>
      <c r="F2801" t="s">
        <v>46</v>
      </c>
      <c r="G2801">
        <v>33.03</v>
      </c>
      <c r="H2801">
        <v>60</v>
      </c>
      <c r="I2801" t="s">
        <v>36</v>
      </c>
      <c r="J2801" t="s">
        <v>37</v>
      </c>
      <c r="K2801" t="s">
        <v>20</v>
      </c>
      <c r="L2801">
        <v>157</v>
      </c>
      <c r="M2801" t="str">
        <f t="shared" si="86"/>
        <v>Medium</v>
      </c>
      <c r="N2801" t="str">
        <f t="shared" si="87"/>
        <v>Average</v>
      </c>
    </row>
    <row r="2802" spans="1:14">
      <c r="A2802" t="s">
        <v>31</v>
      </c>
      <c r="B2802">
        <v>2025</v>
      </c>
      <c r="C2802" t="s">
        <v>5986</v>
      </c>
      <c r="D2802" t="s">
        <v>14</v>
      </c>
      <c r="E2802" t="s">
        <v>5987</v>
      </c>
      <c r="F2802" t="s">
        <v>46</v>
      </c>
      <c r="G2802">
        <v>34.11</v>
      </c>
      <c r="H2802">
        <v>53</v>
      </c>
      <c r="I2802" t="s">
        <v>61</v>
      </c>
      <c r="J2802" t="s">
        <v>24</v>
      </c>
      <c r="K2802" t="s">
        <v>31</v>
      </c>
      <c r="L2802">
        <v>342</v>
      </c>
      <c r="M2802" t="str">
        <f t="shared" si="86"/>
        <v>Medium</v>
      </c>
      <c r="N2802" t="str">
        <f t="shared" si="87"/>
        <v>Average</v>
      </c>
    </row>
    <row r="2803" spans="1:14">
      <c r="A2803" t="s">
        <v>26</v>
      </c>
      <c r="B2803">
        <v>2017</v>
      </c>
      <c r="C2803" t="s">
        <v>5988</v>
      </c>
      <c r="D2803" t="s">
        <v>14</v>
      </c>
      <c r="E2803" t="s">
        <v>5989</v>
      </c>
      <c r="F2803" t="s">
        <v>16</v>
      </c>
      <c r="G2803">
        <v>6.74</v>
      </c>
      <c r="H2803">
        <v>92</v>
      </c>
      <c r="I2803" t="s">
        <v>23</v>
      </c>
      <c r="J2803" t="s">
        <v>24</v>
      </c>
      <c r="K2803" t="s">
        <v>68</v>
      </c>
      <c r="L2803">
        <v>361</v>
      </c>
      <c r="M2803" t="str">
        <f t="shared" si="86"/>
        <v>Low</v>
      </c>
      <c r="N2803" t="str">
        <f t="shared" si="87"/>
        <v>Excellent</v>
      </c>
    </row>
    <row r="2804" spans="1:14">
      <c r="A2804" t="s">
        <v>39</v>
      </c>
      <c r="B2804">
        <v>2005</v>
      </c>
      <c r="C2804" t="s">
        <v>5990</v>
      </c>
      <c r="D2804" t="s">
        <v>14</v>
      </c>
      <c r="E2804" t="s">
        <v>5991</v>
      </c>
      <c r="F2804" t="s">
        <v>57</v>
      </c>
      <c r="G2804">
        <v>14.42</v>
      </c>
      <c r="H2804">
        <v>63</v>
      </c>
      <c r="I2804" t="s">
        <v>23</v>
      </c>
      <c r="J2804" t="s">
        <v>37</v>
      </c>
      <c r="K2804" t="s">
        <v>5157</v>
      </c>
      <c r="L2804">
        <v>79</v>
      </c>
      <c r="M2804" t="str">
        <f t="shared" si="86"/>
        <v>Low</v>
      </c>
      <c r="N2804" t="str">
        <f t="shared" si="87"/>
        <v>Average</v>
      </c>
    </row>
    <row r="2805" spans="1:14">
      <c r="A2805" t="s">
        <v>39</v>
      </c>
      <c r="B2805">
        <v>2008</v>
      </c>
      <c r="C2805" t="s">
        <v>5992</v>
      </c>
      <c r="D2805" t="s">
        <v>14</v>
      </c>
      <c r="E2805" t="s">
        <v>5993</v>
      </c>
      <c r="F2805" t="s">
        <v>35</v>
      </c>
      <c r="G2805">
        <v>49.83</v>
      </c>
      <c r="H2805">
        <v>67</v>
      </c>
      <c r="I2805" t="s">
        <v>23</v>
      </c>
      <c r="J2805" t="s">
        <v>18</v>
      </c>
      <c r="K2805" t="s">
        <v>39</v>
      </c>
      <c r="L2805">
        <v>137</v>
      </c>
      <c r="M2805" t="str">
        <f t="shared" si="86"/>
        <v>High</v>
      </c>
      <c r="N2805" t="str">
        <f t="shared" si="87"/>
        <v>Average</v>
      </c>
    </row>
    <row r="2806" spans="1:14">
      <c r="A2806" t="s">
        <v>65</v>
      </c>
      <c r="B2806">
        <v>2019</v>
      </c>
      <c r="C2806" t="s">
        <v>5994</v>
      </c>
      <c r="D2806" t="s">
        <v>33</v>
      </c>
      <c r="E2806" t="s">
        <v>990</v>
      </c>
      <c r="F2806" t="s">
        <v>57</v>
      </c>
      <c r="G2806">
        <v>10.34</v>
      </c>
      <c r="H2806">
        <v>85</v>
      </c>
      <c r="I2806" t="s">
        <v>36</v>
      </c>
      <c r="J2806" t="s">
        <v>18</v>
      </c>
      <c r="K2806" t="s">
        <v>39</v>
      </c>
      <c r="L2806">
        <v>101</v>
      </c>
      <c r="M2806" t="str">
        <f t="shared" si="86"/>
        <v>Low</v>
      </c>
      <c r="N2806" t="str">
        <f t="shared" si="87"/>
        <v>Good</v>
      </c>
    </row>
    <row r="2807" spans="1:14">
      <c r="A2807" t="s">
        <v>68</v>
      </c>
      <c r="B2807">
        <v>2003</v>
      </c>
      <c r="C2807" t="s">
        <v>5995</v>
      </c>
      <c r="D2807" t="s">
        <v>33</v>
      </c>
      <c r="E2807" t="s">
        <v>5996</v>
      </c>
      <c r="F2807" t="s">
        <v>46</v>
      </c>
      <c r="G2807">
        <v>17.05</v>
      </c>
      <c r="H2807">
        <v>54</v>
      </c>
      <c r="I2807" t="s">
        <v>17</v>
      </c>
      <c r="J2807" t="s">
        <v>24</v>
      </c>
      <c r="K2807" t="s">
        <v>68</v>
      </c>
      <c r="L2807">
        <v>39</v>
      </c>
      <c r="M2807" t="str">
        <f t="shared" si="86"/>
        <v>Medium</v>
      </c>
      <c r="N2807" t="str">
        <f t="shared" si="87"/>
        <v>Average</v>
      </c>
    </row>
    <row r="2808" spans="1:14">
      <c r="A2808" t="s">
        <v>65</v>
      </c>
      <c r="B2808">
        <v>2023</v>
      </c>
      <c r="C2808" t="s">
        <v>5997</v>
      </c>
      <c r="D2808" t="s">
        <v>33</v>
      </c>
      <c r="E2808" t="s">
        <v>5998</v>
      </c>
      <c r="F2808" t="s">
        <v>16</v>
      </c>
      <c r="G2808">
        <v>9.64</v>
      </c>
      <c r="H2808">
        <v>55</v>
      </c>
      <c r="I2808" t="s">
        <v>17</v>
      </c>
      <c r="J2808" t="s">
        <v>18</v>
      </c>
      <c r="K2808" t="s">
        <v>286</v>
      </c>
      <c r="L2808">
        <v>217</v>
      </c>
      <c r="M2808" t="str">
        <f t="shared" si="86"/>
        <v>Low</v>
      </c>
      <c r="N2808" t="str">
        <f t="shared" si="87"/>
        <v>Average</v>
      </c>
    </row>
    <row r="2809" spans="1:14">
      <c r="A2809" t="s">
        <v>31</v>
      </c>
      <c r="B2809">
        <v>2004</v>
      </c>
      <c r="C2809" t="s">
        <v>5999</v>
      </c>
      <c r="D2809" t="s">
        <v>33</v>
      </c>
      <c r="E2809" t="s">
        <v>6000</v>
      </c>
      <c r="F2809" t="s">
        <v>57</v>
      </c>
      <c r="G2809">
        <v>48.56</v>
      </c>
      <c r="H2809">
        <v>64</v>
      </c>
      <c r="I2809" t="s">
        <v>29</v>
      </c>
      <c r="J2809" t="s">
        <v>18</v>
      </c>
      <c r="K2809" t="s">
        <v>433</v>
      </c>
      <c r="L2809">
        <v>258</v>
      </c>
      <c r="M2809" t="str">
        <f t="shared" si="86"/>
        <v>High</v>
      </c>
      <c r="N2809" t="str">
        <f t="shared" si="87"/>
        <v>Average</v>
      </c>
    </row>
    <row r="2810" spans="1:14">
      <c r="A2810" t="s">
        <v>31</v>
      </c>
      <c r="B2810">
        <v>2002</v>
      </c>
      <c r="C2810" t="s">
        <v>6001</v>
      </c>
      <c r="D2810" t="s">
        <v>33</v>
      </c>
      <c r="E2810" t="s">
        <v>6002</v>
      </c>
      <c r="F2810" t="s">
        <v>46</v>
      </c>
      <c r="G2810">
        <v>7.59</v>
      </c>
      <c r="H2810">
        <v>77</v>
      </c>
      <c r="I2810" t="s">
        <v>61</v>
      </c>
      <c r="J2810" t="s">
        <v>24</v>
      </c>
      <c r="K2810" t="s">
        <v>209</v>
      </c>
      <c r="L2810">
        <v>170</v>
      </c>
      <c r="M2810" t="str">
        <f t="shared" si="86"/>
        <v>Low</v>
      </c>
      <c r="N2810" t="str">
        <f t="shared" si="87"/>
        <v>Good</v>
      </c>
    </row>
    <row r="2811" spans="1:14">
      <c r="A2811" t="s">
        <v>47</v>
      </c>
      <c r="B2811">
        <v>2022</v>
      </c>
      <c r="C2811" t="s">
        <v>6003</v>
      </c>
      <c r="D2811" t="s">
        <v>33</v>
      </c>
      <c r="E2811" t="s">
        <v>6004</v>
      </c>
      <c r="F2811" t="s">
        <v>46</v>
      </c>
      <c r="G2811">
        <v>35.22</v>
      </c>
      <c r="H2811">
        <v>61</v>
      </c>
      <c r="I2811" t="s">
        <v>29</v>
      </c>
      <c r="J2811" t="s">
        <v>24</v>
      </c>
      <c r="K2811" t="s">
        <v>6005</v>
      </c>
      <c r="L2811">
        <v>117</v>
      </c>
      <c r="M2811" t="str">
        <f t="shared" si="86"/>
        <v>High</v>
      </c>
      <c r="N2811" t="str">
        <f t="shared" si="87"/>
        <v>Average</v>
      </c>
    </row>
    <row r="2812" spans="1:14">
      <c r="A2812" t="s">
        <v>68</v>
      </c>
      <c r="B2812">
        <v>2001</v>
      </c>
      <c r="C2812" t="s">
        <v>6006</v>
      </c>
      <c r="D2812" t="s">
        <v>33</v>
      </c>
      <c r="E2812" t="s">
        <v>6007</v>
      </c>
      <c r="F2812" t="s">
        <v>42</v>
      </c>
      <c r="G2812">
        <v>36.869999999999997</v>
      </c>
      <c r="H2812">
        <v>91</v>
      </c>
      <c r="I2812" t="s">
        <v>29</v>
      </c>
      <c r="J2812" t="s">
        <v>18</v>
      </c>
      <c r="K2812" t="s">
        <v>4313</v>
      </c>
      <c r="L2812">
        <v>211</v>
      </c>
      <c r="M2812" t="str">
        <f t="shared" si="86"/>
        <v>High</v>
      </c>
      <c r="N2812" t="str">
        <f t="shared" si="87"/>
        <v>Excellent</v>
      </c>
    </row>
    <row r="2813" spans="1:14">
      <c r="A2813" t="s">
        <v>68</v>
      </c>
      <c r="B2813">
        <v>2005</v>
      </c>
      <c r="C2813" t="s">
        <v>6008</v>
      </c>
      <c r="D2813" t="s">
        <v>33</v>
      </c>
      <c r="E2813" t="s">
        <v>6009</v>
      </c>
      <c r="F2813" t="s">
        <v>57</v>
      </c>
      <c r="G2813">
        <v>18.37</v>
      </c>
      <c r="H2813">
        <v>84</v>
      </c>
      <c r="I2813" t="s">
        <v>23</v>
      </c>
      <c r="J2813" t="s">
        <v>37</v>
      </c>
      <c r="K2813" t="s">
        <v>6010</v>
      </c>
      <c r="L2813">
        <v>223</v>
      </c>
      <c r="M2813" t="str">
        <f t="shared" si="86"/>
        <v>Medium</v>
      </c>
      <c r="N2813" t="str">
        <f t="shared" si="87"/>
        <v>Good</v>
      </c>
    </row>
    <row r="2814" spans="1:14">
      <c r="A2814" t="s">
        <v>26</v>
      </c>
      <c r="B2814">
        <v>2017</v>
      </c>
      <c r="C2814" t="s">
        <v>6011</v>
      </c>
      <c r="D2814" t="s">
        <v>14</v>
      </c>
      <c r="E2814" t="s">
        <v>6012</v>
      </c>
      <c r="F2814" t="s">
        <v>35</v>
      </c>
      <c r="G2814">
        <v>43.29</v>
      </c>
      <c r="H2814">
        <v>93</v>
      </c>
      <c r="I2814" t="s">
        <v>36</v>
      </c>
      <c r="J2814" t="s">
        <v>24</v>
      </c>
      <c r="K2814" t="s">
        <v>6013</v>
      </c>
      <c r="L2814">
        <v>195</v>
      </c>
      <c r="M2814" t="str">
        <f t="shared" si="86"/>
        <v>High</v>
      </c>
      <c r="N2814" t="str">
        <f t="shared" si="87"/>
        <v>Excellent</v>
      </c>
    </row>
    <row r="2815" spans="1:14">
      <c r="A2815" t="s">
        <v>68</v>
      </c>
      <c r="B2815">
        <v>2000</v>
      </c>
      <c r="C2815" t="s">
        <v>6014</v>
      </c>
      <c r="D2815" t="s">
        <v>14</v>
      </c>
      <c r="E2815" t="s">
        <v>1594</v>
      </c>
      <c r="F2815" t="s">
        <v>35</v>
      </c>
      <c r="G2815">
        <v>41.92</v>
      </c>
      <c r="H2815">
        <v>78</v>
      </c>
      <c r="I2815" t="s">
        <v>23</v>
      </c>
      <c r="J2815" t="s">
        <v>18</v>
      </c>
      <c r="K2815" t="s">
        <v>311</v>
      </c>
      <c r="L2815">
        <v>1</v>
      </c>
      <c r="M2815" t="str">
        <f t="shared" si="86"/>
        <v>High</v>
      </c>
      <c r="N2815" t="str">
        <f t="shared" si="87"/>
        <v>Good</v>
      </c>
    </row>
    <row r="2816" spans="1:14">
      <c r="A2816" t="s">
        <v>26</v>
      </c>
      <c r="B2816">
        <v>2017</v>
      </c>
      <c r="C2816" t="s">
        <v>6015</v>
      </c>
      <c r="D2816" t="s">
        <v>33</v>
      </c>
      <c r="E2816" t="s">
        <v>6016</v>
      </c>
      <c r="F2816" t="s">
        <v>42</v>
      </c>
      <c r="G2816">
        <v>6.68</v>
      </c>
      <c r="H2816">
        <v>53</v>
      </c>
      <c r="I2816" t="s">
        <v>17</v>
      </c>
      <c r="J2816" t="s">
        <v>37</v>
      </c>
      <c r="K2816" t="s">
        <v>2563</v>
      </c>
      <c r="L2816">
        <v>39</v>
      </c>
      <c r="M2816" t="str">
        <f t="shared" si="86"/>
        <v>Low</v>
      </c>
      <c r="N2816" t="str">
        <f t="shared" si="87"/>
        <v>Average</v>
      </c>
    </row>
    <row r="2817" spans="1:14">
      <c r="A2817" t="s">
        <v>38</v>
      </c>
      <c r="B2817">
        <v>2019</v>
      </c>
      <c r="C2817" t="s">
        <v>6017</v>
      </c>
      <c r="D2817" t="s">
        <v>14</v>
      </c>
      <c r="E2817" t="s">
        <v>6018</v>
      </c>
      <c r="F2817" t="s">
        <v>35</v>
      </c>
      <c r="G2817">
        <v>20.79</v>
      </c>
      <c r="H2817">
        <v>95</v>
      </c>
      <c r="I2817" t="s">
        <v>36</v>
      </c>
      <c r="J2817" t="s">
        <v>24</v>
      </c>
      <c r="K2817" t="s">
        <v>1604</v>
      </c>
      <c r="L2817">
        <v>118</v>
      </c>
      <c r="M2817" t="str">
        <f t="shared" si="86"/>
        <v>Medium</v>
      </c>
      <c r="N2817" t="str">
        <f t="shared" si="87"/>
        <v>Excellent</v>
      </c>
    </row>
    <row r="2818" spans="1:14">
      <c r="A2818" t="s">
        <v>38</v>
      </c>
      <c r="B2818">
        <v>2012</v>
      </c>
      <c r="C2818" t="s">
        <v>6019</v>
      </c>
      <c r="D2818" t="s">
        <v>14</v>
      </c>
      <c r="E2818" t="s">
        <v>6020</v>
      </c>
      <c r="F2818" t="s">
        <v>16</v>
      </c>
      <c r="G2818">
        <v>6.94</v>
      </c>
      <c r="H2818">
        <v>56</v>
      </c>
      <c r="I2818" t="s">
        <v>23</v>
      </c>
      <c r="J2818" t="s">
        <v>37</v>
      </c>
      <c r="K2818" t="s">
        <v>6021</v>
      </c>
      <c r="L2818">
        <v>220</v>
      </c>
      <c r="M2818" t="str">
        <f t="shared" si="86"/>
        <v>Low</v>
      </c>
      <c r="N2818" t="str">
        <f t="shared" si="87"/>
        <v>Average</v>
      </c>
    </row>
    <row r="2819" spans="1:14">
      <c r="A2819" t="s">
        <v>12</v>
      </c>
      <c r="B2819">
        <v>2004</v>
      </c>
      <c r="C2819" t="s">
        <v>6022</v>
      </c>
      <c r="D2819" t="s">
        <v>14</v>
      </c>
      <c r="E2819" t="s">
        <v>6023</v>
      </c>
      <c r="F2819" t="s">
        <v>16</v>
      </c>
      <c r="G2819">
        <v>38.159999999999997</v>
      </c>
      <c r="H2819">
        <v>83</v>
      </c>
      <c r="I2819" t="s">
        <v>36</v>
      </c>
      <c r="J2819" t="s">
        <v>18</v>
      </c>
      <c r="K2819" t="s">
        <v>926</v>
      </c>
      <c r="L2819">
        <v>23</v>
      </c>
      <c r="M2819" t="str">
        <f t="shared" ref="M2819:M2882" si="88">IF(G2819&lt;15,"Low",IF(G2819&lt;35,"Medium","High"))</f>
        <v>High</v>
      </c>
      <c r="N2819" t="str">
        <f t="shared" ref="N2819:N2882" si="89">IF(H2819&gt;=90,"Excellent",IF(H2819&gt;=75,"Good","Average"))</f>
        <v>Good</v>
      </c>
    </row>
    <row r="2820" spans="1:14">
      <c r="A2820" t="s">
        <v>26</v>
      </c>
      <c r="B2820">
        <v>2011</v>
      </c>
      <c r="C2820" t="s">
        <v>6024</v>
      </c>
      <c r="D2820" t="s">
        <v>33</v>
      </c>
      <c r="E2820" t="s">
        <v>961</v>
      </c>
      <c r="F2820" t="s">
        <v>16</v>
      </c>
      <c r="G2820">
        <v>1.88</v>
      </c>
      <c r="H2820">
        <v>99</v>
      </c>
      <c r="I2820" t="s">
        <v>61</v>
      </c>
      <c r="J2820" t="s">
        <v>18</v>
      </c>
      <c r="K2820" t="s">
        <v>38</v>
      </c>
      <c r="L2820">
        <v>38</v>
      </c>
      <c r="M2820" t="str">
        <f t="shared" si="88"/>
        <v>Low</v>
      </c>
      <c r="N2820" t="str">
        <f t="shared" si="89"/>
        <v>Excellent</v>
      </c>
    </row>
    <row r="2821" spans="1:14">
      <c r="A2821" t="s">
        <v>47</v>
      </c>
      <c r="B2821">
        <v>2005</v>
      </c>
      <c r="C2821" t="s">
        <v>6025</v>
      </c>
      <c r="D2821" t="s">
        <v>33</v>
      </c>
      <c r="E2821" t="s">
        <v>6026</v>
      </c>
      <c r="F2821" t="s">
        <v>42</v>
      </c>
      <c r="G2821">
        <v>21.16</v>
      </c>
      <c r="H2821">
        <v>89</v>
      </c>
      <c r="I2821" t="s">
        <v>61</v>
      </c>
      <c r="J2821" t="s">
        <v>24</v>
      </c>
      <c r="K2821" t="s">
        <v>48</v>
      </c>
      <c r="L2821">
        <v>268</v>
      </c>
      <c r="M2821" t="str">
        <f t="shared" si="88"/>
        <v>Medium</v>
      </c>
      <c r="N2821" t="str">
        <f t="shared" si="89"/>
        <v>Good</v>
      </c>
    </row>
    <row r="2822" spans="1:14">
      <c r="A2822" t="s">
        <v>38</v>
      </c>
      <c r="B2822">
        <v>2006</v>
      </c>
      <c r="C2822" t="s">
        <v>6027</v>
      </c>
      <c r="D2822" t="s">
        <v>14</v>
      </c>
      <c r="E2822" t="s">
        <v>6028</v>
      </c>
      <c r="F2822" t="s">
        <v>35</v>
      </c>
      <c r="G2822">
        <v>35.17</v>
      </c>
      <c r="H2822">
        <v>98</v>
      </c>
      <c r="I2822" t="s">
        <v>17</v>
      </c>
      <c r="J2822" t="s">
        <v>37</v>
      </c>
      <c r="K2822" t="s">
        <v>39</v>
      </c>
      <c r="L2822">
        <v>11</v>
      </c>
      <c r="M2822" t="str">
        <f t="shared" si="88"/>
        <v>High</v>
      </c>
      <c r="N2822" t="str">
        <f t="shared" si="89"/>
        <v>Excellent</v>
      </c>
    </row>
    <row r="2823" spans="1:14">
      <c r="A2823" t="s">
        <v>65</v>
      </c>
      <c r="B2823">
        <v>2007</v>
      </c>
      <c r="C2823" t="s">
        <v>6029</v>
      </c>
      <c r="D2823" t="s">
        <v>33</v>
      </c>
      <c r="E2823" t="s">
        <v>6030</v>
      </c>
      <c r="F2823" t="s">
        <v>57</v>
      </c>
      <c r="G2823">
        <v>7.3</v>
      </c>
      <c r="H2823">
        <v>68</v>
      </c>
      <c r="I2823" t="s">
        <v>61</v>
      </c>
      <c r="J2823" t="s">
        <v>24</v>
      </c>
      <c r="K2823" t="s">
        <v>31</v>
      </c>
      <c r="L2823">
        <v>157</v>
      </c>
      <c r="M2823" t="str">
        <f t="shared" si="88"/>
        <v>Low</v>
      </c>
      <c r="N2823" t="str">
        <f t="shared" si="89"/>
        <v>Average</v>
      </c>
    </row>
    <row r="2824" spans="1:14">
      <c r="A2824" t="s">
        <v>20</v>
      </c>
      <c r="B2824">
        <v>2013</v>
      </c>
      <c r="C2824" t="s">
        <v>6031</v>
      </c>
      <c r="D2824" t="s">
        <v>14</v>
      </c>
      <c r="E2824" t="s">
        <v>6032</v>
      </c>
      <c r="F2824" t="s">
        <v>35</v>
      </c>
      <c r="G2824">
        <v>44.08</v>
      </c>
      <c r="H2824">
        <v>82</v>
      </c>
      <c r="I2824" t="s">
        <v>17</v>
      </c>
      <c r="J2824" t="s">
        <v>37</v>
      </c>
      <c r="K2824" t="s">
        <v>94</v>
      </c>
      <c r="L2824">
        <v>214</v>
      </c>
      <c r="M2824" t="str">
        <f t="shared" si="88"/>
        <v>High</v>
      </c>
      <c r="N2824" t="str">
        <f t="shared" si="89"/>
        <v>Good</v>
      </c>
    </row>
    <row r="2825" spans="1:14">
      <c r="A2825" t="s">
        <v>65</v>
      </c>
      <c r="B2825">
        <v>2015</v>
      </c>
      <c r="C2825" t="s">
        <v>6033</v>
      </c>
      <c r="D2825" t="s">
        <v>14</v>
      </c>
      <c r="E2825" t="s">
        <v>5262</v>
      </c>
      <c r="F2825" t="s">
        <v>42</v>
      </c>
      <c r="G2825">
        <v>44.81</v>
      </c>
      <c r="H2825">
        <v>79</v>
      </c>
      <c r="I2825" t="s">
        <v>61</v>
      </c>
      <c r="J2825" t="s">
        <v>24</v>
      </c>
      <c r="K2825" t="s">
        <v>1385</v>
      </c>
      <c r="L2825">
        <v>187</v>
      </c>
      <c r="M2825" t="str">
        <f t="shared" si="88"/>
        <v>High</v>
      </c>
      <c r="N2825" t="str">
        <f t="shared" si="89"/>
        <v>Good</v>
      </c>
    </row>
    <row r="2826" spans="1:14">
      <c r="A2826" t="s">
        <v>38</v>
      </c>
      <c r="B2826">
        <v>2009</v>
      </c>
      <c r="C2826" t="s">
        <v>6034</v>
      </c>
      <c r="D2826" t="s">
        <v>14</v>
      </c>
      <c r="E2826" t="s">
        <v>6035</v>
      </c>
      <c r="F2826" t="s">
        <v>42</v>
      </c>
      <c r="G2826">
        <v>47.25</v>
      </c>
      <c r="H2826">
        <v>52</v>
      </c>
      <c r="I2826" t="s">
        <v>61</v>
      </c>
      <c r="J2826" t="s">
        <v>37</v>
      </c>
      <c r="K2826" t="s">
        <v>1234</v>
      </c>
      <c r="L2826">
        <v>294</v>
      </c>
      <c r="M2826" t="str">
        <f t="shared" si="88"/>
        <v>High</v>
      </c>
      <c r="N2826" t="str">
        <f t="shared" si="89"/>
        <v>Average</v>
      </c>
    </row>
    <row r="2827" spans="1:14">
      <c r="A2827" t="s">
        <v>65</v>
      </c>
      <c r="B2827">
        <v>2024</v>
      </c>
      <c r="C2827" t="s">
        <v>6036</v>
      </c>
      <c r="D2827" t="s">
        <v>14</v>
      </c>
      <c r="E2827" t="s">
        <v>6037</v>
      </c>
      <c r="F2827" t="s">
        <v>16</v>
      </c>
      <c r="G2827">
        <v>13.04</v>
      </c>
      <c r="H2827">
        <v>89</v>
      </c>
      <c r="I2827" t="s">
        <v>36</v>
      </c>
      <c r="J2827" t="s">
        <v>24</v>
      </c>
      <c r="K2827" t="s">
        <v>68</v>
      </c>
      <c r="L2827">
        <v>80</v>
      </c>
      <c r="M2827" t="str">
        <f t="shared" si="88"/>
        <v>Low</v>
      </c>
      <c r="N2827" t="str">
        <f t="shared" si="89"/>
        <v>Good</v>
      </c>
    </row>
    <row r="2828" spans="1:14">
      <c r="A2828" t="s">
        <v>47</v>
      </c>
      <c r="B2828">
        <v>2022</v>
      </c>
      <c r="C2828" t="s">
        <v>6038</v>
      </c>
      <c r="D2828" t="s">
        <v>33</v>
      </c>
      <c r="E2828" t="s">
        <v>6039</v>
      </c>
      <c r="F2828" t="s">
        <v>16</v>
      </c>
      <c r="G2828">
        <v>12.22</v>
      </c>
      <c r="H2828">
        <v>84</v>
      </c>
      <c r="I2828" t="s">
        <v>36</v>
      </c>
      <c r="J2828" t="s">
        <v>24</v>
      </c>
      <c r="K2828" t="s">
        <v>48</v>
      </c>
      <c r="L2828">
        <v>146</v>
      </c>
      <c r="M2828" t="str">
        <f t="shared" si="88"/>
        <v>Low</v>
      </c>
      <c r="N2828" t="str">
        <f t="shared" si="89"/>
        <v>Good</v>
      </c>
    </row>
    <row r="2829" spans="1:14">
      <c r="A2829" t="s">
        <v>39</v>
      </c>
      <c r="B2829">
        <v>2019</v>
      </c>
      <c r="C2829" t="s">
        <v>6040</v>
      </c>
      <c r="D2829" t="s">
        <v>14</v>
      </c>
      <c r="E2829" t="s">
        <v>6041</v>
      </c>
      <c r="F2829" t="s">
        <v>16</v>
      </c>
      <c r="G2829">
        <v>24.06</v>
      </c>
      <c r="H2829">
        <v>66</v>
      </c>
      <c r="I2829" t="s">
        <v>23</v>
      </c>
      <c r="J2829" t="s">
        <v>24</v>
      </c>
      <c r="K2829" t="s">
        <v>39</v>
      </c>
      <c r="L2829">
        <v>38</v>
      </c>
      <c r="M2829" t="str">
        <f t="shared" si="88"/>
        <v>Medium</v>
      </c>
      <c r="N2829" t="str">
        <f t="shared" si="89"/>
        <v>Average</v>
      </c>
    </row>
    <row r="2830" spans="1:14">
      <c r="A2830" t="s">
        <v>26</v>
      </c>
      <c r="B2830">
        <v>2014</v>
      </c>
      <c r="C2830" t="s">
        <v>6042</v>
      </c>
      <c r="D2830" t="s">
        <v>33</v>
      </c>
      <c r="E2830" t="s">
        <v>6043</v>
      </c>
      <c r="F2830" t="s">
        <v>57</v>
      </c>
      <c r="G2830">
        <v>45.77</v>
      </c>
      <c r="H2830">
        <v>94</v>
      </c>
      <c r="I2830" t="s">
        <v>17</v>
      </c>
      <c r="J2830" t="s">
        <v>24</v>
      </c>
      <c r="K2830" t="s">
        <v>457</v>
      </c>
      <c r="L2830">
        <v>345</v>
      </c>
      <c r="M2830" t="str">
        <f t="shared" si="88"/>
        <v>High</v>
      </c>
      <c r="N2830" t="str">
        <f t="shared" si="89"/>
        <v>Excellent</v>
      </c>
    </row>
    <row r="2831" spans="1:14">
      <c r="A2831" t="s">
        <v>48</v>
      </c>
      <c r="B2831">
        <v>2002</v>
      </c>
      <c r="C2831" t="s">
        <v>6044</v>
      </c>
      <c r="D2831" t="s">
        <v>14</v>
      </c>
      <c r="E2831" t="s">
        <v>2948</v>
      </c>
      <c r="F2831" t="s">
        <v>57</v>
      </c>
      <c r="G2831">
        <v>4.6500000000000004</v>
      </c>
      <c r="H2831">
        <v>76</v>
      </c>
      <c r="I2831" t="s">
        <v>36</v>
      </c>
      <c r="J2831" t="s">
        <v>37</v>
      </c>
      <c r="K2831" t="s">
        <v>498</v>
      </c>
      <c r="L2831">
        <v>231</v>
      </c>
      <c r="M2831" t="str">
        <f t="shared" si="88"/>
        <v>Low</v>
      </c>
      <c r="N2831" t="str">
        <f t="shared" si="89"/>
        <v>Good</v>
      </c>
    </row>
    <row r="2832" spans="1:14">
      <c r="A2832" t="s">
        <v>26</v>
      </c>
      <c r="B2832">
        <v>2019</v>
      </c>
      <c r="C2832" t="s">
        <v>6045</v>
      </c>
      <c r="D2832" t="s">
        <v>14</v>
      </c>
      <c r="E2832" t="s">
        <v>6046</v>
      </c>
      <c r="F2832" t="s">
        <v>35</v>
      </c>
      <c r="G2832">
        <v>2.94</v>
      </c>
      <c r="H2832">
        <v>96</v>
      </c>
      <c r="I2832" t="s">
        <v>23</v>
      </c>
      <c r="J2832" t="s">
        <v>18</v>
      </c>
      <c r="K2832" t="s">
        <v>513</v>
      </c>
      <c r="L2832">
        <v>279</v>
      </c>
      <c r="M2832" t="str">
        <f t="shared" si="88"/>
        <v>Low</v>
      </c>
      <c r="N2832" t="str">
        <f t="shared" si="89"/>
        <v>Excellent</v>
      </c>
    </row>
    <row r="2833" spans="1:14">
      <c r="A2833" t="s">
        <v>26</v>
      </c>
      <c r="B2833">
        <v>2011</v>
      </c>
      <c r="C2833" t="s">
        <v>6047</v>
      </c>
      <c r="D2833" t="s">
        <v>33</v>
      </c>
      <c r="E2833" t="s">
        <v>3522</v>
      </c>
      <c r="F2833" t="s">
        <v>16</v>
      </c>
      <c r="G2833">
        <v>26.81</v>
      </c>
      <c r="H2833">
        <v>56</v>
      </c>
      <c r="I2833" t="s">
        <v>17</v>
      </c>
      <c r="J2833" t="s">
        <v>37</v>
      </c>
      <c r="K2833" t="s">
        <v>68</v>
      </c>
      <c r="L2833">
        <v>327</v>
      </c>
      <c r="M2833" t="str">
        <f t="shared" si="88"/>
        <v>Medium</v>
      </c>
      <c r="N2833" t="str">
        <f t="shared" si="89"/>
        <v>Average</v>
      </c>
    </row>
    <row r="2834" spans="1:14">
      <c r="A2834" t="s">
        <v>39</v>
      </c>
      <c r="B2834">
        <v>2004</v>
      </c>
      <c r="C2834" t="s">
        <v>6048</v>
      </c>
      <c r="D2834" t="s">
        <v>33</v>
      </c>
      <c r="E2834" t="s">
        <v>6049</v>
      </c>
      <c r="F2834" t="s">
        <v>16</v>
      </c>
      <c r="G2834">
        <v>39.58</v>
      </c>
      <c r="H2834">
        <v>92</v>
      </c>
      <c r="I2834" t="s">
        <v>23</v>
      </c>
      <c r="J2834" t="s">
        <v>37</v>
      </c>
      <c r="K2834" t="s">
        <v>320</v>
      </c>
      <c r="L2834">
        <v>102</v>
      </c>
      <c r="M2834" t="str">
        <f t="shared" si="88"/>
        <v>High</v>
      </c>
      <c r="N2834" t="str">
        <f t="shared" si="89"/>
        <v>Excellent</v>
      </c>
    </row>
    <row r="2835" spans="1:14">
      <c r="A2835" t="s">
        <v>65</v>
      </c>
      <c r="B2835">
        <v>2004</v>
      </c>
      <c r="C2835" t="s">
        <v>6050</v>
      </c>
      <c r="D2835" t="s">
        <v>33</v>
      </c>
      <c r="E2835" t="s">
        <v>6051</v>
      </c>
      <c r="F2835" t="s">
        <v>57</v>
      </c>
      <c r="G2835">
        <v>7.59</v>
      </c>
      <c r="H2835">
        <v>71</v>
      </c>
      <c r="I2835" t="s">
        <v>36</v>
      </c>
      <c r="J2835" t="s">
        <v>18</v>
      </c>
      <c r="K2835" t="s">
        <v>209</v>
      </c>
      <c r="L2835">
        <v>353</v>
      </c>
      <c r="M2835" t="str">
        <f t="shared" si="88"/>
        <v>Low</v>
      </c>
      <c r="N2835" t="str">
        <f t="shared" si="89"/>
        <v>Average</v>
      </c>
    </row>
    <row r="2836" spans="1:14">
      <c r="A2836" t="s">
        <v>20</v>
      </c>
      <c r="B2836">
        <v>2013</v>
      </c>
      <c r="C2836" t="s">
        <v>6052</v>
      </c>
      <c r="D2836" t="s">
        <v>14</v>
      </c>
      <c r="E2836" t="s">
        <v>6053</v>
      </c>
      <c r="F2836" t="s">
        <v>16</v>
      </c>
      <c r="G2836">
        <v>10.35</v>
      </c>
      <c r="H2836">
        <v>86</v>
      </c>
      <c r="I2836" t="s">
        <v>36</v>
      </c>
      <c r="J2836" t="s">
        <v>24</v>
      </c>
      <c r="K2836" t="s">
        <v>6054</v>
      </c>
      <c r="L2836">
        <v>32</v>
      </c>
      <c r="M2836" t="str">
        <f t="shared" si="88"/>
        <v>Low</v>
      </c>
      <c r="N2836" t="str">
        <f t="shared" si="89"/>
        <v>Good</v>
      </c>
    </row>
    <row r="2837" spans="1:14">
      <c r="A2837" t="s">
        <v>47</v>
      </c>
      <c r="B2837">
        <v>2021</v>
      </c>
      <c r="C2837" t="s">
        <v>6055</v>
      </c>
      <c r="D2837" t="s">
        <v>33</v>
      </c>
      <c r="E2837" t="s">
        <v>6056</v>
      </c>
      <c r="F2837" t="s">
        <v>35</v>
      </c>
      <c r="G2837">
        <v>39.58</v>
      </c>
      <c r="H2837">
        <v>55</v>
      </c>
      <c r="I2837" t="s">
        <v>23</v>
      </c>
      <c r="J2837" t="s">
        <v>24</v>
      </c>
      <c r="K2837" t="s">
        <v>38</v>
      </c>
      <c r="L2837">
        <v>242</v>
      </c>
      <c r="M2837" t="str">
        <f t="shared" si="88"/>
        <v>High</v>
      </c>
      <c r="N2837" t="str">
        <f t="shared" si="89"/>
        <v>Average</v>
      </c>
    </row>
    <row r="2838" spans="1:14">
      <c r="A2838" t="s">
        <v>39</v>
      </c>
      <c r="B2838">
        <v>2011</v>
      </c>
      <c r="C2838" t="s">
        <v>6057</v>
      </c>
      <c r="D2838" t="s">
        <v>33</v>
      </c>
      <c r="E2838" t="s">
        <v>6058</v>
      </c>
      <c r="F2838" t="s">
        <v>35</v>
      </c>
      <c r="G2838">
        <v>45.46</v>
      </c>
      <c r="H2838">
        <v>86</v>
      </c>
      <c r="I2838" t="s">
        <v>36</v>
      </c>
      <c r="J2838" t="s">
        <v>24</v>
      </c>
      <c r="K2838" t="s">
        <v>1019</v>
      </c>
      <c r="L2838">
        <v>299</v>
      </c>
      <c r="M2838" t="str">
        <f t="shared" si="88"/>
        <v>High</v>
      </c>
      <c r="N2838" t="str">
        <f t="shared" si="89"/>
        <v>Good</v>
      </c>
    </row>
    <row r="2839" spans="1:14">
      <c r="A2839" t="s">
        <v>65</v>
      </c>
      <c r="B2839">
        <v>2001</v>
      </c>
      <c r="C2839" t="s">
        <v>6059</v>
      </c>
      <c r="D2839" t="s">
        <v>14</v>
      </c>
      <c r="E2839" t="s">
        <v>6060</v>
      </c>
      <c r="F2839" t="s">
        <v>42</v>
      </c>
      <c r="G2839">
        <v>12.97</v>
      </c>
      <c r="H2839">
        <v>86</v>
      </c>
      <c r="I2839" t="s">
        <v>61</v>
      </c>
      <c r="J2839" t="s">
        <v>37</v>
      </c>
      <c r="K2839" t="s">
        <v>1172</v>
      </c>
      <c r="L2839">
        <v>13</v>
      </c>
      <c r="M2839" t="str">
        <f t="shared" si="88"/>
        <v>Low</v>
      </c>
      <c r="N2839" t="str">
        <f t="shared" si="89"/>
        <v>Good</v>
      </c>
    </row>
    <row r="2840" spans="1:14">
      <c r="A2840" t="s">
        <v>20</v>
      </c>
      <c r="B2840">
        <v>2020</v>
      </c>
      <c r="C2840" t="s">
        <v>6061</v>
      </c>
      <c r="D2840" t="s">
        <v>33</v>
      </c>
      <c r="E2840" t="s">
        <v>6062</v>
      </c>
      <c r="F2840" t="s">
        <v>16</v>
      </c>
      <c r="G2840">
        <v>25.63</v>
      </c>
      <c r="H2840">
        <v>84</v>
      </c>
      <c r="I2840" t="s">
        <v>61</v>
      </c>
      <c r="J2840" t="s">
        <v>18</v>
      </c>
      <c r="K2840" t="s">
        <v>5130</v>
      </c>
      <c r="L2840">
        <v>200</v>
      </c>
      <c r="M2840" t="str">
        <f t="shared" si="88"/>
        <v>Medium</v>
      </c>
      <c r="N2840" t="str">
        <f t="shared" si="89"/>
        <v>Good</v>
      </c>
    </row>
    <row r="2841" spans="1:14">
      <c r="A2841" t="s">
        <v>48</v>
      </c>
      <c r="B2841">
        <v>2024</v>
      </c>
      <c r="C2841" t="s">
        <v>6063</v>
      </c>
      <c r="D2841" t="s">
        <v>33</v>
      </c>
      <c r="E2841" t="s">
        <v>6064</v>
      </c>
      <c r="F2841" t="s">
        <v>46</v>
      </c>
      <c r="G2841">
        <v>28.33</v>
      </c>
      <c r="H2841">
        <v>77</v>
      </c>
      <c r="I2841" t="s">
        <v>61</v>
      </c>
      <c r="J2841" t="s">
        <v>18</v>
      </c>
      <c r="K2841" t="s">
        <v>513</v>
      </c>
      <c r="L2841">
        <v>68</v>
      </c>
      <c r="M2841" t="str">
        <f t="shared" si="88"/>
        <v>Medium</v>
      </c>
      <c r="N2841" t="str">
        <f t="shared" si="89"/>
        <v>Good</v>
      </c>
    </row>
    <row r="2842" spans="1:14">
      <c r="A2842" t="s">
        <v>47</v>
      </c>
      <c r="B2842">
        <v>2010</v>
      </c>
      <c r="C2842" t="s">
        <v>6065</v>
      </c>
      <c r="D2842" t="s">
        <v>14</v>
      </c>
      <c r="E2842" t="s">
        <v>5459</v>
      </c>
      <c r="F2842" t="s">
        <v>57</v>
      </c>
      <c r="G2842">
        <v>15.22</v>
      </c>
      <c r="H2842">
        <v>69</v>
      </c>
      <c r="I2842" t="s">
        <v>36</v>
      </c>
      <c r="J2842" t="s">
        <v>37</v>
      </c>
      <c r="K2842" t="s">
        <v>6066</v>
      </c>
      <c r="L2842">
        <v>136</v>
      </c>
      <c r="M2842" t="str">
        <f t="shared" si="88"/>
        <v>Medium</v>
      </c>
      <c r="N2842" t="str">
        <f t="shared" si="89"/>
        <v>Average</v>
      </c>
    </row>
    <row r="2843" spans="1:14">
      <c r="A2843" t="s">
        <v>12</v>
      </c>
      <c r="B2843">
        <v>2018</v>
      </c>
      <c r="C2843" t="s">
        <v>6067</v>
      </c>
      <c r="D2843" t="s">
        <v>33</v>
      </c>
      <c r="E2843" t="s">
        <v>6068</v>
      </c>
      <c r="F2843" t="s">
        <v>16</v>
      </c>
      <c r="G2843">
        <v>46.56</v>
      </c>
      <c r="H2843">
        <v>91</v>
      </c>
      <c r="I2843" t="s">
        <v>36</v>
      </c>
      <c r="J2843" t="s">
        <v>24</v>
      </c>
      <c r="K2843" t="s">
        <v>47</v>
      </c>
      <c r="L2843">
        <v>255</v>
      </c>
      <c r="M2843" t="str">
        <f t="shared" si="88"/>
        <v>High</v>
      </c>
      <c r="N2843" t="str">
        <f t="shared" si="89"/>
        <v>Excellent</v>
      </c>
    </row>
    <row r="2844" spans="1:14">
      <c r="A2844" t="s">
        <v>39</v>
      </c>
      <c r="B2844">
        <v>2015</v>
      </c>
      <c r="C2844" t="s">
        <v>6069</v>
      </c>
      <c r="D2844" t="s">
        <v>33</v>
      </c>
      <c r="E2844" t="s">
        <v>6070</v>
      </c>
      <c r="F2844" t="s">
        <v>57</v>
      </c>
      <c r="G2844">
        <v>20.69</v>
      </c>
      <c r="H2844">
        <v>76</v>
      </c>
      <c r="I2844" t="s">
        <v>36</v>
      </c>
      <c r="J2844" t="s">
        <v>24</v>
      </c>
      <c r="K2844" t="s">
        <v>2056</v>
      </c>
      <c r="L2844">
        <v>210</v>
      </c>
      <c r="M2844" t="str">
        <f t="shared" si="88"/>
        <v>Medium</v>
      </c>
      <c r="N2844" t="str">
        <f t="shared" si="89"/>
        <v>Good</v>
      </c>
    </row>
    <row r="2845" spans="1:14">
      <c r="A2845" t="s">
        <v>65</v>
      </c>
      <c r="B2845">
        <v>2021</v>
      </c>
      <c r="C2845" t="s">
        <v>6071</v>
      </c>
      <c r="D2845" t="s">
        <v>33</v>
      </c>
      <c r="E2845" t="s">
        <v>6072</v>
      </c>
      <c r="F2845" t="s">
        <v>42</v>
      </c>
      <c r="G2845">
        <v>5.8</v>
      </c>
      <c r="H2845">
        <v>86</v>
      </c>
      <c r="I2845" t="s">
        <v>17</v>
      </c>
      <c r="J2845" t="s">
        <v>37</v>
      </c>
      <c r="K2845" t="s">
        <v>286</v>
      </c>
      <c r="L2845">
        <v>67</v>
      </c>
      <c r="M2845" t="str">
        <f t="shared" si="88"/>
        <v>Low</v>
      </c>
      <c r="N2845" t="str">
        <f t="shared" si="89"/>
        <v>Good</v>
      </c>
    </row>
    <row r="2846" spans="1:14">
      <c r="A2846" t="s">
        <v>47</v>
      </c>
      <c r="B2846">
        <v>2017</v>
      </c>
      <c r="C2846" t="s">
        <v>6073</v>
      </c>
      <c r="D2846" t="s">
        <v>33</v>
      </c>
      <c r="E2846" t="s">
        <v>6074</v>
      </c>
      <c r="F2846" t="s">
        <v>57</v>
      </c>
      <c r="G2846">
        <v>8.09</v>
      </c>
      <c r="H2846">
        <v>63</v>
      </c>
      <c r="I2846" t="s">
        <v>29</v>
      </c>
      <c r="J2846" t="s">
        <v>18</v>
      </c>
      <c r="K2846" t="s">
        <v>2315</v>
      </c>
      <c r="L2846">
        <v>288</v>
      </c>
      <c r="M2846" t="str">
        <f t="shared" si="88"/>
        <v>Low</v>
      </c>
      <c r="N2846" t="str">
        <f t="shared" si="89"/>
        <v>Average</v>
      </c>
    </row>
    <row r="2847" spans="1:14">
      <c r="A2847" t="s">
        <v>38</v>
      </c>
      <c r="B2847">
        <v>2025</v>
      </c>
      <c r="C2847" t="s">
        <v>6075</v>
      </c>
      <c r="D2847" t="s">
        <v>14</v>
      </c>
      <c r="E2847" t="s">
        <v>6076</v>
      </c>
      <c r="F2847" t="s">
        <v>57</v>
      </c>
      <c r="G2847">
        <v>1.53</v>
      </c>
      <c r="H2847">
        <v>50</v>
      </c>
      <c r="I2847" t="s">
        <v>17</v>
      </c>
      <c r="J2847" t="s">
        <v>18</v>
      </c>
      <c r="K2847" t="s">
        <v>6077</v>
      </c>
      <c r="L2847">
        <v>122</v>
      </c>
      <c r="M2847" t="str">
        <f t="shared" si="88"/>
        <v>Low</v>
      </c>
      <c r="N2847" t="str">
        <f t="shared" si="89"/>
        <v>Average</v>
      </c>
    </row>
    <row r="2848" spans="1:14">
      <c r="A2848" t="s">
        <v>47</v>
      </c>
      <c r="B2848">
        <v>2004</v>
      </c>
      <c r="C2848" t="s">
        <v>6078</v>
      </c>
      <c r="D2848" t="s">
        <v>14</v>
      </c>
      <c r="E2848" t="s">
        <v>6079</v>
      </c>
      <c r="F2848" t="s">
        <v>46</v>
      </c>
      <c r="G2848">
        <v>12</v>
      </c>
      <c r="H2848">
        <v>51</v>
      </c>
      <c r="I2848" t="s">
        <v>61</v>
      </c>
      <c r="J2848" t="s">
        <v>24</v>
      </c>
      <c r="K2848" t="s">
        <v>1816</v>
      </c>
      <c r="L2848">
        <v>176</v>
      </c>
      <c r="M2848" t="str">
        <f t="shared" si="88"/>
        <v>Low</v>
      </c>
      <c r="N2848" t="str">
        <f t="shared" si="89"/>
        <v>Average</v>
      </c>
    </row>
    <row r="2849" spans="1:14">
      <c r="A2849" t="s">
        <v>48</v>
      </c>
      <c r="B2849">
        <v>2018</v>
      </c>
      <c r="C2849" t="s">
        <v>6080</v>
      </c>
      <c r="D2849" t="s">
        <v>14</v>
      </c>
      <c r="E2849" t="s">
        <v>6081</v>
      </c>
      <c r="F2849" t="s">
        <v>57</v>
      </c>
      <c r="G2849">
        <v>47.61</v>
      </c>
      <c r="H2849">
        <v>65</v>
      </c>
      <c r="I2849" t="s">
        <v>29</v>
      </c>
      <c r="J2849" t="s">
        <v>24</v>
      </c>
      <c r="K2849" t="s">
        <v>78</v>
      </c>
      <c r="L2849">
        <v>30</v>
      </c>
      <c r="M2849" t="str">
        <f t="shared" si="88"/>
        <v>High</v>
      </c>
      <c r="N2849" t="str">
        <f t="shared" si="89"/>
        <v>Average</v>
      </c>
    </row>
    <row r="2850" spans="1:14">
      <c r="A2850" t="s">
        <v>20</v>
      </c>
      <c r="B2850">
        <v>2006</v>
      </c>
      <c r="C2850" t="s">
        <v>6082</v>
      </c>
      <c r="D2850" t="s">
        <v>14</v>
      </c>
      <c r="E2850" t="s">
        <v>6083</v>
      </c>
      <c r="F2850" t="s">
        <v>42</v>
      </c>
      <c r="G2850">
        <v>16.489999999999998</v>
      </c>
      <c r="H2850">
        <v>53</v>
      </c>
      <c r="I2850" t="s">
        <v>61</v>
      </c>
      <c r="J2850" t="s">
        <v>18</v>
      </c>
      <c r="K2850" t="s">
        <v>508</v>
      </c>
      <c r="L2850">
        <v>190</v>
      </c>
      <c r="M2850" t="str">
        <f t="shared" si="88"/>
        <v>Medium</v>
      </c>
      <c r="N2850" t="str">
        <f t="shared" si="89"/>
        <v>Average</v>
      </c>
    </row>
    <row r="2851" spans="1:14">
      <c r="A2851" t="s">
        <v>48</v>
      </c>
      <c r="B2851">
        <v>2022</v>
      </c>
      <c r="C2851" t="s">
        <v>6084</v>
      </c>
      <c r="D2851" t="s">
        <v>33</v>
      </c>
      <c r="E2851" t="s">
        <v>6085</v>
      </c>
      <c r="F2851" t="s">
        <v>16</v>
      </c>
      <c r="G2851">
        <v>43.1</v>
      </c>
      <c r="H2851">
        <v>85</v>
      </c>
      <c r="I2851" t="s">
        <v>36</v>
      </c>
      <c r="J2851" t="s">
        <v>18</v>
      </c>
      <c r="K2851" t="s">
        <v>129</v>
      </c>
      <c r="L2851">
        <v>149</v>
      </c>
      <c r="M2851" t="str">
        <f t="shared" si="88"/>
        <v>High</v>
      </c>
      <c r="N2851" t="str">
        <f t="shared" si="89"/>
        <v>Good</v>
      </c>
    </row>
    <row r="2852" spans="1:14">
      <c r="A2852" t="s">
        <v>26</v>
      </c>
      <c r="B2852">
        <v>2012</v>
      </c>
      <c r="C2852" t="s">
        <v>6086</v>
      </c>
      <c r="D2852" t="s">
        <v>14</v>
      </c>
      <c r="E2852" t="s">
        <v>570</v>
      </c>
      <c r="F2852" t="s">
        <v>35</v>
      </c>
      <c r="G2852">
        <v>27.41</v>
      </c>
      <c r="H2852">
        <v>91</v>
      </c>
      <c r="I2852" t="s">
        <v>29</v>
      </c>
      <c r="J2852" t="s">
        <v>24</v>
      </c>
      <c r="K2852" t="s">
        <v>839</v>
      </c>
      <c r="L2852">
        <v>213</v>
      </c>
      <c r="M2852" t="str">
        <f t="shared" si="88"/>
        <v>Medium</v>
      </c>
      <c r="N2852" t="str">
        <f t="shared" si="89"/>
        <v>Excellent</v>
      </c>
    </row>
    <row r="2853" spans="1:14">
      <c r="A2853" t="s">
        <v>39</v>
      </c>
      <c r="B2853">
        <v>2024</v>
      </c>
      <c r="C2853" t="s">
        <v>6087</v>
      </c>
      <c r="D2853" t="s">
        <v>14</v>
      </c>
      <c r="E2853" t="s">
        <v>6088</v>
      </c>
      <c r="F2853" t="s">
        <v>16</v>
      </c>
      <c r="G2853">
        <v>33.81</v>
      </c>
      <c r="H2853">
        <v>81</v>
      </c>
      <c r="I2853" t="s">
        <v>36</v>
      </c>
      <c r="J2853" t="s">
        <v>37</v>
      </c>
      <c r="K2853" t="s">
        <v>31</v>
      </c>
      <c r="L2853">
        <v>101</v>
      </c>
      <c r="M2853" t="str">
        <f t="shared" si="88"/>
        <v>Medium</v>
      </c>
      <c r="N2853" t="str">
        <f t="shared" si="89"/>
        <v>Good</v>
      </c>
    </row>
    <row r="2854" spans="1:14">
      <c r="A2854" t="s">
        <v>39</v>
      </c>
      <c r="B2854">
        <v>2013</v>
      </c>
      <c r="C2854" t="s">
        <v>6089</v>
      </c>
      <c r="D2854" t="s">
        <v>14</v>
      </c>
      <c r="E2854" t="s">
        <v>6090</v>
      </c>
      <c r="F2854" t="s">
        <v>35</v>
      </c>
      <c r="G2854">
        <v>25.88</v>
      </c>
      <c r="H2854">
        <v>56</v>
      </c>
      <c r="I2854" t="s">
        <v>29</v>
      </c>
      <c r="J2854" t="s">
        <v>37</v>
      </c>
      <c r="K2854" t="s">
        <v>6091</v>
      </c>
      <c r="L2854">
        <v>27</v>
      </c>
      <c r="M2854" t="str">
        <f t="shared" si="88"/>
        <v>Medium</v>
      </c>
      <c r="N2854" t="str">
        <f t="shared" si="89"/>
        <v>Average</v>
      </c>
    </row>
    <row r="2855" spans="1:14">
      <c r="A2855" t="s">
        <v>65</v>
      </c>
      <c r="B2855">
        <v>2015</v>
      </c>
      <c r="C2855" t="s">
        <v>6092</v>
      </c>
      <c r="D2855" t="s">
        <v>33</v>
      </c>
      <c r="E2855" t="s">
        <v>6093</v>
      </c>
      <c r="F2855" t="s">
        <v>57</v>
      </c>
      <c r="G2855">
        <v>33.68</v>
      </c>
      <c r="H2855">
        <v>100</v>
      </c>
      <c r="I2855" t="s">
        <v>61</v>
      </c>
      <c r="J2855" t="s">
        <v>18</v>
      </c>
      <c r="K2855" t="s">
        <v>6094</v>
      </c>
      <c r="L2855">
        <v>191</v>
      </c>
      <c r="M2855" t="str">
        <f t="shared" si="88"/>
        <v>Medium</v>
      </c>
      <c r="N2855" t="str">
        <f t="shared" si="89"/>
        <v>Excellent</v>
      </c>
    </row>
    <row r="2856" spans="1:14">
      <c r="A2856" t="s">
        <v>65</v>
      </c>
      <c r="B2856">
        <v>2024</v>
      </c>
      <c r="C2856" t="s">
        <v>6095</v>
      </c>
      <c r="D2856" t="s">
        <v>33</v>
      </c>
      <c r="E2856" t="s">
        <v>6096</v>
      </c>
      <c r="F2856" t="s">
        <v>46</v>
      </c>
      <c r="G2856">
        <v>38.549999999999997</v>
      </c>
      <c r="H2856">
        <v>89</v>
      </c>
      <c r="I2856" t="s">
        <v>17</v>
      </c>
      <c r="J2856" t="s">
        <v>18</v>
      </c>
      <c r="K2856" t="s">
        <v>65</v>
      </c>
      <c r="L2856">
        <v>236</v>
      </c>
      <c r="M2856" t="str">
        <f t="shared" si="88"/>
        <v>High</v>
      </c>
      <c r="N2856" t="str">
        <f t="shared" si="89"/>
        <v>Good</v>
      </c>
    </row>
    <row r="2857" spans="1:14">
      <c r="A2857" t="s">
        <v>26</v>
      </c>
      <c r="B2857">
        <v>2021</v>
      </c>
      <c r="C2857" t="s">
        <v>6097</v>
      </c>
      <c r="D2857" t="s">
        <v>33</v>
      </c>
      <c r="E2857" t="s">
        <v>6098</v>
      </c>
      <c r="F2857" t="s">
        <v>57</v>
      </c>
      <c r="G2857">
        <v>4.17</v>
      </c>
      <c r="H2857">
        <v>97</v>
      </c>
      <c r="I2857" t="s">
        <v>36</v>
      </c>
      <c r="J2857" t="s">
        <v>24</v>
      </c>
      <c r="K2857" t="s">
        <v>65</v>
      </c>
      <c r="L2857">
        <v>152</v>
      </c>
      <c r="M2857" t="str">
        <f t="shared" si="88"/>
        <v>Low</v>
      </c>
      <c r="N2857" t="str">
        <f t="shared" si="89"/>
        <v>Excellent</v>
      </c>
    </row>
    <row r="2858" spans="1:14">
      <c r="A2858" t="s">
        <v>20</v>
      </c>
      <c r="B2858">
        <v>2021</v>
      </c>
      <c r="C2858" t="s">
        <v>6099</v>
      </c>
      <c r="D2858" t="s">
        <v>33</v>
      </c>
      <c r="E2858" t="s">
        <v>6100</v>
      </c>
      <c r="F2858" t="s">
        <v>57</v>
      </c>
      <c r="G2858">
        <v>33.840000000000003</v>
      </c>
      <c r="H2858">
        <v>65</v>
      </c>
      <c r="I2858" t="s">
        <v>29</v>
      </c>
      <c r="J2858" t="s">
        <v>37</v>
      </c>
      <c r="K2858" t="s">
        <v>651</v>
      </c>
      <c r="L2858">
        <v>246</v>
      </c>
      <c r="M2858" t="str">
        <f t="shared" si="88"/>
        <v>Medium</v>
      </c>
      <c r="N2858" t="str">
        <f t="shared" si="89"/>
        <v>Average</v>
      </c>
    </row>
    <row r="2859" spans="1:14">
      <c r="A2859" t="s">
        <v>12</v>
      </c>
      <c r="B2859">
        <v>2018</v>
      </c>
      <c r="C2859" t="s">
        <v>6101</v>
      </c>
      <c r="D2859" t="s">
        <v>33</v>
      </c>
      <c r="E2859" t="s">
        <v>414</v>
      </c>
      <c r="F2859" t="s">
        <v>35</v>
      </c>
      <c r="G2859">
        <v>19.29</v>
      </c>
      <c r="H2859">
        <v>88</v>
      </c>
      <c r="I2859" t="s">
        <v>23</v>
      </c>
      <c r="J2859" t="s">
        <v>18</v>
      </c>
      <c r="K2859" t="s">
        <v>1141</v>
      </c>
      <c r="L2859">
        <v>90</v>
      </c>
      <c r="M2859" t="str">
        <f t="shared" si="88"/>
        <v>Medium</v>
      </c>
      <c r="N2859" t="str">
        <f t="shared" si="89"/>
        <v>Good</v>
      </c>
    </row>
    <row r="2860" spans="1:14">
      <c r="A2860" t="s">
        <v>12</v>
      </c>
      <c r="B2860">
        <v>2000</v>
      </c>
      <c r="C2860" t="s">
        <v>6102</v>
      </c>
      <c r="D2860" t="s">
        <v>33</v>
      </c>
      <c r="E2860" t="s">
        <v>6103</v>
      </c>
      <c r="F2860" t="s">
        <v>42</v>
      </c>
      <c r="G2860">
        <v>4.41</v>
      </c>
      <c r="H2860">
        <v>61</v>
      </c>
      <c r="I2860" t="s">
        <v>61</v>
      </c>
      <c r="J2860" t="s">
        <v>37</v>
      </c>
      <c r="K2860" t="s">
        <v>3473</v>
      </c>
      <c r="L2860">
        <v>349</v>
      </c>
      <c r="M2860" t="str">
        <f t="shared" si="88"/>
        <v>Low</v>
      </c>
      <c r="N2860" t="str">
        <f t="shared" si="89"/>
        <v>Average</v>
      </c>
    </row>
    <row r="2861" spans="1:14">
      <c r="A2861" t="s">
        <v>20</v>
      </c>
      <c r="B2861">
        <v>2006</v>
      </c>
      <c r="C2861" t="s">
        <v>6104</v>
      </c>
      <c r="D2861" t="s">
        <v>33</v>
      </c>
      <c r="E2861" t="s">
        <v>3064</v>
      </c>
      <c r="F2861" t="s">
        <v>46</v>
      </c>
      <c r="G2861">
        <v>22.51</v>
      </c>
      <c r="H2861">
        <v>91</v>
      </c>
      <c r="I2861" t="s">
        <v>29</v>
      </c>
      <c r="J2861" t="s">
        <v>24</v>
      </c>
      <c r="K2861" t="s">
        <v>667</v>
      </c>
      <c r="L2861">
        <v>100</v>
      </c>
      <c r="M2861" t="str">
        <f t="shared" si="88"/>
        <v>Medium</v>
      </c>
      <c r="N2861" t="str">
        <f t="shared" si="89"/>
        <v>Excellent</v>
      </c>
    </row>
    <row r="2862" spans="1:14">
      <c r="A2862" t="s">
        <v>47</v>
      </c>
      <c r="B2862">
        <v>2005</v>
      </c>
      <c r="C2862" t="s">
        <v>6105</v>
      </c>
      <c r="D2862" t="s">
        <v>33</v>
      </c>
      <c r="E2862" t="s">
        <v>6106</v>
      </c>
      <c r="F2862" t="s">
        <v>46</v>
      </c>
      <c r="G2862">
        <v>34.26</v>
      </c>
      <c r="H2862">
        <v>76</v>
      </c>
      <c r="I2862" t="s">
        <v>23</v>
      </c>
      <c r="J2862" t="s">
        <v>37</v>
      </c>
      <c r="K2862" t="s">
        <v>68</v>
      </c>
      <c r="L2862">
        <v>13</v>
      </c>
      <c r="M2862" t="str">
        <f t="shared" si="88"/>
        <v>Medium</v>
      </c>
      <c r="N2862" t="str">
        <f t="shared" si="89"/>
        <v>Good</v>
      </c>
    </row>
    <row r="2863" spans="1:14">
      <c r="A2863" t="s">
        <v>20</v>
      </c>
      <c r="B2863">
        <v>2015</v>
      </c>
      <c r="C2863" t="s">
        <v>6107</v>
      </c>
      <c r="D2863" t="s">
        <v>14</v>
      </c>
      <c r="E2863" t="s">
        <v>4577</v>
      </c>
      <c r="F2863" t="s">
        <v>42</v>
      </c>
      <c r="G2863">
        <v>6.89</v>
      </c>
      <c r="H2863">
        <v>95</v>
      </c>
      <c r="I2863" t="s">
        <v>61</v>
      </c>
      <c r="J2863" t="s">
        <v>24</v>
      </c>
      <c r="K2863" t="s">
        <v>65</v>
      </c>
      <c r="L2863">
        <v>315</v>
      </c>
      <c r="M2863" t="str">
        <f t="shared" si="88"/>
        <v>Low</v>
      </c>
      <c r="N2863" t="str">
        <f t="shared" si="89"/>
        <v>Excellent</v>
      </c>
    </row>
    <row r="2864" spans="1:14">
      <c r="A2864" t="s">
        <v>65</v>
      </c>
      <c r="B2864">
        <v>2000</v>
      </c>
      <c r="C2864" t="s">
        <v>6108</v>
      </c>
      <c r="D2864" t="s">
        <v>14</v>
      </c>
      <c r="E2864" t="s">
        <v>2360</v>
      </c>
      <c r="F2864" t="s">
        <v>35</v>
      </c>
      <c r="G2864">
        <v>43.8</v>
      </c>
      <c r="H2864">
        <v>79</v>
      </c>
      <c r="I2864" t="s">
        <v>23</v>
      </c>
      <c r="J2864" t="s">
        <v>24</v>
      </c>
      <c r="K2864" t="s">
        <v>888</v>
      </c>
      <c r="L2864">
        <v>225</v>
      </c>
      <c r="M2864" t="str">
        <f t="shared" si="88"/>
        <v>High</v>
      </c>
      <c r="N2864" t="str">
        <f t="shared" si="89"/>
        <v>Good</v>
      </c>
    </row>
    <row r="2865" spans="1:14">
      <c r="A2865" t="s">
        <v>47</v>
      </c>
      <c r="B2865">
        <v>2006</v>
      </c>
      <c r="C2865" t="s">
        <v>6109</v>
      </c>
      <c r="D2865" t="s">
        <v>33</v>
      </c>
      <c r="E2865" t="s">
        <v>6110</v>
      </c>
      <c r="F2865" t="s">
        <v>35</v>
      </c>
      <c r="G2865">
        <v>6.73</v>
      </c>
      <c r="H2865">
        <v>73</v>
      </c>
      <c r="I2865" t="s">
        <v>23</v>
      </c>
      <c r="J2865" t="s">
        <v>37</v>
      </c>
      <c r="K2865" t="s">
        <v>1064</v>
      </c>
      <c r="L2865">
        <v>124</v>
      </c>
      <c r="M2865" t="str">
        <f t="shared" si="88"/>
        <v>Low</v>
      </c>
      <c r="N2865" t="str">
        <f t="shared" si="89"/>
        <v>Average</v>
      </c>
    </row>
    <row r="2866" spans="1:14">
      <c r="A2866" t="s">
        <v>47</v>
      </c>
      <c r="B2866">
        <v>2006</v>
      </c>
      <c r="C2866" t="s">
        <v>6111</v>
      </c>
      <c r="D2866" t="s">
        <v>33</v>
      </c>
      <c r="E2866" t="s">
        <v>6112</v>
      </c>
      <c r="F2866" t="s">
        <v>35</v>
      </c>
      <c r="G2866">
        <v>43.09</v>
      </c>
      <c r="H2866">
        <v>78</v>
      </c>
      <c r="I2866" t="s">
        <v>17</v>
      </c>
      <c r="J2866" t="s">
        <v>24</v>
      </c>
      <c r="K2866" t="s">
        <v>2125</v>
      </c>
      <c r="L2866">
        <v>127</v>
      </c>
      <c r="M2866" t="str">
        <f t="shared" si="88"/>
        <v>High</v>
      </c>
      <c r="N2866" t="str">
        <f t="shared" si="89"/>
        <v>Good</v>
      </c>
    </row>
    <row r="2867" spans="1:14">
      <c r="A2867" t="s">
        <v>48</v>
      </c>
      <c r="B2867">
        <v>2005</v>
      </c>
      <c r="C2867" t="s">
        <v>6113</v>
      </c>
      <c r="D2867" t="s">
        <v>33</v>
      </c>
      <c r="E2867" t="s">
        <v>6114</v>
      </c>
      <c r="F2867" t="s">
        <v>42</v>
      </c>
      <c r="G2867">
        <v>31.14</v>
      </c>
      <c r="H2867">
        <v>61</v>
      </c>
      <c r="I2867" t="s">
        <v>17</v>
      </c>
      <c r="J2867" t="s">
        <v>24</v>
      </c>
      <c r="K2867" t="s">
        <v>1944</v>
      </c>
      <c r="L2867">
        <v>181</v>
      </c>
      <c r="M2867" t="str">
        <f t="shared" si="88"/>
        <v>Medium</v>
      </c>
      <c r="N2867" t="str">
        <f t="shared" si="89"/>
        <v>Average</v>
      </c>
    </row>
    <row r="2868" spans="1:14">
      <c r="A2868" t="s">
        <v>38</v>
      </c>
      <c r="B2868">
        <v>2019</v>
      </c>
      <c r="C2868" t="s">
        <v>6115</v>
      </c>
      <c r="D2868" t="s">
        <v>33</v>
      </c>
      <c r="E2868" t="s">
        <v>6116</v>
      </c>
      <c r="F2868" t="s">
        <v>46</v>
      </c>
      <c r="G2868">
        <v>29.84</v>
      </c>
      <c r="H2868">
        <v>85</v>
      </c>
      <c r="I2868" t="s">
        <v>23</v>
      </c>
      <c r="J2868" t="s">
        <v>37</v>
      </c>
      <c r="K2868" t="s">
        <v>38</v>
      </c>
      <c r="L2868">
        <v>195</v>
      </c>
      <c r="M2868" t="str">
        <f t="shared" si="88"/>
        <v>Medium</v>
      </c>
      <c r="N2868" t="str">
        <f t="shared" si="89"/>
        <v>Good</v>
      </c>
    </row>
    <row r="2869" spans="1:14">
      <c r="A2869" t="s">
        <v>12</v>
      </c>
      <c r="B2869">
        <v>2015</v>
      </c>
      <c r="C2869" t="s">
        <v>6117</v>
      </c>
      <c r="D2869" t="s">
        <v>33</v>
      </c>
      <c r="E2869" t="s">
        <v>125</v>
      </c>
      <c r="F2869" t="s">
        <v>46</v>
      </c>
      <c r="G2869">
        <v>45.73</v>
      </c>
      <c r="H2869">
        <v>78</v>
      </c>
      <c r="I2869" t="s">
        <v>23</v>
      </c>
      <c r="J2869" t="s">
        <v>24</v>
      </c>
      <c r="K2869" t="s">
        <v>1900</v>
      </c>
      <c r="L2869">
        <v>320</v>
      </c>
      <c r="M2869" t="str">
        <f t="shared" si="88"/>
        <v>High</v>
      </c>
      <c r="N2869" t="str">
        <f t="shared" si="89"/>
        <v>Good</v>
      </c>
    </row>
    <row r="2870" spans="1:14">
      <c r="A2870" t="s">
        <v>38</v>
      </c>
      <c r="B2870">
        <v>2002</v>
      </c>
      <c r="C2870" t="s">
        <v>6118</v>
      </c>
      <c r="D2870" t="s">
        <v>33</v>
      </c>
      <c r="E2870" t="s">
        <v>6119</v>
      </c>
      <c r="F2870" t="s">
        <v>16</v>
      </c>
      <c r="G2870">
        <v>10.69</v>
      </c>
      <c r="H2870">
        <v>71</v>
      </c>
      <c r="I2870" t="s">
        <v>29</v>
      </c>
      <c r="J2870" t="s">
        <v>18</v>
      </c>
      <c r="K2870" t="s">
        <v>430</v>
      </c>
      <c r="L2870">
        <v>365</v>
      </c>
      <c r="M2870" t="str">
        <f t="shared" si="88"/>
        <v>Low</v>
      </c>
      <c r="N2870" t="str">
        <f t="shared" si="89"/>
        <v>Average</v>
      </c>
    </row>
    <row r="2871" spans="1:14">
      <c r="A2871" t="s">
        <v>68</v>
      </c>
      <c r="B2871">
        <v>2002</v>
      </c>
      <c r="C2871" t="s">
        <v>6120</v>
      </c>
      <c r="D2871" t="s">
        <v>33</v>
      </c>
      <c r="E2871" t="s">
        <v>6121</v>
      </c>
      <c r="F2871" t="s">
        <v>46</v>
      </c>
      <c r="G2871">
        <v>26.31</v>
      </c>
      <c r="H2871">
        <v>72</v>
      </c>
      <c r="I2871" t="s">
        <v>61</v>
      </c>
      <c r="J2871" t="s">
        <v>18</v>
      </c>
      <c r="K2871" t="s">
        <v>308</v>
      </c>
      <c r="L2871">
        <v>162</v>
      </c>
      <c r="M2871" t="str">
        <f t="shared" si="88"/>
        <v>Medium</v>
      </c>
      <c r="N2871" t="str">
        <f t="shared" si="89"/>
        <v>Average</v>
      </c>
    </row>
    <row r="2872" spans="1:14">
      <c r="A2872" t="s">
        <v>65</v>
      </c>
      <c r="B2872">
        <v>2001</v>
      </c>
      <c r="C2872" t="s">
        <v>6122</v>
      </c>
      <c r="D2872" t="s">
        <v>14</v>
      </c>
      <c r="E2872" t="s">
        <v>6123</v>
      </c>
      <c r="F2872" t="s">
        <v>46</v>
      </c>
      <c r="G2872">
        <v>44.24</v>
      </c>
      <c r="H2872">
        <v>54</v>
      </c>
      <c r="I2872" t="s">
        <v>23</v>
      </c>
      <c r="J2872" t="s">
        <v>24</v>
      </c>
      <c r="K2872" t="s">
        <v>84</v>
      </c>
      <c r="L2872">
        <v>157</v>
      </c>
      <c r="M2872" t="str">
        <f t="shared" si="88"/>
        <v>High</v>
      </c>
      <c r="N2872" t="str">
        <f t="shared" si="89"/>
        <v>Average</v>
      </c>
    </row>
    <row r="2873" spans="1:14">
      <c r="A2873" t="s">
        <v>47</v>
      </c>
      <c r="B2873">
        <v>2001</v>
      </c>
      <c r="C2873" t="s">
        <v>6124</v>
      </c>
      <c r="D2873" t="s">
        <v>33</v>
      </c>
      <c r="E2873" t="s">
        <v>6125</v>
      </c>
      <c r="F2873" t="s">
        <v>42</v>
      </c>
      <c r="G2873">
        <v>9.1199999999999992</v>
      </c>
      <c r="H2873">
        <v>79</v>
      </c>
      <c r="I2873" t="s">
        <v>29</v>
      </c>
      <c r="J2873" t="s">
        <v>18</v>
      </c>
      <c r="K2873" t="s">
        <v>6126</v>
      </c>
      <c r="L2873">
        <v>362</v>
      </c>
      <c r="M2873" t="str">
        <f t="shared" si="88"/>
        <v>Low</v>
      </c>
      <c r="N2873" t="str">
        <f t="shared" si="89"/>
        <v>Good</v>
      </c>
    </row>
    <row r="2874" spans="1:14">
      <c r="A2874" t="s">
        <v>47</v>
      </c>
      <c r="B2874">
        <v>2018</v>
      </c>
      <c r="C2874" t="s">
        <v>6127</v>
      </c>
      <c r="D2874" t="s">
        <v>33</v>
      </c>
      <c r="E2874" t="s">
        <v>6128</v>
      </c>
      <c r="F2874" t="s">
        <v>57</v>
      </c>
      <c r="G2874">
        <v>13.63</v>
      </c>
      <c r="H2874">
        <v>79</v>
      </c>
      <c r="I2874" t="s">
        <v>29</v>
      </c>
      <c r="J2874" t="s">
        <v>37</v>
      </c>
      <c r="K2874" t="s">
        <v>58</v>
      </c>
      <c r="L2874">
        <v>206</v>
      </c>
      <c r="M2874" t="str">
        <f t="shared" si="88"/>
        <v>Low</v>
      </c>
      <c r="N2874" t="str">
        <f t="shared" si="89"/>
        <v>Good</v>
      </c>
    </row>
    <row r="2875" spans="1:14">
      <c r="A2875" t="s">
        <v>68</v>
      </c>
      <c r="B2875">
        <v>2021</v>
      </c>
      <c r="C2875" t="s">
        <v>6129</v>
      </c>
      <c r="D2875" t="s">
        <v>14</v>
      </c>
      <c r="E2875" t="s">
        <v>6130</v>
      </c>
      <c r="F2875" t="s">
        <v>57</v>
      </c>
      <c r="G2875">
        <v>48.15</v>
      </c>
      <c r="H2875">
        <v>83</v>
      </c>
      <c r="I2875" t="s">
        <v>61</v>
      </c>
      <c r="J2875" t="s">
        <v>37</v>
      </c>
      <c r="K2875" t="s">
        <v>2020</v>
      </c>
      <c r="L2875">
        <v>264</v>
      </c>
      <c r="M2875" t="str">
        <f t="shared" si="88"/>
        <v>High</v>
      </c>
      <c r="N2875" t="str">
        <f t="shared" si="89"/>
        <v>Good</v>
      </c>
    </row>
    <row r="2876" spans="1:14">
      <c r="A2876" t="s">
        <v>26</v>
      </c>
      <c r="B2876">
        <v>2006</v>
      </c>
      <c r="C2876" t="s">
        <v>6131</v>
      </c>
      <c r="D2876" t="s">
        <v>33</v>
      </c>
      <c r="E2876" t="s">
        <v>6132</v>
      </c>
      <c r="F2876" t="s">
        <v>42</v>
      </c>
      <c r="G2876">
        <v>26.58</v>
      </c>
      <c r="H2876">
        <v>53</v>
      </c>
      <c r="I2876" t="s">
        <v>17</v>
      </c>
      <c r="J2876" t="s">
        <v>24</v>
      </c>
      <c r="K2876" t="s">
        <v>47</v>
      </c>
      <c r="L2876">
        <v>285</v>
      </c>
      <c r="M2876" t="str">
        <f t="shared" si="88"/>
        <v>Medium</v>
      </c>
      <c r="N2876" t="str">
        <f t="shared" si="89"/>
        <v>Average</v>
      </c>
    </row>
    <row r="2877" spans="1:14">
      <c r="A2877" t="s">
        <v>26</v>
      </c>
      <c r="B2877">
        <v>2007</v>
      </c>
      <c r="C2877" t="s">
        <v>6133</v>
      </c>
      <c r="D2877" t="s">
        <v>14</v>
      </c>
      <c r="E2877" t="s">
        <v>1695</v>
      </c>
      <c r="F2877" t="s">
        <v>35</v>
      </c>
      <c r="G2877">
        <v>10.15</v>
      </c>
      <c r="H2877">
        <v>66</v>
      </c>
      <c r="I2877" t="s">
        <v>61</v>
      </c>
      <c r="J2877" t="s">
        <v>24</v>
      </c>
      <c r="K2877" t="s">
        <v>48</v>
      </c>
      <c r="L2877">
        <v>30</v>
      </c>
      <c r="M2877" t="str">
        <f t="shared" si="88"/>
        <v>Low</v>
      </c>
      <c r="N2877" t="str">
        <f t="shared" si="89"/>
        <v>Average</v>
      </c>
    </row>
    <row r="2878" spans="1:14">
      <c r="A2878" t="s">
        <v>39</v>
      </c>
      <c r="B2878">
        <v>2009</v>
      </c>
      <c r="C2878" t="s">
        <v>6134</v>
      </c>
      <c r="D2878" t="s">
        <v>14</v>
      </c>
      <c r="E2878" t="s">
        <v>6135</v>
      </c>
      <c r="F2878" t="s">
        <v>35</v>
      </c>
      <c r="G2878">
        <v>2.37</v>
      </c>
      <c r="H2878">
        <v>56</v>
      </c>
      <c r="I2878" t="s">
        <v>29</v>
      </c>
      <c r="J2878" t="s">
        <v>24</v>
      </c>
      <c r="K2878" t="s">
        <v>6136</v>
      </c>
      <c r="L2878">
        <v>161</v>
      </c>
      <c r="M2878" t="str">
        <f t="shared" si="88"/>
        <v>Low</v>
      </c>
      <c r="N2878" t="str">
        <f t="shared" si="89"/>
        <v>Average</v>
      </c>
    </row>
    <row r="2879" spans="1:14">
      <c r="A2879" t="s">
        <v>31</v>
      </c>
      <c r="B2879">
        <v>2014</v>
      </c>
      <c r="C2879" t="s">
        <v>6137</v>
      </c>
      <c r="D2879" t="s">
        <v>14</v>
      </c>
      <c r="E2879" t="s">
        <v>6138</v>
      </c>
      <c r="F2879" t="s">
        <v>16</v>
      </c>
      <c r="G2879">
        <v>25.01</v>
      </c>
      <c r="H2879">
        <v>99</v>
      </c>
      <c r="I2879" t="s">
        <v>17</v>
      </c>
      <c r="J2879" t="s">
        <v>18</v>
      </c>
      <c r="K2879" t="s">
        <v>1172</v>
      </c>
      <c r="L2879">
        <v>135</v>
      </c>
      <c r="M2879" t="str">
        <f t="shared" si="88"/>
        <v>Medium</v>
      </c>
      <c r="N2879" t="str">
        <f t="shared" si="89"/>
        <v>Excellent</v>
      </c>
    </row>
    <row r="2880" spans="1:14">
      <c r="A2880" t="s">
        <v>65</v>
      </c>
      <c r="B2880">
        <v>2016</v>
      </c>
      <c r="C2880" t="s">
        <v>6139</v>
      </c>
      <c r="D2880" t="s">
        <v>14</v>
      </c>
      <c r="E2880" t="s">
        <v>5951</v>
      </c>
      <c r="F2880" t="s">
        <v>42</v>
      </c>
      <c r="G2880">
        <v>4.33</v>
      </c>
      <c r="H2880">
        <v>85</v>
      </c>
      <c r="I2880" t="s">
        <v>29</v>
      </c>
      <c r="J2880" t="s">
        <v>18</v>
      </c>
      <c r="K2880" t="s">
        <v>31</v>
      </c>
      <c r="L2880">
        <v>192</v>
      </c>
      <c r="M2880" t="str">
        <f t="shared" si="88"/>
        <v>Low</v>
      </c>
      <c r="N2880" t="str">
        <f t="shared" si="89"/>
        <v>Good</v>
      </c>
    </row>
    <row r="2881" spans="1:14">
      <c r="A2881" t="s">
        <v>48</v>
      </c>
      <c r="B2881">
        <v>2012</v>
      </c>
      <c r="C2881" t="s">
        <v>6140</v>
      </c>
      <c r="D2881" t="s">
        <v>14</v>
      </c>
      <c r="E2881" t="s">
        <v>6141</v>
      </c>
      <c r="F2881" t="s">
        <v>57</v>
      </c>
      <c r="G2881">
        <v>27.68</v>
      </c>
      <c r="H2881">
        <v>58</v>
      </c>
      <c r="I2881" t="s">
        <v>61</v>
      </c>
      <c r="J2881" t="s">
        <v>37</v>
      </c>
      <c r="K2881" t="s">
        <v>6142</v>
      </c>
      <c r="L2881">
        <v>4</v>
      </c>
      <c r="M2881" t="str">
        <f t="shared" si="88"/>
        <v>Medium</v>
      </c>
      <c r="N2881" t="str">
        <f t="shared" si="89"/>
        <v>Average</v>
      </c>
    </row>
    <row r="2882" spans="1:14">
      <c r="A2882" t="s">
        <v>47</v>
      </c>
      <c r="B2882">
        <v>2007</v>
      </c>
      <c r="C2882" t="s">
        <v>6143</v>
      </c>
      <c r="D2882" t="s">
        <v>33</v>
      </c>
      <c r="E2882" t="s">
        <v>6144</v>
      </c>
      <c r="F2882" t="s">
        <v>35</v>
      </c>
      <c r="G2882">
        <v>26.25</v>
      </c>
      <c r="H2882">
        <v>64</v>
      </c>
      <c r="I2882" t="s">
        <v>61</v>
      </c>
      <c r="J2882" t="s">
        <v>18</v>
      </c>
      <c r="K2882" t="s">
        <v>184</v>
      </c>
      <c r="L2882">
        <v>9</v>
      </c>
      <c r="M2882" t="str">
        <f t="shared" si="88"/>
        <v>Medium</v>
      </c>
      <c r="N2882" t="str">
        <f t="shared" si="89"/>
        <v>Average</v>
      </c>
    </row>
    <row r="2883" spans="1:14">
      <c r="A2883" t="s">
        <v>20</v>
      </c>
      <c r="B2883">
        <v>2011</v>
      </c>
      <c r="C2883" t="s">
        <v>6145</v>
      </c>
      <c r="D2883" t="s">
        <v>33</v>
      </c>
      <c r="E2883" t="s">
        <v>6146</v>
      </c>
      <c r="F2883" t="s">
        <v>42</v>
      </c>
      <c r="G2883">
        <v>31.15</v>
      </c>
      <c r="H2883">
        <v>87</v>
      </c>
      <c r="I2883" t="s">
        <v>17</v>
      </c>
      <c r="J2883" t="s">
        <v>24</v>
      </c>
      <c r="K2883" t="s">
        <v>6147</v>
      </c>
      <c r="L2883">
        <v>98</v>
      </c>
      <c r="M2883" t="str">
        <f t="shared" ref="M2883:M2946" si="90">IF(G2883&lt;15,"Low",IF(G2883&lt;35,"Medium","High"))</f>
        <v>Medium</v>
      </c>
      <c r="N2883" t="str">
        <f t="shared" ref="N2883:N2946" si="91">IF(H2883&gt;=90,"Excellent",IF(H2883&gt;=75,"Good","Average"))</f>
        <v>Good</v>
      </c>
    </row>
    <row r="2884" spans="1:14">
      <c r="A2884" t="s">
        <v>20</v>
      </c>
      <c r="B2884">
        <v>2008</v>
      </c>
      <c r="C2884" t="s">
        <v>6148</v>
      </c>
      <c r="D2884" t="s">
        <v>33</v>
      </c>
      <c r="E2884" t="s">
        <v>6149</v>
      </c>
      <c r="F2884" t="s">
        <v>42</v>
      </c>
      <c r="G2884">
        <v>43.63</v>
      </c>
      <c r="H2884">
        <v>55</v>
      </c>
      <c r="I2884" t="s">
        <v>36</v>
      </c>
      <c r="J2884" t="s">
        <v>37</v>
      </c>
      <c r="K2884" t="s">
        <v>38</v>
      </c>
      <c r="L2884">
        <v>76</v>
      </c>
      <c r="M2884" t="str">
        <f t="shared" si="90"/>
        <v>High</v>
      </c>
      <c r="N2884" t="str">
        <f t="shared" si="91"/>
        <v>Average</v>
      </c>
    </row>
    <row r="2885" spans="1:14">
      <c r="A2885" t="s">
        <v>47</v>
      </c>
      <c r="B2885">
        <v>2009</v>
      </c>
      <c r="C2885" t="s">
        <v>6150</v>
      </c>
      <c r="D2885" t="s">
        <v>14</v>
      </c>
      <c r="E2885" t="s">
        <v>6151</v>
      </c>
      <c r="F2885" t="s">
        <v>16</v>
      </c>
      <c r="G2885">
        <v>32.67</v>
      </c>
      <c r="H2885">
        <v>51</v>
      </c>
      <c r="I2885" t="s">
        <v>61</v>
      </c>
      <c r="J2885" t="s">
        <v>37</v>
      </c>
      <c r="K2885" t="s">
        <v>693</v>
      </c>
      <c r="L2885">
        <v>225</v>
      </c>
      <c r="M2885" t="str">
        <f t="shared" si="90"/>
        <v>Medium</v>
      </c>
      <c r="N2885" t="str">
        <f t="shared" si="91"/>
        <v>Average</v>
      </c>
    </row>
    <row r="2886" spans="1:14">
      <c r="A2886" t="s">
        <v>65</v>
      </c>
      <c r="B2886">
        <v>2002</v>
      </c>
      <c r="C2886" t="s">
        <v>6152</v>
      </c>
      <c r="D2886" t="s">
        <v>14</v>
      </c>
      <c r="E2886" t="s">
        <v>5383</v>
      </c>
      <c r="F2886" t="s">
        <v>42</v>
      </c>
      <c r="G2886">
        <v>30.47</v>
      </c>
      <c r="H2886">
        <v>66</v>
      </c>
      <c r="I2886" t="s">
        <v>36</v>
      </c>
      <c r="J2886" t="s">
        <v>24</v>
      </c>
      <c r="K2886" t="s">
        <v>1528</v>
      </c>
      <c r="L2886">
        <v>6</v>
      </c>
      <c r="M2886" t="str">
        <f t="shared" si="90"/>
        <v>Medium</v>
      </c>
      <c r="N2886" t="str">
        <f t="shared" si="91"/>
        <v>Average</v>
      </c>
    </row>
    <row r="2887" spans="1:14">
      <c r="A2887" t="s">
        <v>47</v>
      </c>
      <c r="B2887">
        <v>2002</v>
      </c>
      <c r="C2887" t="s">
        <v>6153</v>
      </c>
      <c r="D2887" t="s">
        <v>14</v>
      </c>
      <c r="E2887" t="s">
        <v>6154</v>
      </c>
      <c r="F2887" t="s">
        <v>42</v>
      </c>
      <c r="G2887">
        <v>11.28</v>
      </c>
      <c r="H2887">
        <v>69</v>
      </c>
      <c r="I2887" t="s">
        <v>29</v>
      </c>
      <c r="J2887" t="s">
        <v>37</v>
      </c>
      <c r="K2887" t="s">
        <v>1312</v>
      </c>
      <c r="L2887">
        <v>206</v>
      </c>
      <c r="M2887" t="str">
        <f t="shared" si="90"/>
        <v>Low</v>
      </c>
      <c r="N2887" t="str">
        <f t="shared" si="91"/>
        <v>Average</v>
      </c>
    </row>
    <row r="2888" spans="1:14">
      <c r="A2888" t="s">
        <v>68</v>
      </c>
      <c r="B2888">
        <v>2025</v>
      </c>
      <c r="C2888" t="s">
        <v>1105</v>
      </c>
      <c r="D2888" t="s">
        <v>14</v>
      </c>
      <c r="E2888" t="s">
        <v>6155</v>
      </c>
      <c r="F2888" t="s">
        <v>16</v>
      </c>
      <c r="G2888">
        <v>6.9</v>
      </c>
      <c r="H2888">
        <v>98</v>
      </c>
      <c r="I2888" t="s">
        <v>36</v>
      </c>
      <c r="J2888" t="s">
        <v>37</v>
      </c>
      <c r="K2888" t="s">
        <v>627</v>
      </c>
      <c r="L2888">
        <v>173</v>
      </c>
      <c r="M2888" t="str">
        <f t="shared" si="90"/>
        <v>Low</v>
      </c>
      <c r="N2888" t="str">
        <f t="shared" si="91"/>
        <v>Excellent</v>
      </c>
    </row>
    <row r="2889" spans="1:14">
      <c r="A2889" t="s">
        <v>39</v>
      </c>
      <c r="B2889">
        <v>2024</v>
      </c>
      <c r="C2889" t="s">
        <v>6156</v>
      </c>
      <c r="D2889" t="s">
        <v>33</v>
      </c>
      <c r="E2889" t="s">
        <v>6157</v>
      </c>
      <c r="F2889" t="s">
        <v>42</v>
      </c>
      <c r="G2889">
        <v>2.11</v>
      </c>
      <c r="H2889">
        <v>54</v>
      </c>
      <c r="I2889" t="s">
        <v>29</v>
      </c>
      <c r="J2889" t="s">
        <v>37</v>
      </c>
      <c r="K2889" t="s">
        <v>2722</v>
      </c>
      <c r="L2889">
        <v>15</v>
      </c>
      <c r="M2889" t="str">
        <f t="shared" si="90"/>
        <v>Low</v>
      </c>
      <c r="N2889" t="str">
        <f t="shared" si="91"/>
        <v>Average</v>
      </c>
    </row>
    <row r="2890" spans="1:14">
      <c r="A2890" t="s">
        <v>68</v>
      </c>
      <c r="B2890">
        <v>2006</v>
      </c>
      <c r="C2890" t="s">
        <v>6158</v>
      </c>
      <c r="D2890" t="s">
        <v>14</v>
      </c>
      <c r="E2890" t="s">
        <v>6159</v>
      </c>
      <c r="F2890" t="s">
        <v>46</v>
      </c>
      <c r="G2890">
        <v>42.72</v>
      </c>
      <c r="H2890">
        <v>95</v>
      </c>
      <c r="I2890" t="s">
        <v>17</v>
      </c>
      <c r="J2890" t="s">
        <v>37</v>
      </c>
      <c r="K2890" t="s">
        <v>232</v>
      </c>
      <c r="L2890">
        <v>174</v>
      </c>
      <c r="M2890" t="str">
        <f t="shared" si="90"/>
        <v>High</v>
      </c>
      <c r="N2890" t="str">
        <f t="shared" si="91"/>
        <v>Excellent</v>
      </c>
    </row>
    <row r="2891" spans="1:14">
      <c r="A2891" t="s">
        <v>31</v>
      </c>
      <c r="B2891">
        <v>2015</v>
      </c>
      <c r="C2891" t="s">
        <v>6160</v>
      </c>
      <c r="D2891" t="s">
        <v>14</v>
      </c>
      <c r="E2891" t="s">
        <v>6161</v>
      </c>
      <c r="F2891" t="s">
        <v>35</v>
      </c>
      <c r="G2891">
        <v>32.880000000000003</v>
      </c>
      <c r="H2891">
        <v>62</v>
      </c>
      <c r="I2891" t="s">
        <v>23</v>
      </c>
      <c r="J2891" t="s">
        <v>37</v>
      </c>
      <c r="K2891" t="s">
        <v>1545</v>
      </c>
      <c r="L2891">
        <v>264</v>
      </c>
      <c r="M2891" t="str">
        <f t="shared" si="90"/>
        <v>Medium</v>
      </c>
      <c r="N2891" t="str">
        <f t="shared" si="91"/>
        <v>Average</v>
      </c>
    </row>
    <row r="2892" spans="1:14">
      <c r="A2892" t="s">
        <v>65</v>
      </c>
      <c r="B2892">
        <v>2013</v>
      </c>
      <c r="C2892" t="s">
        <v>6162</v>
      </c>
      <c r="D2892" t="s">
        <v>14</v>
      </c>
      <c r="E2892" t="s">
        <v>6163</v>
      </c>
      <c r="F2892" t="s">
        <v>57</v>
      </c>
      <c r="G2892">
        <v>4.83</v>
      </c>
      <c r="H2892">
        <v>91</v>
      </c>
      <c r="I2892" t="s">
        <v>36</v>
      </c>
      <c r="J2892" t="s">
        <v>24</v>
      </c>
      <c r="K2892" t="s">
        <v>1537</v>
      </c>
      <c r="L2892">
        <v>131</v>
      </c>
      <c r="M2892" t="str">
        <f t="shared" si="90"/>
        <v>Low</v>
      </c>
      <c r="N2892" t="str">
        <f t="shared" si="91"/>
        <v>Excellent</v>
      </c>
    </row>
    <row r="2893" spans="1:14">
      <c r="A2893" t="s">
        <v>38</v>
      </c>
      <c r="B2893">
        <v>2001</v>
      </c>
      <c r="C2893" t="s">
        <v>6164</v>
      </c>
      <c r="D2893" t="s">
        <v>14</v>
      </c>
      <c r="E2893" t="s">
        <v>6165</v>
      </c>
      <c r="F2893" t="s">
        <v>42</v>
      </c>
      <c r="G2893">
        <v>48.65</v>
      </c>
      <c r="H2893">
        <v>63</v>
      </c>
      <c r="I2893" t="s">
        <v>29</v>
      </c>
      <c r="J2893" t="s">
        <v>37</v>
      </c>
      <c r="K2893" t="s">
        <v>31</v>
      </c>
      <c r="L2893">
        <v>3</v>
      </c>
      <c r="M2893" t="str">
        <f t="shared" si="90"/>
        <v>High</v>
      </c>
      <c r="N2893" t="str">
        <f t="shared" si="91"/>
        <v>Average</v>
      </c>
    </row>
    <row r="2894" spans="1:14">
      <c r="A2894" t="s">
        <v>20</v>
      </c>
      <c r="B2894">
        <v>2005</v>
      </c>
      <c r="C2894" t="s">
        <v>6166</v>
      </c>
      <c r="D2894" t="s">
        <v>33</v>
      </c>
      <c r="E2894" t="s">
        <v>6167</v>
      </c>
      <c r="F2894" t="s">
        <v>16</v>
      </c>
      <c r="G2894">
        <v>38.049999999999997</v>
      </c>
      <c r="H2894">
        <v>69</v>
      </c>
      <c r="I2894" t="s">
        <v>23</v>
      </c>
      <c r="J2894" t="s">
        <v>18</v>
      </c>
      <c r="K2894" t="s">
        <v>114</v>
      </c>
      <c r="L2894">
        <v>20</v>
      </c>
      <c r="M2894" t="str">
        <f t="shared" si="90"/>
        <v>High</v>
      </c>
      <c r="N2894" t="str">
        <f t="shared" si="91"/>
        <v>Average</v>
      </c>
    </row>
    <row r="2895" spans="1:14">
      <c r="A2895" t="s">
        <v>39</v>
      </c>
      <c r="B2895">
        <v>2015</v>
      </c>
      <c r="C2895" t="s">
        <v>6168</v>
      </c>
      <c r="D2895" t="s">
        <v>33</v>
      </c>
      <c r="E2895" t="s">
        <v>6169</v>
      </c>
      <c r="F2895" t="s">
        <v>46</v>
      </c>
      <c r="G2895">
        <v>22.97</v>
      </c>
      <c r="H2895">
        <v>54</v>
      </c>
      <c r="I2895" t="s">
        <v>61</v>
      </c>
      <c r="J2895" t="s">
        <v>18</v>
      </c>
      <c r="K2895" t="s">
        <v>39</v>
      </c>
      <c r="L2895">
        <v>343</v>
      </c>
      <c r="M2895" t="str">
        <f t="shared" si="90"/>
        <v>Medium</v>
      </c>
      <c r="N2895" t="str">
        <f t="shared" si="91"/>
        <v>Average</v>
      </c>
    </row>
    <row r="2896" spans="1:14">
      <c r="A2896" t="s">
        <v>20</v>
      </c>
      <c r="B2896">
        <v>2016</v>
      </c>
      <c r="C2896" t="s">
        <v>6170</v>
      </c>
      <c r="D2896" t="s">
        <v>14</v>
      </c>
      <c r="E2896" t="s">
        <v>6171</v>
      </c>
      <c r="F2896" t="s">
        <v>16</v>
      </c>
      <c r="G2896">
        <v>22.35</v>
      </c>
      <c r="H2896">
        <v>62</v>
      </c>
      <c r="I2896" t="s">
        <v>29</v>
      </c>
      <c r="J2896" t="s">
        <v>37</v>
      </c>
      <c r="K2896" t="s">
        <v>184</v>
      </c>
      <c r="L2896">
        <v>332</v>
      </c>
      <c r="M2896" t="str">
        <f t="shared" si="90"/>
        <v>Medium</v>
      </c>
      <c r="N2896" t="str">
        <f t="shared" si="91"/>
        <v>Average</v>
      </c>
    </row>
    <row r="2897" spans="1:14">
      <c r="A2897" t="s">
        <v>47</v>
      </c>
      <c r="B2897">
        <v>2000</v>
      </c>
      <c r="C2897" t="s">
        <v>6172</v>
      </c>
      <c r="D2897" t="s">
        <v>14</v>
      </c>
      <c r="E2897" t="s">
        <v>6173</v>
      </c>
      <c r="F2897" t="s">
        <v>16</v>
      </c>
      <c r="G2897">
        <v>5.32</v>
      </c>
      <c r="H2897">
        <v>67</v>
      </c>
      <c r="I2897" t="s">
        <v>61</v>
      </c>
      <c r="J2897" t="s">
        <v>18</v>
      </c>
      <c r="K2897" t="s">
        <v>1633</v>
      </c>
      <c r="L2897">
        <v>308</v>
      </c>
      <c r="M2897" t="str">
        <f t="shared" si="90"/>
        <v>Low</v>
      </c>
      <c r="N2897" t="str">
        <f t="shared" si="91"/>
        <v>Average</v>
      </c>
    </row>
    <row r="2898" spans="1:14">
      <c r="A2898" t="s">
        <v>38</v>
      </c>
      <c r="B2898">
        <v>2019</v>
      </c>
      <c r="C2898" t="s">
        <v>6174</v>
      </c>
      <c r="D2898" t="s">
        <v>33</v>
      </c>
      <c r="E2898" t="s">
        <v>6175</v>
      </c>
      <c r="F2898" t="s">
        <v>46</v>
      </c>
      <c r="G2898">
        <v>7.03</v>
      </c>
      <c r="H2898">
        <v>67</v>
      </c>
      <c r="I2898" t="s">
        <v>17</v>
      </c>
      <c r="J2898" t="s">
        <v>18</v>
      </c>
      <c r="K2898" t="s">
        <v>2397</v>
      </c>
      <c r="L2898">
        <v>53</v>
      </c>
      <c r="M2898" t="str">
        <f t="shared" si="90"/>
        <v>Low</v>
      </c>
      <c r="N2898" t="str">
        <f t="shared" si="91"/>
        <v>Average</v>
      </c>
    </row>
    <row r="2899" spans="1:14">
      <c r="A2899" t="s">
        <v>39</v>
      </c>
      <c r="B2899">
        <v>2014</v>
      </c>
      <c r="C2899" t="s">
        <v>6176</v>
      </c>
      <c r="D2899" t="s">
        <v>33</v>
      </c>
      <c r="E2899" t="s">
        <v>6177</v>
      </c>
      <c r="F2899" t="s">
        <v>16</v>
      </c>
      <c r="G2899">
        <v>18.97</v>
      </c>
      <c r="H2899">
        <v>93</v>
      </c>
      <c r="I2899" t="s">
        <v>29</v>
      </c>
      <c r="J2899" t="s">
        <v>18</v>
      </c>
      <c r="K2899" t="s">
        <v>173</v>
      </c>
      <c r="L2899">
        <v>70</v>
      </c>
      <c r="M2899" t="str">
        <f t="shared" si="90"/>
        <v>Medium</v>
      </c>
      <c r="N2899" t="str">
        <f t="shared" si="91"/>
        <v>Excellent</v>
      </c>
    </row>
    <row r="2900" spans="1:14">
      <c r="A2900" t="s">
        <v>65</v>
      </c>
      <c r="B2900">
        <v>2008</v>
      </c>
      <c r="C2900" t="s">
        <v>6178</v>
      </c>
      <c r="D2900" t="s">
        <v>14</v>
      </c>
      <c r="E2900" t="s">
        <v>6179</v>
      </c>
      <c r="F2900" t="s">
        <v>42</v>
      </c>
      <c r="G2900">
        <v>7.73</v>
      </c>
      <c r="H2900">
        <v>66</v>
      </c>
      <c r="I2900" t="s">
        <v>23</v>
      </c>
      <c r="J2900" t="s">
        <v>37</v>
      </c>
      <c r="K2900" t="s">
        <v>3690</v>
      </c>
      <c r="L2900">
        <v>288</v>
      </c>
      <c r="M2900" t="str">
        <f t="shared" si="90"/>
        <v>Low</v>
      </c>
      <c r="N2900" t="str">
        <f t="shared" si="91"/>
        <v>Average</v>
      </c>
    </row>
    <row r="2901" spans="1:14">
      <c r="A2901" t="s">
        <v>47</v>
      </c>
      <c r="B2901">
        <v>2020</v>
      </c>
      <c r="C2901" t="s">
        <v>6180</v>
      </c>
      <c r="D2901" t="s">
        <v>33</v>
      </c>
      <c r="E2901" t="s">
        <v>6181</v>
      </c>
      <c r="F2901" t="s">
        <v>46</v>
      </c>
      <c r="G2901">
        <v>6.5</v>
      </c>
      <c r="H2901">
        <v>56</v>
      </c>
      <c r="I2901" t="s">
        <v>17</v>
      </c>
      <c r="J2901" t="s">
        <v>37</v>
      </c>
      <c r="K2901" t="s">
        <v>12</v>
      </c>
      <c r="L2901">
        <v>32</v>
      </c>
      <c r="M2901" t="str">
        <f t="shared" si="90"/>
        <v>Low</v>
      </c>
      <c r="N2901" t="str">
        <f t="shared" si="91"/>
        <v>Average</v>
      </c>
    </row>
    <row r="2902" spans="1:14">
      <c r="A2902" t="s">
        <v>12</v>
      </c>
      <c r="B2902">
        <v>2002</v>
      </c>
      <c r="C2902" t="s">
        <v>6182</v>
      </c>
      <c r="D2902" t="s">
        <v>33</v>
      </c>
      <c r="E2902" t="s">
        <v>6183</v>
      </c>
      <c r="F2902" t="s">
        <v>16</v>
      </c>
      <c r="G2902">
        <v>21.88</v>
      </c>
      <c r="H2902">
        <v>63</v>
      </c>
      <c r="I2902" t="s">
        <v>17</v>
      </c>
      <c r="J2902" t="s">
        <v>24</v>
      </c>
      <c r="K2902" t="s">
        <v>126</v>
      </c>
      <c r="L2902">
        <v>75</v>
      </c>
      <c r="M2902" t="str">
        <f t="shared" si="90"/>
        <v>Medium</v>
      </c>
      <c r="N2902" t="str">
        <f t="shared" si="91"/>
        <v>Average</v>
      </c>
    </row>
    <row r="2903" spans="1:14">
      <c r="A2903" t="s">
        <v>47</v>
      </c>
      <c r="B2903">
        <v>2013</v>
      </c>
      <c r="C2903" t="s">
        <v>6184</v>
      </c>
      <c r="D2903" t="s">
        <v>33</v>
      </c>
      <c r="E2903" t="s">
        <v>6185</v>
      </c>
      <c r="F2903" t="s">
        <v>46</v>
      </c>
      <c r="G2903">
        <v>36.799999999999997</v>
      </c>
      <c r="H2903">
        <v>90</v>
      </c>
      <c r="I2903" t="s">
        <v>23</v>
      </c>
      <c r="J2903" t="s">
        <v>18</v>
      </c>
      <c r="K2903" t="s">
        <v>68</v>
      </c>
      <c r="L2903">
        <v>276</v>
      </c>
      <c r="M2903" t="str">
        <f t="shared" si="90"/>
        <v>High</v>
      </c>
      <c r="N2903" t="str">
        <f t="shared" si="91"/>
        <v>Excellent</v>
      </c>
    </row>
    <row r="2904" spans="1:14">
      <c r="A2904" t="s">
        <v>65</v>
      </c>
      <c r="B2904">
        <v>2007</v>
      </c>
      <c r="C2904" t="s">
        <v>6186</v>
      </c>
      <c r="D2904" t="s">
        <v>33</v>
      </c>
      <c r="E2904" t="s">
        <v>6187</v>
      </c>
      <c r="F2904" t="s">
        <v>16</v>
      </c>
      <c r="G2904">
        <v>32.299999999999997</v>
      </c>
      <c r="H2904">
        <v>85</v>
      </c>
      <c r="I2904" t="s">
        <v>61</v>
      </c>
      <c r="J2904" t="s">
        <v>24</v>
      </c>
      <c r="K2904" t="s">
        <v>1470</v>
      </c>
      <c r="L2904">
        <v>132</v>
      </c>
      <c r="M2904" t="str">
        <f t="shared" si="90"/>
        <v>Medium</v>
      </c>
      <c r="N2904" t="str">
        <f t="shared" si="91"/>
        <v>Good</v>
      </c>
    </row>
    <row r="2905" spans="1:14">
      <c r="A2905" t="s">
        <v>48</v>
      </c>
      <c r="B2905">
        <v>2012</v>
      </c>
      <c r="C2905" t="s">
        <v>6188</v>
      </c>
      <c r="D2905" t="s">
        <v>33</v>
      </c>
      <c r="E2905" t="s">
        <v>5742</v>
      </c>
      <c r="F2905" t="s">
        <v>46</v>
      </c>
      <c r="G2905">
        <v>23.78</v>
      </c>
      <c r="H2905">
        <v>98</v>
      </c>
      <c r="I2905" t="s">
        <v>23</v>
      </c>
      <c r="J2905" t="s">
        <v>24</v>
      </c>
      <c r="K2905" t="s">
        <v>65</v>
      </c>
      <c r="L2905">
        <v>326</v>
      </c>
      <c r="M2905" t="str">
        <f t="shared" si="90"/>
        <v>Medium</v>
      </c>
      <c r="N2905" t="str">
        <f t="shared" si="91"/>
        <v>Excellent</v>
      </c>
    </row>
    <row r="2906" spans="1:14">
      <c r="A2906" t="s">
        <v>48</v>
      </c>
      <c r="B2906">
        <v>2024</v>
      </c>
      <c r="C2906" t="s">
        <v>6189</v>
      </c>
      <c r="D2906" t="s">
        <v>14</v>
      </c>
      <c r="E2906" t="s">
        <v>6190</v>
      </c>
      <c r="F2906" t="s">
        <v>16</v>
      </c>
      <c r="G2906">
        <v>8.8800000000000008</v>
      </c>
      <c r="H2906">
        <v>73</v>
      </c>
      <c r="I2906" t="s">
        <v>17</v>
      </c>
      <c r="J2906" t="s">
        <v>37</v>
      </c>
      <c r="K2906" t="s">
        <v>2850</v>
      </c>
      <c r="L2906">
        <v>106</v>
      </c>
      <c r="M2906" t="str">
        <f t="shared" si="90"/>
        <v>Low</v>
      </c>
      <c r="N2906" t="str">
        <f t="shared" si="91"/>
        <v>Average</v>
      </c>
    </row>
    <row r="2907" spans="1:14">
      <c r="A2907" t="s">
        <v>48</v>
      </c>
      <c r="B2907">
        <v>2002</v>
      </c>
      <c r="C2907" t="s">
        <v>6191</v>
      </c>
      <c r="D2907" t="s">
        <v>14</v>
      </c>
      <c r="E2907" t="s">
        <v>2127</v>
      </c>
      <c r="F2907" t="s">
        <v>46</v>
      </c>
      <c r="G2907">
        <v>32.15</v>
      </c>
      <c r="H2907">
        <v>70</v>
      </c>
      <c r="I2907" t="s">
        <v>17</v>
      </c>
      <c r="J2907" t="s">
        <v>18</v>
      </c>
      <c r="K2907" t="s">
        <v>4481</v>
      </c>
      <c r="L2907">
        <v>268</v>
      </c>
      <c r="M2907" t="str">
        <f t="shared" si="90"/>
        <v>Medium</v>
      </c>
      <c r="N2907" t="str">
        <f t="shared" si="91"/>
        <v>Average</v>
      </c>
    </row>
    <row r="2908" spans="1:14">
      <c r="A2908" t="s">
        <v>26</v>
      </c>
      <c r="B2908">
        <v>2004</v>
      </c>
      <c r="C2908" t="s">
        <v>6192</v>
      </c>
      <c r="D2908" t="s">
        <v>14</v>
      </c>
      <c r="E2908" t="s">
        <v>6193</v>
      </c>
      <c r="F2908" t="s">
        <v>46</v>
      </c>
      <c r="G2908">
        <v>38.94</v>
      </c>
      <c r="H2908">
        <v>94</v>
      </c>
      <c r="I2908" t="s">
        <v>61</v>
      </c>
      <c r="J2908" t="s">
        <v>18</v>
      </c>
      <c r="K2908" t="s">
        <v>65</v>
      </c>
      <c r="L2908">
        <v>226</v>
      </c>
      <c r="M2908" t="str">
        <f t="shared" si="90"/>
        <v>High</v>
      </c>
      <c r="N2908" t="str">
        <f t="shared" si="91"/>
        <v>Excellent</v>
      </c>
    </row>
    <row r="2909" spans="1:14">
      <c r="A2909" t="s">
        <v>47</v>
      </c>
      <c r="B2909">
        <v>2010</v>
      </c>
      <c r="C2909" t="s">
        <v>6194</v>
      </c>
      <c r="D2909" t="s">
        <v>33</v>
      </c>
      <c r="E2909" t="s">
        <v>6195</v>
      </c>
      <c r="F2909" t="s">
        <v>46</v>
      </c>
      <c r="G2909">
        <v>49.87</v>
      </c>
      <c r="H2909">
        <v>92</v>
      </c>
      <c r="I2909" t="s">
        <v>61</v>
      </c>
      <c r="J2909" t="s">
        <v>37</v>
      </c>
      <c r="K2909" t="s">
        <v>1604</v>
      </c>
      <c r="L2909">
        <v>352</v>
      </c>
      <c r="M2909" t="str">
        <f t="shared" si="90"/>
        <v>High</v>
      </c>
      <c r="N2909" t="str">
        <f t="shared" si="91"/>
        <v>Excellent</v>
      </c>
    </row>
    <row r="2910" spans="1:14">
      <c r="A2910" t="s">
        <v>39</v>
      </c>
      <c r="B2910">
        <v>2000</v>
      </c>
      <c r="C2910" t="s">
        <v>6196</v>
      </c>
      <c r="D2910" t="s">
        <v>14</v>
      </c>
      <c r="E2910" t="s">
        <v>6197</v>
      </c>
      <c r="F2910" t="s">
        <v>42</v>
      </c>
      <c r="G2910">
        <v>28.95</v>
      </c>
      <c r="H2910">
        <v>86</v>
      </c>
      <c r="I2910" t="s">
        <v>17</v>
      </c>
      <c r="J2910" t="s">
        <v>24</v>
      </c>
      <c r="K2910" t="s">
        <v>1292</v>
      </c>
      <c r="L2910">
        <v>205</v>
      </c>
      <c r="M2910" t="str">
        <f t="shared" si="90"/>
        <v>Medium</v>
      </c>
      <c r="N2910" t="str">
        <f t="shared" si="91"/>
        <v>Good</v>
      </c>
    </row>
    <row r="2911" spans="1:14">
      <c r="A2911" t="s">
        <v>20</v>
      </c>
      <c r="B2911">
        <v>2016</v>
      </c>
      <c r="C2911" t="s">
        <v>6198</v>
      </c>
      <c r="D2911" t="s">
        <v>14</v>
      </c>
      <c r="E2911" t="s">
        <v>6199</v>
      </c>
      <c r="F2911" t="s">
        <v>16</v>
      </c>
      <c r="G2911">
        <v>46.79</v>
      </c>
      <c r="H2911">
        <v>70</v>
      </c>
      <c r="I2911" t="s">
        <v>29</v>
      </c>
      <c r="J2911" t="s">
        <v>24</v>
      </c>
      <c r="K2911" t="s">
        <v>831</v>
      </c>
      <c r="L2911">
        <v>355</v>
      </c>
      <c r="M2911" t="str">
        <f t="shared" si="90"/>
        <v>High</v>
      </c>
      <c r="N2911" t="str">
        <f t="shared" si="91"/>
        <v>Average</v>
      </c>
    </row>
    <row r="2912" spans="1:14">
      <c r="A2912" t="s">
        <v>38</v>
      </c>
      <c r="B2912">
        <v>2018</v>
      </c>
      <c r="C2912" t="s">
        <v>6200</v>
      </c>
      <c r="D2912" t="s">
        <v>33</v>
      </c>
      <c r="E2912" t="s">
        <v>1513</v>
      </c>
      <c r="F2912" t="s">
        <v>42</v>
      </c>
      <c r="G2912">
        <v>0.67</v>
      </c>
      <c r="H2912">
        <v>94</v>
      </c>
      <c r="I2912" t="s">
        <v>61</v>
      </c>
      <c r="J2912" t="s">
        <v>37</v>
      </c>
      <c r="K2912" t="s">
        <v>184</v>
      </c>
      <c r="L2912">
        <v>305</v>
      </c>
      <c r="M2912" t="str">
        <f t="shared" si="90"/>
        <v>Low</v>
      </c>
      <c r="N2912" t="str">
        <f t="shared" si="91"/>
        <v>Excellent</v>
      </c>
    </row>
    <row r="2913" spans="1:14">
      <c r="A2913" t="s">
        <v>65</v>
      </c>
      <c r="B2913">
        <v>2021</v>
      </c>
      <c r="C2913" t="s">
        <v>6201</v>
      </c>
      <c r="D2913" t="s">
        <v>33</v>
      </c>
      <c r="E2913" t="s">
        <v>4382</v>
      </c>
      <c r="F2913" t="s">
        <v>46</v>
      </c>
      <c r="G2913">
        <v>43.52</v>
      </c>
      <c r="H2913">
        <v>97</v>
      </c>
      <c r="I2913" t="s">
        <v>61</v>
      </c>
      <c r="J2913" t="s">
        <v>24</v>
      </c>
      <c r="K2913" t="s">
        <v>73</v>
      </c>
      <c r="L2913">
        <v>217</v>
      </c>
      <c r="M2913" t="str">
        <f t="shared" si="90"/>
        <v>High</v>
      </c>
      <c r="N2913" t="str">
        <f t="shared" si="91"/>
        <v>Excellent</v>
      </c>
    </row>
    <row r="2914" spans="1:14">
      <c r="A2914" t="s">
        <v>48</v>
      </c>
      <c r="B2914">
        <v>2004</v>
      </c>
      <c r="C2914" t="s">
        <v>6202</v>
      </c>
      <c r="D2914" t="s">
        <v>14</v>
      </c>
      <c r="E2914" t="s">
        <v>6203</v>
      </c>
      <c r="F2914" t="s">
        <v>57</v>
      </c>
      <c r="G2914">
        <v>29.13</v>
      </c>
      <c r="H2914">
        <v>83</v>
      </c>
      <c r="I2914" t="s">
        <v>36</v>
      </c>
      <c r="J2914" t="s">
        <v>24</v>
      </c>
      <c r="K2914" t="s">
        <v>209</v>
      </c>
      <c r="L2914">
        <v>353</v>
      </c>
      <c r="M2914" t="str">
        <f t="shared" si="90"/>
        <v>Medium</v>
      </c>
      <c r="N2914" t="str">
        <f t="shared" si="91"/>
        <v>Good</v>
      </c>
    </row>
    <row r="2915" spans="1:14">
      <c r="A2915" t="s">
        <v>48</v>
      </c>
      <c r="B2915">
        <v>2004</v>
      </c>
      <c r="C2915" t="s">
        <v>6204</v>
      </c>
      <c r="D2915" t="s">
        <v>14</v>
      </c>
      <c r="E2915" t="s">
        <v>6205</v>
      </c>
      <c r="F2915" t="s">
        <v>16</v>
      </c>
      <c r="G2915">
        <v>40.33</v>
      </c>
      <c r="H2915">
        <v>54</v>
      </c>
      <c r="I2915" t="s">
        <v>36</v>
      </c>
      <c r="J2915" t="s">
        <v>37</v>
      </c>
      <c r="K2915" t="s">
        <v>5726</v>
      </c>
      <c r="L2915">
        <v>112</v>
      </c>
      <c r="M2915" t="str">
        <f t="shared" si="90"/>
        <v>High</v>
      </c>
      <c r="N2915" t="str">
        <f t="shared" si="91"/>
        <v>Average</v>
      </c>
    </row>
    <row r="2916" spans="1:14">
      <c r="A2916" t="s">
        <v>38</v>
      </c>
      <c r="B2916">
        <v>2023</v>
      </c>
      <c r="C2916" t="s">
        <v>6206</v>
      </c>
      <c r="D2916" t="s">
        <v>33</v>
      </c>
      <c r="E2916" t="s">
        <v>6068</v>
      </c>
      <c r="F2916" t="s">
        <v>16</v>
      </c>
      <c r="G2916">
        <v>26.72</v>
      </c>
      <c r="H2916">
        <v>88</v>
      </c>
      <c r="I2916" t="s">
        <v>23</v>
      </c>
      <c r="J2916" t="s">
        <v>37</v>
      </c>
      <c r="K2916" t="s">
        <v>68</v>
      </c>
      <c r="L2916">
        <v>158</v>
      </c>
      <c r="M2916" t="str">
        <f t="shared" si="90"/>
        <v>Medium</v>
      </c>
      <c r="N2916" t="str">
        <f t="shared" si="91"/>
        <v>Good</v>
      </c>
    </row>
    <row r="2917" spans="1:14">
      <c r="A2917" t="s">
        <v>31</v>
      </c>
      <c r="B2917">
        <v>2006</v>
      </c>
      <c r="C2917" t="s">
        <v>6207</v>
      </c>
      <c r="D2917" t="s">
        <v>14</v>
      </c>
      <c r="E2917" t="s">
        <v>6208</v>
      </c>
      <c r="F2917" t="s">
        <v>16</v>
      </c>
      <c r="G2917">
        <v>25.3</v>
      </c>
      <c r="H2917">
        <v>67</v>
      </c>
      <c r="I2917" t="s">
        <v>29</v>
      </c>
      <c r="J2917" t="s">
        <v>24</v>
      </c>
      <c r="K2917" t="s">
        <v>986</v>
      </c>
      <c r="L2917">
        <v>193</v>
      </c>
      <c r="M2917" t="str">
        <f t="shared" si="90"/>
        <v>Medium</v>
      </c>
      <c r="N2917" t="str">
        <f t="shared" si="91"/>
        <v>Average</v>
      </c>
    </row>
    <row r="2918" spans="1:14">
      <c r="A2918" t="s">
        <v>65</v>
      </c>
      <c r="B2918">
        <v>2014</v>
      </c>
      <c r="C2918" t="s">
        <v>6209</v>
      </c>
      <c r="D2918" t="s">
        <v>33</v>
      </c>
      <c r="E2918" t="s">
        <v>6210</v>
      </c>
      <c r="F2918" t="s">
        <v>16</v>
      </c>
      <c r="G2918">
        <v>42.09</v>
      </c>
      <c r="H2918">
        <v>73</v>
      </c>
      <c r="I2918" t="s">
        <v>61</v>
      </c>
      <c r="J2918" t="s">
        <v>24</v>
      </c>
      <c r="K2918" t="s">
        <v>6211</v>
      </c>
      <c r="L2918">
        <v>33</v>
      </c>
      <c r="M2918" t="str">
        <f t="shared" si="90"/>
        <v>High</v>
      </c>
      <c r="N2918" t="str">
        <f t="shared" si="91"/>
        <v>Average</v>
      </c>
    </row>
    <row r="2919" spans="1:14">
      <c r="A2919" t="s">
        <v>48</v>
      </c>
      <c r="B2919">
        <v>2000</v>
      </c>
      <c r="C2919" t="s">
        <v>6212</v>
      </c>
      <c r="D2919" t="s">
        <v>14</v>
      </c>
      <c r="E2919" t="s">
        <v>6213</v>
      </c>
      <c r="F2919" t="s">
        <v>35</v>
      </c>
      <c r="G2919">
        <v>32.31</v>
      </c>
      <c r="H2919">
        <v>65</v>
      </c>
      <c r="I2919" t="s">
        <v>29</v>
      </c>
      <c r="J2919" t="s">
        <v>37</v>
      </c>
      <c r="K2919" t="s">
        <v>31</v>
      </c>
      <c r="L2919">
        <v>359</v>
      </c>
      <c r="M2919" t="str">
        <f t="shared" si="90"/>
        <v>Medium</v>
      </c>
      <c r="N2919" t="str">
        <f t="shared" si="91"/>
        <v>Average</v>
      </c>
    </row>
    <row r="2920" spans="1:14">
      <c r="A2920" t="s">
        <v>65</v>
      </c>
      <c r="B2920">
        <v>2012</v>
      </c>
      <c r="C2920" t="s">
        <v>6214</v>
      </c>
      <c r="D2920" t="s">
        <v>14</v>
      </c>
      <c r="E2920" t="s">
        <v>6215</v>
      </c>
      <c r="F2920" t="s">
        <v>42</v>
      </c>
      <c r="G2920">
        <v>17.579999999999998</v>
      </c>
      <c r="H2920">
        <v>51</v>
      </c>
      <c r="I2920" t="s">
        <v>61</v>
      </c>
      <c r="J2920" t="s">
        <v>24</v>
      </c>
      <c r="K2920" t="s">
        <v>4431</v>
      </c>
      <c r="L2920">
        <v>99</v>
      </c>
      <c r="M2920" t="str">
        <f t="shared" si="90"/>
        <v>Medium</v>
      </c>
      <c r="N2920" t="str">
        <f t="shared" si="91"/>
        <v>Average</v>
      </c>
    </row>
    <row r="2921" spans="1:14">
      <c r="A2921" t="s">
        <v>31</v>
      </c>
      <c r="B2921">
        <v>2022</v>
      </c>
      <c r="C2921" t="s">
        <v>6216</v>
      </c>
      <c r="D2921" t="s">
        <v>33</v>
      </c>
      <c r="E2921" t="s">
        <v>6217</v>
      </c>
      <c r="F2921" t="s">
        <v>16</v>
      </c>
      <c r="G2921">
        <v>31.57</v>
      </c>
      <c r="H2921">
        <v>73</v>
      </c>
      <c r="I2921" t="s">
        <v>17</v>
      </c>
      <c r="J2921" t="s">
        <v>24</v>
      </c>
      <c r="K2921" t="s">
        <v>1597</v>
      </c>
      <c r="L2921">
        <v>281</v>
      </c>
      <c r="M2921" t="str">
        <f t="shared" si="90"/>
        <v>Medium</v>
      </c>
      <c r="N2921" t="str">
        <f t="shared" si="91"/>
        <v>Average</v>
      </c>
    </row>
    <row r="2922" spans="1:14">
      <c r="A2922" t="s">
        <v>65</v>
      </c>
      <c r="B2922">
        <v>2017</v>
      </c>
      <c r="C2922" t="s">
        <v>6218</v>
      </c>
      <c r="D2922" t="s">
        <v>33</v>
      </c>
      <c r="E2922" t="s">
        <v>6219</v>
      </c>
      <c r="F2922" t="s">
        <v>16</v>
      </c>
      <c r="G2922">
        <v>34.44</v>
      </c>
      <c r="H2922">
        <v>51</v>
      </c>
      <c r="I2922" t="s">
        <v>36</v>
      </c>
      <c r="J2922" t="s">
        <v>24</v>
      </c>
      <c r="K2922" t="s">
        <v>38</v>
      </c>
      <c r="L2922">
        <v>220</v>
      </c>
      <c r="M2922" t="str">
        <f t="shared" si="90"/>
        <v>Medium</v>
      </c>
      <c r="N2922" t="str">
        <f t="shared" si="91"/>
        <v>Average</v>
      </c>
    </row>
    <row r="2923" spans="1:14">
      <c r="A2923" t="s">
        <v>31</v>
      </c>
      <c r="B2923">
        <v>2004</v>
      </c>
      <c r="C2923" t="s">
        <v>6220</v>
      </c>
      <c r="D2923" t="s">
        <v>14</v>
      </c>
      <c r="E2923" t="s">
        <v>6221</v>
      </c>
      <c r="F2923" t="s">
        <v>42</v>
      </c>
      <c r="G2923">
        <v>1.19</v>
      </c>
      <c r="H2923">
        <v>79</v>
      </c>
      <c r="I2923" t="s">
        <v>61</v>
      </c>
      <c r="J2923" t="s">
        <v>37</v>
      </c>
      <c r="K2923" t="s">
        <v>12</v>
      </c>
      <c r="L2923">
        <v>231</v>
      </c>
      <c r="M2923" t="str">
        <f t="shared" si="90"/>
        <v>Low</v>
      </c>
      <c r="N2923" t="str">
        <f t="shared" si="91"/>
        <v>Good</v>
      </c>
    </row>
    <row r="2924" spans="1:14">
      <c r="A2924" t="s">
        <v>38</v>
      </c>
      <c r="B2924">
        <v>2005</v>
      </c>
      <c r="C2924" t="s">
        <v>6222</v>
      </c>
      <c r="D2924" t="s">
        <v>33</v>
      </c>
      <c r="E2924" t="s">
        <v>6223</v>
      </c>
      <c r="F2924" t="s">
        <v>46</v>
      </c>
      <c r="G2924">
        <v>2.5299999999999998</v>
      </c>
      <c r="H2924">
        <v>62</v>
      </c>
      <c r="I2924" t="s">
        <v>17</v>
      </c>
      <c r="J2924" t="s">
        <v>24</v>
      </c>
      <c r="K2924" t="s">
        <v>68</v>
      </c>
      <c r="L2924">
        <v>360</v>
      </c>
      <c r="M2924" t="str">
        <f t="shared" si="90"/>
        <v>Low</v>
      </c>
      <c r="N2924" t="str">
        <f t="shared" si="91"/>
        <v>Average</v>
      </c>
    </row>
    <row r="2925" spans="1:14">
      <c r="A2925" t="s">
        <v>47</v>
      </c>
      <c r="B2925">
        <v>2023</v>
      </c>
      <c r="C2925" t="s">
        <v>6224</v>
      </c>
      <c r="D2925" t="s">
        <v>33</v>
      </c>
      <c r="E2925" t="s">
        <v>6225</v>
      </c>
      <c r="F2925" t="s">
        <v>16</v>
      </c>
      <c r="G2925">
        <v>49.5</v>
      </c>
      <c r="H2925">
        <v>96</v>
      </c>
      <c r="I2925" t="s">
        <v>61</v>
      </c>
      <c r="J2925" t="s">
        <v>37</v>
      </c>
      <c r="K2925" t="s">
        <v>279</v>
      </c>
      <c r="L2925">
        <v>277</v>
      </c>
      <c r="M2925" t="str">
        <f t="shared" si="90"/>
        <v>High</v>
      </c>
      <c r="N2925" t="str">
        <f t="shared" si="91"/>
        <v>Excellent</v>
      </c>
    </row>
    <row r="2926" spans="1:14">
      <c r="A2926" t="s">
        <v>12</v>
      </c>
      <c r="B2926">
        <v>2021</v>
      </c>
      <c r="C2926" t="s">
        <v>6226</v>
      </c>
      <c r="D2926" t="s">
        <v>33</v>
      </c>
      <c r="E2926" t="s">
        <v>6227</v>
      </c>
      <c r="F2926" t="s">
        <v>46</v>
      </c>
      <c r="G2926">
        <v>21.96</v>
      </c>
      <c r="H2926">
        <v>57</v>
      </c>
      <c r="I2926" t="s">
        <v>17</v>
      </c>
      <c r="J2926" t="s">
        <v>18</v>
      </c>
      <c r="K2926" t="s">
        <v>38</v>
      </c>
      <c r="L2926">
        <v>291</v>
      </c>
      <c r="M2926" t="str">
        <f t="shared" si="90"/>
        <v>Medium</v>
      </c>
      <c r="N2926" t="str">
        <f t="shared" si="91"/>
        <v>Average</v>
      </c>
    </row>
    <row r="2927" spans="1:14">
      <c r="A2927" t="s">
        <v>38</v>
      </c>
      <c r="B2927">
        <v>2019</v>
      </c>
      <c r="C2927" t="s">
        <v>6228</v>
      </c>
      <c r="D2927" t="s">
        <v>33</v>
      </c>
      <c r="E2927" t="s">
        <v>5260</v>
      </c>
      <c r="F2927" t="s">
        <v>35</v>
      </c>
      <c r="G2927">
        <v>11.86</v>
      </c>
      <c r="H2927">
        <v>63</v>
      </c>
      <c r="I2927" t="s">
        <v>17</v>
      </c>
      <c r="J2927" t="s">
        <v>18</v>
      </c>
      <c r="K2927" t="s">
        <v>114</v>
      </c>
      <c r="L2927">
        <v>295</v>
      </c>
      <c r="M2927" t="str">
        <f t="shared" si="90"/>
        <v>Low</v>
      </c>
      <c r="N2927" t="str">
        <f t="shared" si="91"/>
        <v>Average</v>
      </c>
    </row>
    <row r="2928" spans="1:14">
      <c r="A2928" t="s">
        <v>12</v>
      </c>
      <c r="B2928">
        <v>2011</v>
      </c>
      <c r="C2928" t="s">
        <v>6229</v>
      </c>
      <c r="D2928" t="s">
        <v>14</v>
      </c>
      <c r="E2928" t="s">
        <v>2416</v>
      </c>
      <c r="F2928" t="s">
        <v>16</v>
      </c>
      <c r="G2928">
        <v>40.49</v>
      </c>
      <c r="H2928">
        <v>93</v>
      </c>
      <c r="I2928" t="s">
        <v>17</v>
      </c>
      <c r="J2928" t="s">
        <v>18</v>
      </c>
      <c r="K2928" t="s">
        <v>78</v>
      </c>
      <c r="L2928">
        <v>150</v>
      </c>
      <c r="M2928" t="str">
        <f t="shared" si="90"/>
        <v>High</v>
      </c>
      <c r="N2928" t="str">
        <f t="shared" si="91"/>
        <v>Excellent</v>
      </c>
    </row>
    <row r="2929" spans="1:14">
      <c r="A2929" t="s">
        <v>31</v>
      </c>
      <c r="B2929">
        <v>2023</v>
      </c>
      <c r="C2929" t="s">
        <v>6230</v>
      </c>
      <c r="D2929" t="s">
        <v>33</v>
      </c>
      <c r="E2929" t="s">
        <v>2028</v>
      </c>
      <c r="F2929" t="s">
        <v>57</v>
      </c>
      <c r="G2929">
        <v>15.65</v>
      </c>
      <c r="H2929">
        <v>61</v>
      </c>
      <c r="I2929" t="s">
        <v>29</v>
      </c>
      <c r="J2929" t="s">
        <v>37</v>
      </c>
      <c r="K2929" t="s">
        <v>1633</v>
      </c>
      <c r="L2929">
        <v>85</v>
      </c>
      <c r="M2929" t="str">
        <f t="shared" si="90"/>
        <v>Medium</v>
      </c>
      <c r="N2929" t="str">
        <f t="shared" si="91"/>
        <v>Average</v>
      </c>
    </row>
    <row r="2930" spans="1:14">
      <c r="A2930" t="s">
        <v>12</v>
      </c>
      <c r="B2930">
        <v>2011</v>
      </c>
      <c r="C2930" t="s">
        <v>6231</v>
      </c>
      <c r="D2930" t="s">
        <v>14</v>
      </c>
      <c r="E2930" t="s">
        <v>6232</v>
      </c>
      <c r="F2930" t="s">
        <v>35</v>
      </c>
      <c r="G2930">
        <v>16.63</v>
      </c>
      <c r="H2930">
        <v>56</v>
      </c>
      <c r="I2930" t="s">
        <v>17</v>
      </c>
      <c r="J2930" t="s">
        <v>18</v>
      </c>
      <c r="K2930" t="s">
        <v>12</v>
      </c>
      <c r="L2930">
        <v>31</v>
      </c>
      <c r="M2930" t="str">
        <f t="shared" si="90"/>
        <v>Medium</v>
      </c>
      <c r="N2930" t="str">
        <f t="shared" si="91"/>
        <v>Average</v>
      </c>
    </row>
    <row r="2931" spans="1:14">
      <c r="A2931" t="s">
        <v>12</v>
      </c>
      <c r="B2931">
        <v>2001</v>
      </c>
      <c r="C2931" t="s">
        <v>6233</v>
      </c>
      <c r="D2931" t="s">
        <v>33</v>
      </c>
      <c r="E2931" t="s">
        <v>741</v>
      </c>
      <c r="F2931" t="s">
        <v>46</v>
      </c>
      <c r="G2931">
        <v>24.67</v>
      </c>
      <c r="H2931">
        <v>100</v>
      </c>
      <c r="I2931" t="s">
        <v>29</v>
      </c>
      <c r="J2931" t="s">
        <v>18</v>
      </c>
      <c r="K2931" t="s">
        <v>2369</v>
      </c>
      <c r="L2931">
        <v>22</v>
      </c>
      <c r="M2931" t="str">
        <f t="shared" si="90"/>
        <v>Medium</v>
      </c>
      <c r="N2931" t="str">
        <f t="shared" si="91"/>
        <v>Excellent</v>
      </c>
    </row>
    <row r="2932" spans="1:14">
      <c r="A2932" t="s">
        <v>26</v>
      </c>
      <c r="B2932">
        <v>2011</v>
      </c>
      <c r="C2932" t="s">
        <v>6234</v>
      </c>
      <c r="D2932" t="s">
        <v>33</v>
      </c>
      <c r="E2932" t="s">
        <v>6235</v>
      </c>
      <c r="F2932" t="s">
        <v>57</v>
      </c>
      <c r="G2932">
        <v>37.44</v>
      </c>
      <c r="H2932">
        <v>71</v>
      </c>
      <c r="I2932" t="s">
        <v>36</v>
      </c>
      <c r="J2932" t="s">
        <v>37</v>
      </c>
      <c r="K2932" t="s">
        <v>65</v>
      </c>
      <c r="L2932">
        <v>129</v>
      </c>
      <c r="M2932" t="str">
        <f t="shared" si="90"/>
        <v>High</v>
      </c>
      <c r="N2932" t="str">
        <f t="shared" si="91"/>
        <v>Average</v>
      </c>
    </row>
    <row r="2933" spans="1:14">
      <c r="A2933" t="s">
        <v>48</v>
      </c>
      <c r="B2933">
        <v>2022</v>
      </c>
      <c r="C2933" t="s">
        <v>6236</v>
      </c>
      <c r="D2933" t="s">
        <v>33</v>
      </c>
      <c r="E2933" t="s">
        <v>6237</v>
      </c>
      <c r="F2933" t="s">
        <v>57</v>
      </c>
      <c r="G2933">
        <v>35.090000000000003</v>
      </c>
      <c r="H2933">
        <v>82</v>
      </c>
      <c r="I2933" t="s">
        <v>61</v>
      </c>
      <c r="J2933" t="s">
        <v>18</v>
      </c>
      <c r="K2933" t="s">
        <v>39</v>
      </c>
      <c r="L2933">
        <v>199</v>
      </c>
      <c r="M2933" t="str">
        <f t="shared" si="90"/>
        <v>High</v>
      </c>
      <c r="N2933" t="str">
        <f t="shared" si="91"/>
        <v>Good</v>
      </c>
    </row>
    <row r="2934" spans="1:14">
      <c r="A2934" t="s">
        <v>31</v>
      </c>
      <c r="B2934">
        <v>2000</v>
      </c>
      <c r="C2934" t="s">
        <v>6238</v>
      </c>
      <c r="D2934" t="s">
        <v>33</v>
      </c>
      <c r="E2934" t="s">
        <v>1844</v>
      </c>
      <c r="F2934" t="s">
        <v>42</v>
      </c>
      <c r="G2934">
        <v>30.18</v>
      </c>
      <c r="H2934">
        <v>100</v>
      </c>
      <c r="I2934" t="s">
        <v>29</v>
      </c>
      <c r="J2934" t="s">
        <v>24</v>
      </c>
      <c r="K2934" t="s">
        <v>1633</v>
      </c>
      <c r="L2934">
        <v>219</v>
      </c>
      <c r="M2934" t="str">
        <f t="shared" si="90"/>
        <v>Medium</v>
      </c>
      <c r="N2934" t="str">
        <f t="shared" si="91"/>
        <v>Excellent</v>
      </c>
    </row>
    <row r="2935" spans="1:14">
      <c r="A2935" t="s">
        <v>47</v>
      </c>
      <c r="B2935">
        <v>2021</v>
      </c>
      <c r="C2935" t="s">
        <v>6239</v>
      </c>
      <c r="D2935" t="s">
        <v>33</v>
      </c>
      <c r="E2935" t="s">
        <v>6240</v>
      </c>
      <c r="F2935" t="s">
        <v>16</v>
      </c>
      <c r="G2935">
        <v>19.64</v>
      </c>
      <c r="H2935">
        <v>81</v>
      </c>
      <c r="I2935" t="s">
        <v>29</v>
      </c>
      <c r="J2935" t="s">
        <v>37</v>
      </c>
      <c r="K2935" t="s">
        <v>2517</v>
      </c>
      <c r="L2935">
        <v>202</v>
      </c>
      <c r="M2935" t="str">
        <f t="shared" si="90"/>
        <v>Medium</v>
      </c>
      <c r="N2935" t="str">
        <f t="shared" si="91"/>
        <v>Good</v>
      </c>
    </row>
    <row r="2936" spans="1:14">
      <c r="A2936" t="s">
        <v>38</v>
      </c>
      <c r="B2936">
        <v>2004</v>
      </c>
      <c r="C2936" t="s">
        <v>6241</v>
      </c>
      <c r="D2936" t="s">
        <v>14</v>
      </c>
      <c r="E2936" t="s">
        <v>6242</v>
      </c>
      <c r="F2936" t="s">
        <v>57</v>
      </c>
      <c r="G2936">
        <v>36.200000000000003</v>
      </c>
      <c r="H2936">
        <v>92</v>
      </c>
      <c r="I2936" t="s">
        <v>36</v>
      </c>
      <c r="J2936" t="s">
        <v>24</v>
      </c>
      <c r="K2936" t="s">
        <v>12</v>
      </c>
      <c r="L2936">
        <v>199</v>
      </c>
      <c r="M2936" t="str">
        <f t="shared" si="90"/>
        <v>High</v>
      </c>
      <c r="N2936" t="str">
        <f t="shared" si="91"/>
        <v>Excellent</v>
      </c>
    </row>
    <row r="2937" spans="1:14">
      <c r="A2937" t="s">
        <v>20</v>
      </c>
      <c r="B2937">
        <v>2003</v>
      </c>
      <c r="C2937" t="s">
        <v>6243</v>
      </c>
      <c r="D2937" t="s">
        <v>33</v>
      </c>
      <c r="E2937" t="s">
        <v>6244</v>
      </c>
      <c r="F2937" t="s">
        <v>16</v>
      </c>
      <c r="G2937">
        <v>3.93</v>
      </c>
      <c r="H2937">
        <v>87</v>
      </c>
      <c r="I2937" t="s">
        <v>61</v>
      </c>
      <c r="J2937" t="s">
        <v>37</v>
      </c>
      <c r="K2937" t="s">
        <v>1816</v>
      </c>
      <c r="L2937">
        <v>96</v>
      </c>
      <c r="M2937" t="str">
        <f t="shared" si="90"/>
        <v>Low</v>
      </c>
      <c r="N2937" t="str">
        <f t="shared" si="91"/>
        <v>Good</v>
      </c>
    </row>
    <row r="2938" spans="1:14">
      <c r="A2938" t="s">
        <v>65</v>
      </c>
      <c r="B2938">
        <v>2010</v>
      </c>
      <c r="C2938" t="s">
        <v>6245</v>
      </c>
      <c r="D2938" t="s">
        <v>14</v>
      </c>
      <c r="E2938" t="s">
        <v>6246</v>
      </c>
      <c r="F2938" t="s">
        <v>46</v>
      </c>
      <c r="G2938">
        <v>28.71</v>
      </c>
      <c r="H2938">
        <v>53</v>
      </c>
      <c r="I2938" t="s">
        <v>29</v>
      </c>
      <c r="J2938" t="s">
        <v>18</v>
      </c>
      <c r="K2938" t="s">
        <v>5778</v>
      </c>
      <c r="L2938">
        <v>194</v>
      </c>
      <c r="M2938" t="str">
        <f t="shared" si="90"/>
        <v>Medium</v>
      </c>
      <c r="N2938" t="str">
        <f t="shared" si="91"/>
        <v>Average</v>
      </c>
    </row>
    <row r="2939" spans="1:14">
      <c r="A2939" t="s">
        <v>26</v>
      </c>
      <c r="B2939">
        <v>2004</v>
      </c>
      <c r="C2939" t="s">
        <v>6247</v>
      </c>
      <c r="D2939" t="s">
        <v>33</v>
      </c>
      <c r="E2939" t="s">
        <v>6248</v>
      </c>
      <c r="F2939" t="s">
        <v>57</v>
      </c>
      <c r="G2939">
        <v>34.61</v>
      </c>
      <c r="H2939">
        <v>82</v>
      </c>
      <c r="I2939" t="s">
        <v>36</v>
      </c>
      <c r="J2939" t="s">
        <v>18</v>
      </c>
      <c r="K2939" t="s">
        <v>65</v>
      </c>
      <c r="L2939">
        <v>200</v>
      </c>
      <c r="M2939" t="str">
        <f t="shared" si="90"/>
        <v>Medium</v>
      </c>
      <c r="N2939" t="str">
        <f t="shared" si="91"/>
        <v>Good</v>
      </c>
    </row>
    <row r="2940" spans="1:14">
      <c r="A2940" t="s">
        <v>38</v>
      </c>
      <c r="B2940">
        <v>2000</v>
      </c>
      <c r="C2940" t="s">
        <v>6249</v>
      </c>
      <c r="D2940" t="s">
        <v>14</v>
      </c>
      <c r="E2940" t="s">
        <v>6250</v>
      </c>
      <c r="F2940" t="s">
        <v>46</v>
      </c>
      <c r="G2940">
        <v>44.18</v>
      </c>
      <c r="H2940">
        <v>50</v>
      </c>
      <c r="I2940" t="s">
        <v>23</v>
      </c>
      <c r="J2940" t="s">
        <v>24</v>
      </c>
      <c r="K2940" t="s">
        <v>47</v>
      </c>
      <c r="L2940">
        <v>123</v>
      </c>
      <c r="M2940" t="str">
        <f t="shared" si="90"/>
        <v>High</v>
      </c>
      <c r="N2940" t="str">
        <f t="shared" si="91"/>
        <v>Average</v>
      </c>
    </row>
    <row r="2941" spans="1:14">
      <c r="A2941" t="s">
        <v>47</v>
      </c>
      <c r="B2941">
        <v>2022</v>
      </c>
      <c r="C2941" t="s">
        <v>6251</v>
      </c>
      <c r="D2941" t="s">
        <v>14</v>
      </c>
      <c r="E2941" t="s">
        <v>6252</v>
      </c>
      <c r="F2941" t="s">
        <v>46</v>
      </c>
      <c r="G2941">
        <v>36.08</v>
      </c>
      <c r="H2941">
        <v>99</v>
      </c>
      <c r="I2941" t="s">
        <v>17</v>
      </c>
      <c r="J2941" t="s">
        <v>24</v>
      </c>
      <c r="K2941" t="s">
        <v>12</v>
      </c>
      <c r="L2941">
        <v>94</v>
      </c>
      <c r="M2941" t="str">
        <f t="shared" si="90"/>
        <v>High</v>
      </c>
      <c r="N2941" t="str">
        <f t="shared" si="91"/>
        <v>Excellent</v>
      </c>
    </row>
    <row r="2942" spans="1:14">
      <c r="A2942" t="s">
        <v>65</v>
      </c>
      <c r="B2942">
        <v>2002</v>
      </c>
      <c r="C2942" t="s">
        <v>6253</v>
      </c>
      <c r="D2942" t="s">
        <v>14</v>
      </c>
      <c r="E2942" t="s">
        <v>6254</v>
      </c>
      <c r="F2942" t="s">
        <v>35</v>
      </c>
      <c r="G2942">
        <v>41.28</v>
      </c>
      <c r="H2942">
        <v>74</v>
      </c>
      <c r="I2942" t="s">
        <v>61</v>
      </c>
      <c r="J2942" t="s">
        <v>18</v>
      </c>
      <c r="K2942" t="s">
        <v>20</v>
      </c>
      <c r="L2942">
        <v>56</v>
      </c>
      <c r="M2942" t="str">
        <f t="shared" si="90"/>
        <v>High</v>
      </c>
      <c r="N2942" t="str">
        <f t="shared" si="91"/>
        <v>Average</v>
      </c>
    </row>
    <row r="2943" spans="1:14">
      <c r="A2943" t="s">
        <v>39</v>
      </c>
      <c r="B2943">
        <v>2005</v>
      </c>
      <c r="C2943" t="s">
        <v>6255</v>
      </c>
      <c r="D2943" t="s">
        <v>33</v>
      </c>
      <c r="E2943" t="s">
        <v>6256</v>
      </c>
      <c r="F2943" t="s">
        <v>16</v>
      </c>
      <c r="G2943">
        <v>7.66</v>
      </c>
      <c r="H2943">
        <v>81</v>
      </c>
      <c r="I2943" t="s">
        <v>23</v>
      </c>
      <c r="J2943" t="s">
        <v>24</v>
      </c>
      <c r="K2943" t="s">
        <v>1681</v>
      </c>
      <c r="L2943">
        <v>29</v>
      </c>
      <c r="M2943" t="str">
        <f t="shared" si="90"/>
        <v>Low</v>
      </c>
      <c r="N2943" t="str">
        <f t="shared" si="91"/>
        <v>Good</v>
      </c>
    </row>
    <row r="2944" spans="1:14">
      <c r="A2944" t="s">
        <v>39</v>
      </c>
      <c r="B2944">
        <v>2019</v>
      </c>
      <c r="C2944" t="s">
        <v>6257</v>
      </c>
      <c r="D2944" t="s">
        <v>33</v>
      </c>
      <c r="E2944" t="s">
        <v>6258</v>
      </c>
      <c r="F2944" t="s">
        <v>46</v>
      </c>
      <c r="G2944">
        <v>43.23</v>
      </c>
      <c r="H2944">
        <v>76</v>
      </c>
      <c r="I2944" t="s">
        <v>36</v>
      </c>
      <c r="J2944" t="s">
        <v>24</v>
      </c>
      <c r="K2944" t="s">
        <v>314</v>
      </c>
      <c r="L2944">
        <v>252</v>
      </c>
      <c r="M2944" t="str">
        <f t="shared" si="90"/>
        <v>High</v>
      </c>
      <c r="N2944" t="str">
        <f t="shared" si="91"/>
        <v>Good</v>
      </c>
    </row>
    <row r="2945" spans="1:14">
      <c r="A2945" t="s">
        <v>47</v>
      </c>
      <c r="B2945">
        <v>2009</v>
      </c>
      <c r="C2945" t="s">
        <v>6259</v>
      </c>
      <c r="D2945" t="s">
        <v>33</v>
      </c>
      <c r="E2945" t="s">
        <v>3337</v>
      </c>
      <c r="F2945" t="s">
        <v>46</v>
      </c>
      <c r="G2945">
        <v>42.96</v>
      </c>
      <c r="H2945">
        <v>82</v>
      </c>
      <c r="I2945" t="s">
        <v>17</v>
      </c>
      <c r="J2945" t="s">
        <v>18</v>
      </c>
      <c r="K2945" t="s">
        <v>1126</v>
      </c>
      <c r="L2945">
        <v>81</v>
      </c>
      <c r="M2945" t="str">
        <f t="shared" si="90"/>
        <v>High</v>
      </c>
      <c r="N2945" t="str">
        <f t="shared" si="91"/>
        <v>Good</v>
      </c>
    </row>
    <row r="2946" spans="1:14">
      <c r="A2946" t="s">
        <v>39</v>
      </c>
      <c r="B2946">
        <v>2015</v>
      </c>
      <c r="C2946" t="s">
        <v>6260</v>
      </c>
      <c r="D2946" t="s">
        <v>14</v>
      </c>
      <c r="E2946" t="s">
        <v>6261</v>
      </c>
      <c r="F2946" t="s">
        <v>35</v>
      </c>
      <c r="G2946">
        <v>28.65</v>
      </c>
      <c r="H2946">
        <v>73</v>
      </c>
      <c r="I2946" t="s">
        <v>61</v>
      </c>
      <c r="J2946" t="s">
        <v>37</v>
      </c>
      <c r="K2946" t="s">
        <v>81</v>
      </c>
      <c r="L2946">
        <v>270</v>
      </c>
      <c r="M2946" t="str">
        <f t="shared" si="90"/>
        <v>Medium</v>
      </c>
      <c r="N2946" t="str">
        <f t="shared" si="91"/>
        <v>Average</v>
      </c>
    </row>
    <row r="2947" spans="1:14">
      <c r="A2947" t="s">
        <v>47</v>
      </c>
      <c r="B2947">
        <v>2017</v>
      </c>
      <c r="C2947" t="s">
        <v>6262</v>
      </c>
      <c r="D2947" t="s">
        <v>33</v>
      </c>
      <c r="E2947" t="s">
        <v>6263</v>
      </c>
      <c r="F2947" t="s">
        <v>46</v>
      </c>
      <c r="G2947">
        <v>31.63</v>
      </c>
      <c r="H2947">
        <v>96</v>
      </c>
      <c r="I2947" t="s">
        <v>61</v>
      </c>
      <c r="J2947" t="s">
        <v>37</v>
      </c>
      <c r="K2947" t="s">
        <v>1427</v>
      </c>
      <c r="L2947">
        <v>158</v>
      </c>
      <c r="M2947" t="str">
        <f t="shared" ref="M2947:M3001" si="92">IF(G2947&lt;15,"Low",IF(G2947&lt;35,"Medium","High"))</f>
        <v>Medium</v>
      </c>
      <c r="N2947" t="str">
        <f t="shared" ref="N2947:N3001" si="93">IF(H2947&gt;=90,"Excellent",IF(H2947&gt;=75,"Good","Average"))</f>
        <v>Excellent</v>
      </c>
    </row>
    <row r="2948" spans="1:14">
      <c r="A2948" t="s">
        <v>68</v>
      </c>
      <c r="B2948">
        <v>2018</v>
      </c>
      <c r="C2948" t="s">
        <v>6264</v>
      </c>
      <c r="D2948" t="s">
        <v>33</v>
      </c>
      <c r="E2948" t="s">
        <v>6265</v>
      </c>
      <c r="F2948" t="s">
        <v>35</v>
      </c>
      <c r="G2948">
        <v>48.13</v>
      </c>
      <c r="H2948">
        <v>79</v>
      </c>
      <c r="I2948" t="s">
        <v>23</v>
      </c>
      <c r="J2948" t="s">
        <v>18</v>
      </c>
      <c r="K2948" t="s">
        <v>31</v>
      </c>
      <c r="L2948">
        <v>299</v>
      </c>
      <c r="M2948" t="str">
        <f t="shared" si="92"/>
        <v>High</v>
      </c>
      <c r="N2948" t="str">
        <f t="shared" si="93"/>
        <v>Good</v>
      </c>
    </row>
    <row r="2949" spans="1:14">
      <c r="A2949" t="s">
        <v>12</v>
      </c>
      <c r="B2949">
        <v>2008</v>
      </c>
      <c r="C2949" t="s">
        <v>6266</v>
      </c>
      <c r="D2949" t="s">
        <v>33</v>
      </c>
      <c r="E2949" t="s">
        <v>3503</v>
      </c>
      <c r="F2949" t="s">
        <v>16</v>
      </c>
      <c r="G2949">
        <v>45.32</v>
      </c>
      <c r="H2949">
        <v>70</v>
      </c>
      <c r="I2949" t="s">
        <v>36</v>
      </c>
      <c r="J2949" t="s">
        <v>24</v>
      </c>
      <c r="K2949" t="s">
        <v>1371</v>
      </c>
      <c r="L2949">
        <v>329</v>
      </c>
      <c r="M2949" t="str">
        <f t="shared" si="92"/>
        <v>High</v>
      </c>
      <c r="N2949" t="str">
        <f t="shared" si="93"/>
        <v>Average</v>
      </c>
    </row>
    <row r="2950" spans="1:14">
      <c r="A2950" t="s">
        <v>31</v>
      </c>
      <c r="B2950">
        <v>2010</v>
      </c>
      <c r="C2950" t="s">
        <v>6267</v>
      </c>
      <c r="D2950" t="s">
        <v>33</v>
      </c>
      <c r="E2950" t="s">
        <v>673</v>
      </c>
      <c r="F2950" t="s">
        <v>35</v>
      </c>
      <c r="G2950">
        <v>47.04</v>
      </c>
      <c r="H2950">
        <v>78</v>
      </c>
      <c r="I2950" t="s">
        <v>29</v>
      </c>
      <c r="J2950" t="s">
        <v>24</v>
      </c>
      <c r="K2950" t="s">
        <v>139</v>
      </c>
      <c r="L2950">
        <v>274</v>
      </c>
      <c r="M2950" t="str">
        <f t="shared" si="92"/>
        <v>High</v>
      </c>
      <c r="N2950" t="str">
        <f t="shared" si="93"/>
        <v>Good</v>
      </c>
    </row>
    <row r="2951" spans="1:14">
      <c r="A2951" t="s">
        <v>38</v>
      </c>
      <c r="B2951">
        <v>2015</v>
      </c>
      <c r="C2951" t="s">
        <v>6268</v>
      </c>
      <c r="D2951" t="s">
        <v>33</v>
      </c>
      <c r="E2951" t="s">
        <v>6269</v>
      </c>
      <c r="F2951" t="s">
        <v>42</v>
      </c>
      <c r="G2951">
        <v>46.91</v>
      </c>
      <c r="H2951">
        <v>69</v>
      </c>
      <c r="I2951" t="s">
        <v>29</v>
      </c>
      <c r="J2951" t="s">
        <v>37</v>
      </c>
      <c r="K2951" t="s">
        <v>47</v>
      </c>
      <c r="L2951">
        <v>79</v>
      </c>
      <c r="M2951" t="str">
        <f t="shared" si="92"/>
        <v>High</v>
      </c>
      <c r="N2951" t="str">
        <f t="shared" si="93"/>
        <v>Average</v>
      </c>
    </row>
    <row r="2952" spans="1:14">
      <c r="A2952" t="s">
        <v>26</v>
      </c>
      <c r="B2952">
        <v>2019</v>
      </c>
      <c r="C2952" t="s">
        <v>6270</v>
      </c>
      <c r="D2952" t="s">
        <v>33</v>
      </c>
      <c r="E2952" t="s">
        <v>6271</v>
      </c>
      <c r="F2952" t="s">
        <v>46</v>
      </c>
      <c r="G2952">
        <v>29.22</v>
      </c>
      <c r="H2952">
        <v>69</v>
      </c>
      <c r="I2952" t="s">
        <v>29</v>
      </c>
      <c r="J2952" t="s">
        <v>18</v>
      </c>
      <c r="K2952" t="s">
        <v>2110</v>
      </c>
      <c r="L2952">
        <v>56</v>
      </c>
      <c r="M2952" t="str">
        <f t="shared" si="92"/>
        <v>Medium</v>
      </c>
      <c r="N2952" t="str">
        <f t="shared" si="93"/>
        <v>Average</v>
      </c>
    </row>
    <row r="2953" spans="1:14">
      <c r="A2953" t="s">
        <v>48</v>
      </c>
      <c r="B2953">
        <v>2010</v>
      </c>
      <c r="C2953" t="s">
        <v>6272</v>
      </c>
      <c r="D2953" t="s">
        <v>33</v>
      </c>
      <c r="E2953" t="s">
        <v>435</v>
      </c>
      <c r="F2953" t="s">
        <v>57</v>
      </c>
      <c r="G2953">
        <v>6.31</v>
      </c>
      <c r="H2953">
        <v>61</v>
      </c>
      <c r="I2953" t="s">
        <v>29</v>
      </c>
      <c r="J2953" t="s">
        <v>18</v>
      </c>
      <c r="K2953" t="s">
        <v>31</v>
      </c>
      <c r="L2953">
        <v>32</v>
      </c>
      <c r="M2953" t="str">
        <f t="shared" si="92"/>
        <v>Low</v>
      </c>
      <c r="N2953" t="str">
        <f t="shared" si="93"/>
        <v>Average</v>
      </c>
    </row>
    <row r="2954" spans="1:14">
      <c r="A2954" t="s">
        <v>12</v>
      </c>
      <c r="B2954">
        <v>2013</v>
      </c>
      <c r="C2954" t="s">
        <v>6273</v>
      </c>
      <c r="D2954" t="s">
        <v>33</v>
      </c>
      <c r="E2954" t="s">
        <v>6274</v>
      </c>
      <c r="F2954" t="s">
        <v>57</v>
      </c>
      <c r="G2954">
        <v>48.62</v>
      </c>
      <c r="H2954">
        <v>53</v>
      </c>
      <c r="I2954" t="s">
        <v>61</v>
      </c>
      <c r="J2954" t="s">
        <v>18</v>
      </c>
      <c r="K2954" t="s">
        <v>68</v>
      </c>
      <c r="L2954">
        <v>84</v>
      </c>
      <c r="M2954" t="str">
        <f t="shared" si="92"/>
        <v>High</v>
      </c>
      <c r="N2954" t="str">
        <f t="shared" si="93"/>
        <v>Average</v>
      </c>
    </row>
    <row r="2955" spans="1:14">
      <c r="A2955" t="s">
        <v>65</v>
      </c>
      <c r="B2955">
        <v>2009</v>
      </c>
      <c r="C2955" t="s">
        <v>6275</v>
      </c>
      <c r="D2955" t="s">
        <v>14</v>
      </c>
      <c r="E2955" t="s">
        <v>6276</v>
      </c>
      <c r="F2955" t="s">
        <v>42</v>
      </c>
      <c r="G2955">
        <v>36.869999999999997</v>
      </c>
      <c r="H2955">
        <v>73</v>
      </c>
      <c r="I2955" t="s">
        <v>17</v>
      </c>
      <c r="J2955" t="s">
        <v>18</v>
      </c>
      <c r="K2955" t="s">
        <v>2759</v>
      </c>
      <c r="L2955">
        <v>139</v>
      </c>
      <c r="M2955" t="str">
        <f t="shared" si="92"/>
        <v>High</v>
      </c>
      <c r="N2955" t="str">
        <f t="shared" si="93"/>
        <v>Average</v>
      </c>
    </row>
    <row r="2956" spans="1:14">
      <c r="A2956" t="s">
        <v>20</v>
      </c>
      <c r="B2956">
        <v>2016</v>
      </c>
      <c r="C2956" t="s">
        <v>6277</v>
      </c>
      <c r="D2956" t="s">
        <v>33</v>
      </c>
      <c r="E2956" t="s">
        <v>6278</v>
      </c>
      <c r="F2956" t="s">
        <v>42</v>
      </c>
      <c r="G2956">
        <v>23.01</v>
      </c>
      <c r="H2956">
        <v>71</v>
      </c>
      <c r="I2956" t="s">
        <v>29</v>
      </c>
      <c r="J2956" t="s">
        <v>24</v>
      </c>
      <c r="K2956" t="s">
        <v>2581</v>
      </c>
      <c r="L2956">
        <v>236</v>
      </c>
      <c r="M2956" t="str">
        <f t="shared" si="92"/>
        <v>Medium</v>
      </c>
      <c r="N2956" t="str">
        <f t="shared" si="93"/>
        <v>Average</v>
      </c>
    </row>
    <row r="2957" spans="1:14">
      <c r="A2957" t="s">
        <v>31</v>
      </c>
      <c r="B2957">
        <v>2002</v>
      </c>
      <c r="C2957" t="s">
        <v>6279</v>
      </c>
      <c r="D2957" t="s">
        <v>14</v>
      </c>
      <c r="E2957" t="s">
        <v>6280</v>
      </c>
      <c r="F2957" t="s">
        <v>16</v>
      </c>
      <c r="G2957">
        <v>25.2</v>
      </c>
      <c r="H2957">
        <v>87</v>
      </c>
      <c r="I2957" t="s">
        <v>23</v>
      </c>
      <c r="J2957" t="s">
        <v>24</v>
      </c>
      <c r="K2957" t="s">
        <v>286</v>
      </c>
      <c r="L2957">
        <v>49</v>
      </c>
      <c r="M2957" t="str">
        <f t="shared" si="92"/>
        <v>Medium</v>
      </c>
      <c r="N2957" t="str">
        <f t="shared" si="93"/>
        <v>Good</v>
      </c>
    </row>
    <row r="2958" spans="1:14">
      <c r="A2958" t="s">
        <v>38</v>
      </c>
      <c r="B2958">
        <v>2007</v>
      </c>
      <c r="C2958" t="s">
        <v>6281</v>
      </c>
      <c r="D2958" t="s">
        <v>33</v>
      </c>
      <c r="E2958" t="s">
        <v>6282</v>
      </c>
      <c r="F2958" t="s">
        <v>42</v>
      </c>
      <c r="G2958">
        <v>22.4</v>
      </c>
      <c r="H2958">
        <v>52</v>
      </c>
      <c r="I2958" t="s">
        <v>17</v>
      </c>
      <c r="J2958" t="s">
        <v>37</v>
      </c>
      <c r="K2958" t="s">
        <v>6283</v>
      </c>
      <c r="L2958">
        <v>99</v>
      </c>
      <c r="M2958" t="str">
        <f t="shared" si="92"/>
        <v>Medium</v>
      </c>
      <c r="N2958" t="str">
        <f t="shared" si="93"/>
        <v>Average</v>
      </c>
    </row>
    <row r="2959" spans="1:14">
      <c r="A2959" t="s">
        <v>65</v>
      </c>
      <c r="B2959">
        <v>2009</v>
      </c>
      <c r="C2959" t="s">
        <v>6284</v>
      </c>
      <c r="D2959" t="s">
        <v>33</v>
      </c>
      <c r="E2959" t="s">
        <v>6285</v>
      </c>
      <c r="F2959" t="s">
        <v>35</v>
      </c>
      <c r="G2959">
        <v>24.77</v>
      </c>
      <c r="H2959">
        <v>68</v>
      </c>
      <c r="I2959" t="s">
        <v>36</v>
      </c>
      <c r="J2959" t="s">
        <v>37</v>
      </c>
      <c r="K2959" t="s">
        <v>259</v>
      </c>
      <c r="L2959">
        <v>12</v>
      </c>
      <c r="M2959" t="str">
        <f t="shared" si="92"/>
        <v>Medium</v>
      </c>
      <c r="N2959" t="str">
        <f t="shared" si="93"/>
        <v>Average</v>
      </c>
    </row>
    <row r="2960" spans="1:14">
      <c r="A2960" t="s">
        <v>20</v>
      </c>
      <c r="B2960">
        <v>2013</v>
      </c>
      <c r="C2960" t="s">
        <v>6286</v>
      </c>
      <c r="D2960" t="s">
        <v>14</v>
      </c>
      <c r="E2960" t="s">
        <v>6287</v>
      </c>
      <c r="F2960" t="s">
        <v>16</v>
      </c>
      <c r="G2960">
        <v>4.28</v>
      </c>
      <c r="H2960">
        <v>89</v>
      </c>
      <c r="I2960" t="s">
        <v>17</v>
      </c>
      <c r="J2960" t="s">
        <v>37</v>
      </c>
      <c r="K2960" t="s">
        <v>320</v>
      </c>
      <c r="L2960">
        <v>221</v>
      </c>
      <c r="M2960" t="str">
        <f t="shared" si="92"/>
        <v>Low</v>
      </c>
      <c r="N2960" t="str">
        <f t="shared" si="93"/>
        <v>Good</v>
      </c>
    </row>
    <row r="2961" spans="1:14">
      <c r="A2961" t="s">
        <v>47</v>
      </c>
      <c r="B2961">
        <v>2020</v>
      </c>
      <c r="C2961" t="s">
        <v>6288</v>
      </c>
      <c r="D2961" t="s">
        <v>33</v>
      </c>
      <c r="E2961" t="s">
        <v>1346</v>
      </c>
      <c r="F2961" t="s">
        <v>35</v>
      </c>
      <c r="G2961">
        <v>32.020000000000003</v>
      </c>
      <c r="H2961">
        <v>64</v>
      </c>
      <c r="I2961" t="s">
        <v>23</v>
      </c>
      <c r="J2961" t="s">
        <v>24</v>
      </c>
      <c r="K2961" t="s">
        <v>6289</v>
      </c>
      <c r="L2961">
        <v>154</v>
      </c>
      <c r="M2961" t="str">
        <f t="shared" si="92"/>
        <v>Medium</v>
      </c>
      <c r="N2961" t="str">
        <f t="shared" si="93"/>
        <v>Average</v>
      </c>
    </row>
    <row r="2962" spans="1:14">
      <c r="A2962" t="s">
        <v>47</v>
      </c>
      <c r="B2962">
        <v>2019</v>
      </c>
      <c r="C2962" t="s">
        <v>6290</v>
      </c>
      <c r="D2962" t="s">
        <v>33</v>
      </c>
      <c r="E2962" t="s">
        <v>677</v>
      </c>
      <c r="F2962" t="s">
        <v>16</v>
      </c>
      <c r="G2962">
        <v>21.11</v>
      </c>
      <c r="H2962">
        <v>61</v>
      </c>
      <c r="I2962" t="s">
        <v>29</v>
      </c>
      <c r="J2962" t="s">
        <v>37</v>
      </c>
      <c r="K2962" t="s">
        <v>12</v>
      </c>
      <c r="L2962">
        <v>74</v>
      </c>
      <c r="M2962" t="str">
        <f t="shared" si="92"/>
        <v>Medium</v>
      </c>
      <c r="N2962" t="str">
        <f t="shared" si="93"/>
        <v>Average</v>
      </c>
    </row>
    <row r="2963" spans="1:14">
      <c r="A2963" t="s">
        <v>12</v>
      </c>
      <c r="B2963">
        <v>2007</v>
      </c>
      <c r="C2963" t="s">
        <v>6291</v>
      </c>
      <c r="D2963" t="s">
        <v>33</v>
      </c>
      <c r="E2963" t="s">
        <v>6292</v>
      </c>
      <c r="F2963" t="s">
        <v>16</v>
      </c>
      <c r="G2963">
        <v>16.8</v>
      </c>
      <c r="H2963">
        <v>72</v>
      </c>
      <c r="I2963" t="s">
        <v>29</v>
      </c>
      <c r="J2963" t="s">
        <v>37</v>
      </c>
      <c r="K2963" t="s">
        <v>2066</v>
      </c>
      <c r="L2963">
        <v>353</v>
      </c>
      <c r="M2963" t="str">
        <f t="shared" si="92"/>
        <v>Medium</v>
      </c>
      <c r="N2963" t="str">
        <f t="shared" si="93"/>
        <v>Average</v>
      </c>
    </row>
    <row r="2964" spans="1:14">
      <c r="A2964" t="s">
        <v>12</v>
      </c>
      <c r="B2964">
        <v>2022</v>
      </c>
      <c r="C2964" t="s">
        <v>6293</v>
      </c>
      <c r="D2964" t="s">
        <v>14</v>
      </c>
      <c r="E2964" t="s">
        <v>6294</v>
      </c>
      <c r="F2964" t="s">
        <v>42</v>
      </c>
      <c r="G2964">
        <v>24.92</v>
      </c>
      <c r="H2964">
        <v>84</v>
      </c>
      <c r="I2964" t="s">
        <v>29</v>
      </c>
      <c r="J2964" t="s">
        <v>18</v>
      </c>
      <c r="K2964" t="s">
        <v>286</v>
      </c>
      <c r="L2964">
        <v>31</v>
      </c>
      <c r="M2964" t="str">
        <f t="shared" si="92"/>
        <v>Medium</v>
      </c>
      <c r="N2964" t="str">
        <f t="shared" si="93"/>
        <v>Good</v>
      </c>
    </row>
    <row r="2965" spans="1:14">
      <c r="A2965" t="s">
        <v>48</v>
      </c>
      <c r="B2965">
        <v>2007</v>
      </c>
      <c r="C2965" t="s">
        <v>6295</v>
      </c>
      <c r="D2965" t="s">
        <v>33</v>
      </c>
      <c r="E2965" t="s">
        <v>6296</v>
      </c>
      <c r="F2965" t="s">
        <v>42</v>
      </c>
      <c r="G2965">
        <v>37.72</v>
      </c>
      <c r="H2965">
        <v>89</v>
      </c>
      <c r="I2965" t="s">
        <v>29</v>
      </c>
      <c r="J2965" t="s">
        <v>18</v>
      </c>
      <c r="K2965" t="s">
        <v>286</v>
      </c>
      <c r="L2965">
        <v>324</v>
      </c>
      <c r="M2965" t="str">
        <f t="shared" si="92"/>
        <v>High</v>
      </c>
      <c r="N2965" t="str">
        <f t="shared" si="93"/>
        <v>Good</v>
      </c>
    </row>
    <row r="2966" spans="1:14">
      <c r="A2966" t="s">
        <v>38</v>
      </c>
      <c r="B2966">
        <v>2013</v>
      </c>
      <c r="C2966" t="s">
        <v>6297</v>
      </c>
      <c r="D2966" t="s">
        <v>14</v>
      </c>
      <c r="E2966" t="s">
        <v>2034</v>
      </c>
      <c r="F2966" t="s">
        <v>35</v>
      </c>
      <c r="G2966">
        <v>47.37</v>
      </c>
      <c r="H2966">
        <v>60</v>
      </c>
      <c r="I2966" t="s">
        <v>61</v>
      </c>
      <c r="J2966" t="s">
        <v>18</v>
      </c>
      <c r="K2966" t="s">
        <v>157</v>
      </c>
      <c r="L2966">
        <v>23</v>
      </c>
      <c r="M2966" t="str">
        <f t="shared" si="92"/>
        <v>High</v>
      </c>
      <c r="N2966" t="str">
        <f t="shared" si="93"/>
        <v>Average</v>
      </c>
    </row>
    <row r="2967" spans="1:14">
      <c r="A2967" t="s">
        <v>65</v>
      </c>
      <c r="B2967">
        <v>2009</v>
      </c>
      <c r="C2967" t="s">
        <v>6298</v>
      </c>
      <c r="D2967" t="s">
        <v>14</v>
      </c>
      <c r="E2967" t="s">
        <v>6299</v>
      </c>
      <c r="F2967" t="s">
        <v>57</v>
      </c>
      <c r="G2967">
        <v>40.97</v>
      </c>
      <c r="H2967">
        <v>97</v>
      </c>
      <c r="I2967" t="s">
        <v>29</v>
      </c>
      <c r="J2967" t="s">
        <v>37</v>
      </c>
      <c r="K2967" t="s">
        <v>12</v>
      </c>
      <c r="L2967">
        <v>186</v>
      </c>
      <c r="M2967" t="str">
        <f t="shared" si="92"/>
        <v>High</v>
      </c>
      <c r="N2967" t="str">
        <f t="shared" si="93"/>
        <v>Excellent</v>
      </c>
    </row>
    <row r="2968" spans="1:14">
      <c r="A2968" t="s">
        <v>48</v>
      </c>
      <c r="B2968">
        <v>2013</v>
      </c>
      <c r="C2968" t="s">
        <v>6300</v>
      </c>
      <c r="D2968" t="s">
        <v>14</v>
      </c>
      <c r="E2968" t="s">
        <v>6301</v>
      </c>
      <c r="F2968" t="s">
        <v>35</v>
      </c>
      <c r="G2968">
        <v>7.3</v>
      </c>
      <c r="H2968">
        <v>84</v>
      </c>
      <c r="I2968" t="s">
        <v>29</v>
      </c>
      <c r="J2968" t="s">
        <v>37</v>
      </c>
      <c r="K2968" t="s">
        <v>292</v>
      </c>
      <c r="L2968">
        <v>280</v>
      </c>
      <c r="M2968" t="str">
        <f t="shared" si="92"/>
        <v>Low</v>
      </c>
      <c r="N2968" t="str">
        <f t="shared" si="93"/>
        <v>Good</v>
      </c>
    </row>
    <row r="2969" spans="1:14">
      <c r="A2969" t="s">
        <v>39</v>
      </c>
      <c r="B2969">
        <v>2000</v>
      </c>
      <c r="C2969" t="s">
        <v>6302</v>
      </c>
      <c r="D2969" t="s">
        <v>33</v>
      </c>
      <c r="E2969" t="s">
        <v>6303</v>
      </c>
      <c r="F2969" t="s">
        <v>16</v>
      </c>
      <c r="G2969">
        <v>33.68</v>
      </c>
      <c r="H2969">
        <v>69</v>
      </c>
      <c r="I2969" t="s">
        <v>61</v>
      </c>
      <c r="J2969" t="s">
        <v>18</v>
      </c>
      <c r="K2969" t="s">
        <v>68</v>
      </c>
      <c r="L2969">
        <v>64</v>
      </c>
      <c r="M2969" t="str">
        <f t="shared" si="92"/>
        <v>Medium</v>
      </c>
      <c r="N2969" t="str">
        <f t="shared" si="93"/>
        <v>Average</v>
      </c>
    </row>
    <row r="2970" spans="1:14">
      <c r="A2970" t="s">
        <v>20</v>
      </c>
      <c r="B2970">
        <v>2011</v>
      </c>
      <c r="C2970" t="s">
        <v>6304</v>
      </c>
      <c r="D2970" t="s">
        <v>33</v>
      </c>
      <c r="E2970" t="s">
        <v>6305</v>
      </c>
      <c r="F2970" t="s">
        <v>46</v>
      </c>
      <c r="G2970">
        <v>11.07</v>
      </c>
      <c r="H2970">
        <v>77</v>
      </c>
      <c r="I2970" t="s">
        <v>61</v>
      </c>
      <c r="J2970" t="s">
        <v>24</v>
      </c>
      <c r="K2970" t="s">
        <v>433</v>
      </c>
      <c r="L2970">
        <v>36</v>
      </c>
      <c r="M2970" t="str">
        <f t="shared" si="92"/>
        <v>Low</v>
      </c>
      <c r="N2970" t="str">
        <f t="shared" si="93"/>
        <v>Good</v>
      </c>
    </row>
    <row r="2971" spans="1:14">
      <c r="A2971" t="s">
        <v>39</v>
      </c>
      <c r="B2971">
        <v>2007</v>
      </c>
      <c r="C2971" t="s">
        <v>6306</v>
      </c>
      <c r="D2971" t="s">
        <v>33</v>
      </c>
      <c r="E2971" t="s">
        <v>2652</v>
      </c>
      <c r="F2971" t="s">
        <v>46</v>
      </c>
      <c r="G2971">
        <v>42.97</v>
      </c>
      <c r="H2971">
        <v>75</v>
      </c>
      <c r="I2971" t="s">
        <v>23</v>
      </c>
      <c r="J2971" t="s">
        <v>18</v>
      </c>
      <c r="K2971" t="s">
        <v>705</v>
      </c>
      <c r="L2971">
        <v>221</v>
      </c>
      <c r="M2971" t="str">
        <f t="shared" si="92"/>
        <v>High</v>
      </c>
      <c r="N2971" t="str">
        <f t="shared" si="93"/>
        <v>Good</v>
      </c>
    </row>
    <row r="2972" spans="1:14">
      <c r="A2972" t="s">
        <v>31</v>
      </c>
      <c r="B2972">
        <v>2004</v>
      </c>
      <c r="C2972" t="s">
        <v>6307</v>
      </c>
      <c r="D2972" t="s">
        <v>33</v>
      </c>
      <c r="E2972" t="s">
        <v>1445</v>
      </c>
      <c r="F2972" t="s">
        <v>57</v>
      </c>
      <c r="G2972">
        <v>27.02</v>
      </c>
      <c r="H2972">
        <v>63</v>
      </c>
      <c r="I2972" t="s">
        <v>61</v>
      </c>
      <c r="J2972" t="s">
        <v>24</v>
      </c>
      <c r="K2972" t="s">
        <v>39</v>
      </c>
      <c r="L2972">
        <v>170</v>
      </c>
      <c r="M2972" t="str">
        <f t="shared" si="92"/>
        <v>Medium</v>
      </c>
      <c r="N2972" t="str">
        <f t="shared" si="93"/>
        <v>Average</v>
      </c>
    </row>
    <row r="2973" spans="1:14">
      <c r="A2973" t="s">
        <v>31</v>
      </c>
      <c r="B2973">
        <v>2016</v>
      </c>
      <c r="C2973" t="s">
        <v>6308</v>
      </c>
      <c r="D2973" t="s">
        <v>33</v>
      </c>
      <c r="E2973" t="s">
        <v>2124</v>
      </c>
      <c r="F2973" t="s">
        <v>35</v>
      </c>
      <c r="G2973">
        <v>0.82</v>
      </c>
      <c r="H2973">
        <v>99</v>
      </c>
      <c r="I2973" t="s">
        <v>61</v>
      </c>
      <c r="J2973" t="s">
        <v>18</v>
      </c>
      <c r="K2973" t="s">
        <v>47</v>
      </c>
      <c r="L2973">
        <v>197</v>
      </c>
      <c r="M2973" t="str">
        <f t="shared" si="92"/>
        <v>Low</v>
      </c>
      <c r="N2973" t="str">
        <f t="shared" si="93"/>
        <v>Excellent</v>
      </c>
    </row>
    <row r="2974" spans="1:14">
      <c r="A2974" t="s">
        <v>48</v>
      </c>
      <c r="B2974">
        <v>2015</v>
      </c>
      <c r="C2974" t="s">
        <v>6309</v>
      </c>
      <c r="D2974" t="s">
        <v>33</v>
      </c>
      <c r="E2974" t="s">
        <v>6310</v>
      </c>
      <c r="F2974" t="s">
        <v>16</v>
      </c>
      <c r="G2974">
        <v>33.65</v>
      </c>
      <c r="H2974">
        <v>80</v>
      </c>
      <c r="I2974" t="s">
        <v>23</v>
      </c>
      <c r="J2974" t="s">
        <v>24</v>
      </c>
      <c r="K2974" t="s">
        <v>1484</v>
      </c>
      <c r="L2974">
        <v>43</v>
      </c>
      <c r="M2974" t="str">
        <f t="shared" si="92"/>
        <v>Medium</v>
      </c>
      <c r="N2974" t="str">
        <f t="shared" si="93"/>
        <v>Good</v>
      </c>
    </row>
    <row r="2975" spans="1:14">
      <c r="A2975" t="s">
        <v>39</v>
      </c>
      <c r="B2975">
        <v>2018</v>
      </c>
      <c r="C2975" t="s">
        <v>6311</v>
      </c>
      <c r="D2975" t="s">
        <v>14</v>
      </c>
      <c r="E2975" t="s">
        <v>6312</v>
      </c>
      <c r="F2975" t="s">
        <v>57</v>
      </c>
      <c r="G2975">
        <v>45.29</v>
      </c>
      <c r="H2975">
        <v>59</v>
      </c>
      <c r="I2975" t="s">
        <v>61</v>
      </c>
      <c r="J2975" t="s">
        <v>24</v>
      </c>
      <c r="K2975" t="s">
        <v>20</v>
      </c>
      <c r="L2975">
        <v>188</v>
      </c>
      <c r="M2975" t="str">
        <f t="shared" si="92"/>
        <v>High</v>
      </c>
      <c r="N2975" t="str">
        <f t="shared" si="93"/>
        <v>Average</v>
      </c>
    </row>
    <row r="2976" spans="1:14">
      <c r="A2976" t="s">
        <v>68</v>
      </c>
      <c r="B2976">
        <v>2013</v>
      </c>
      <c r="C2976" t="s">
        <v>6313</v>
      </c>
      <c r="D2976" t="s">
        <v>14</v>
      </c>
      <c r="E2976" t="s">
        <v>6314</v>
      </c>
      <c r="F2976" t="s">
        <v>16</v>
      </c>
      <c r="G2976">
        <v>29.51</v>
      </c>
      <c r="H2976">
        <v>75</v>
      </c>
      <c r="I2976" t="s">
        <v>29</v>
      </c>
      <c r="J2976" t="s">
        <v>37</v>
      </c>
      <c r="K2976" t="s">
        <v>3981</v>
      </c>
      <c r="L2976">
        <v>212</v>
      </c>
      <c r="M2976" t="str">
        <f t="shared" si="92"/>
        <v>Medium</v>
      </c>
      <c r="N2976" t="str">
        <f t="shared" si="93"/>
        <v>Good</v>
      </c>
    </row>
    <row r="2977" spans="1:14">
      <c r="A2977" t="s">
        <v>68</v>
      </c>
      <c r="B2977">
        <v>2014</v>
      </c>
      <c r="C2977" t="s">
        <v>6315</v>
      </c>
      <c r="D2977" t="s">
        <v>14</v>
      </c>
      <c r="E2977" t="s">
        <v>6316</v>
      </c>
      <c r="F2977" t="s">
        <v>16</v>
      </c>
      <c r="G2977">
        <v>37.64</v>
      </c>
      <c r="H2977">
        <v>94</v>
      </c>
      <c r="I2977" t="s">
        <v>23</v>
      </c>
      <c r="J2977" t="s">
        <v>37</v>
      </c>
      <c r="K2977" t="s">
        <v>26</v>
      </c>
      <c r="L2977">
        <v>251</v>
      </c>
      <c r="M2977" t="str">
        <f t="shared" si="92"/>
        <v>High</v>
      </c>
      <c r="N2977" t="str">
        <f t="shared" si="93"/>
        <v>Excellent</v>
      </c>
    </row>
    <row r="2978" spans="1:14">
      <c r="A2978" t="s">
        <v>65</v>
      </c>
      <c r="B2978">
        <v>2018</v>
      </c>
      <c r="C2978" t="s">
        <v>6317</v>
      </c>
      <c r="D2978" t="s">
        <v>14</v>
      </c>
      <c r="E2978" t="s">
        <v>6318</v>
      </c>
      <c r="F2978" t="s">
        <v>46</v>
      </c>
      <c r="G2978">
        <v>31.23</v>
      </c>
      <c r="H2978">
        <v>73</v>
      </c>
      <c r="I2978" t="s">
        <v>23</v>
      </c>
      <c r="J2978" t="s">
        <v>18</v>
      </c>
      <c r="K2978" t="s">
        <v>6319</v>
      </c>
      <c r="L2978">
        <v>287</v>
      </c>
      <c r="M2978" t="str">
        <f t="shared" si="92"/>
        <v>Medium</v>
      </c>
      <c r="N2978" t="str">
        <f t="shared" si="93"/>
        <v>Average</v>
      </c>
    </row>
    <row r="2979" spans="1:14">
      <c r="A2979" t="s">
        <v>68</v>
      </c>
      <c r="B2979">
        <v>2004</v>
      </c>
      <c r="C2979" t="s">
        <v>6320</v>
      </c>
      <c r="D2979" t="s">
        <v>33</v>
      </c>
      <c r="E2979" t="s">
        <v>6321</v>
      </c>
      <c r="F2979" t="s">
        <v>35</v>
      </c>
      <c r="G2979">
        <v>18.87</v>
      </c>
      <c r="H2979">
        <v>51</v>
      </c>
      <c r="I2979" t="s">
        <v>29</v>
      </c>
      <c r="J2979" t="s">
        <v>18</v>
      </c>
      <c r="K2979" t="s">
        <v>31</v>
      </c>
      <c r="L2979">
        <v>342</v>
      </c>
      <c r="M2979" t="str">
        <f t="shared" si="92"/>
        <v>Medium</v>
      </c>
      <c r="N2979" t="str">
        <f t="shared" si="93"/>
        <v>Average</v>
      </c>
    </row>
    <row r="2980" spans="1:14">
      <c r="A2980" t="s">
        <v>31</v>
      </c>
      <c r="B2980">
        <v>2018</v>
      </c>
      <c r="C2980" t="s">
        <v>6322</v>
      </c>
      <c r="D2980" t="s">
        <v>33</v>
      </c>
      <c r="E2980" t="s">
        <v>6323</v>
      </c>
      <c r="F2980" t="s">
        <v>57</v>
      </c>
      <c r="G2980">
        <v>36.83</v>
      </c>
      <c r="H2980">
        <v>58</v>
      </c>
      <c r="I2980" t="s">
        <v>29</v>
      </c>
      <c r="J2980" t="s">
        <v>18</v>
      </c>
      <c r="K2980" t="s">
        <v>366</v>
      </c>
      <c r="L2980">
        <v>339</v>
      </c>
      <c r="M2980" t="str">
        <f t="shared" si="92"/>
        <v>High</v>
      </c>
      <c r="N2980" t="str">
        <f t="shared" si="93"/>
        <v>Average</v>
      </c>
    </row>
    <row r="2981" spans="1:14">
      <c r="A2981" t="s">
        <v>65</v>
      </c>
      <c r="B2981">
        <v>2020</v>
      </c>
      <c r="C2981" t="s">
        <v>6324</v>
      </c>
      <c r="D2981" t="s">
        <v>33</v>
      </c>
      <c r="E2981" t="s">
        <v>6325</v>
      </c>
      <c r="F2981" t="s">
        <v>35</v>
      </c>
      <c r="G2981">
        <v>27.17</v>
      </c>
      <c r="H2981">
        <v>56</v>
      </c>
      <c r="I2981" t="s">
        <v>29</v>
      </c>
      <c r="J2981" t="s">
        <v>37</v>
      </c>
      <c r="K2981" t="s">
        <v>1019</v>
      </c>
      <c r="L2981">
        <v>232</v>
      </c>
      <c r="M2981" t="str">
        <f t="shared" si="92"/>
        <v>Medium</v>
      </c>
      <c r="N2981" t="str">
        <f t="shared" si="93"/>
        <v>Average</v>
      </c>
    </row>
    <row r="2982" spans="1:14">
      <c r="A2982" t="s">
        <v>38</v>
      </c>
      <c r="B2982">
        <v>2025</v>
      </c>
      <c r="C2982" t="s">
        <v>6326</v>
      </c>
      <c r="D2982" t="s">
        <v>33</v>
      </c>
      <c r="E2982" t="s">
        <v>850</v>
      </c>
      <c r="F2982" t="s">
        <v>16</v>
      </c>
      <c r="G2982">
        <v>5.95</v>
      </c>
      <c r="H2982">
        <v>88</v>
      </c>
      <c r="I2982" t="s">
        <v>29</v>
      </c>
      <c r="J2982" t="s">
        <v>37</v>
      </c>
      <c r="K2982" t="s">
        <v>12</v>
      </c>
      <c r="L2982">
        <v>183</v>
      </c>
      <c r="M2982" t="str">
        <f t="shared" si="92"/>
        <v>Low</v>
      </c>
      <c r="N2982" t="str">
        <f t="shared" si="93"/>
        <v>Good</v>
      </c>
    </row>
    <row r="2983" spans="1:14">
      <c r="A2983" t="s">
        <v>47</v>
      </c>
      <c r="B2983">
        <v>2014</v>
      </c>
      <c r="C2983" t="s">
        <v>6327</v>
      </c>
      <c r="D2983" t="s">
        <v>33</v>
      </c>
      <c r="E2983" t="s">
        <v>6328</v>
      </c>
      <c r="F2983" t="s">
        <v>42</v>
      </c>
      <c r="G2983">
        <v>6.22</v>
      </c>
      <c r="H2983">
        <v>77</v>
      </c>
      <c r="I2983" t="s">
        <v>61</v>
      </c>
      <c r="J2983" t="s">
        <v>24</v>
      </c>
      <c r="K2983" t="s">
        <v>592</v>
      </c>
      <c r="L2983">
        <v>273</v>
      </c>
      <c r="M2983" t="str">
        <f t="shared" si="92"/>
        <v>Low</v>
      </c>
      <c r="N2983" t="str">
        <f t="shared" si="93"/>
        <v>Good</v>
      </c>
    </row>
    <row r="2984" spans="1:14">
      <c r="A2984" t="s">
        <v>39</v>
      </c>
      <c r="B2984">
        <v>2009</v>
      </c>
      <c r="C2984" t="s">
        <v>6329</v>
      </c>
      <c r="D2984" t="s">
        <v>14</v>
      </c>
      <c r="E2984" t="s">
        <v>6330</v>
      </c>
      <c r="F2984" t="s">
        <v>46</v>
      </c>
      <c r="G2984">
        <v>26.58</v>
      </c>
      <c r="H2984">
        <v>100</v>
      </c>
      <c r="I2984" t="s">
        <v>29</v>
      </c>
      <c r="J2984" t="s">
        <v>18</v>
      </c>
      <c r="K2984" t="s">
        <v>6331</v>
      </c>
      <c r="L2984">
        <v>17</v>
      </c>
      <c r="M2984" t="str">
        <f t="shared" si="92"/>
        <v>Medium</v>
      </c>
      <c r="N2984" t="str">
        <f t="shared" si="93"/>
        <v>Excellent</v>
      </c>
    </row>
    <row r="2985" spans="1:14">
      <c r="A2985" t="s">
        <v>20</v>
      </c>
      <c r="B2985">
        <v>2008</v>
      </c>
      <c r="C2985" t="s">
        <v>6332</v>
      </c>
      <c r="D2985" t="s">
        <v>33</v>
      </c>
      <c r="E2985" t="s">
        <v>6333</v>
      </c>
      <c r="F2985" t="s">
        <v>16</v>
      </c>
      <c r="G2985">
        <v>5.97</v>
      </c>
      <c r="H2985">
        <v>60</v>
      </c>
      <c r="I2985" t="s">
        <v>61</v>
      </c>
      <c r="J2985" t="s">
        <v>24</v>
      </c>
      <c r="K2985" t="s">
        <v>47</v>
      </c>
      <c r="L2985">
        <v>150</v>
      </c>
      <c r="M2985" t="str">
        <f t="shared" si="92"/>
        <v>Low</v>
      </c>
      <c r="N2985" t="str">
        <f t="shared" si="93"/>
        <v>Average</v>
      </c>
    </row>
    <row r="2986" spans="1:14">
      <c r="A2986" t="s">
        <v>31</v>
      </c>
      <c r="B2986">
        <v>2019</v>
      </c>
      <c r="C2986" t="s">
        <v>6334</v>
      </c>
      <c r="D2986" t="s">
        <v>33</v>
      </c>
      <c r="E2986" t="s">
        <v>1110</v>
      </c>
      <c r="F2986" t="s">
        <v>35</v>
      </c>
      <c r="G2986">
        <v>1.31</v>
      </c>
      <c r="H2986">
        <v>88</v>
      </c>
      <c r="I2986" t="s">
        <v>17</v>
      </c>
      <c r="J2986" t="s">
        <v>37</v>
      </c>
      <c r="K2986" t="s">
        <v>89</v>
      </c>
      <c r="L2986">
        <v>124</v>
      </c>
      <c r="M2986" t="str">
        <f t="shared" si="92"/>
        <v>Low</v>
      </c>
      <c r="N2986" t="str">
        <f t="shared" si="93"/>
        <v>Good</v>
      </c>
    </row>
    <row r="2987" spans="1:14">
      <c r="A2987" t="s">
        <v>48</v>
      </c>
      <c r="B2987">
        <v>2005</v>
      </c>
      <c r="C2987" t="s">
        <v>6335</v>
      </c>
      <c r="D2987" t="s">
        <v>14</v>
      </c>
      <c r="E2987" t="s">
        <v>6336</v>
      </c>
      <c r="F2987" t="s">
        <v>42</v>
      </c>
      <c r="G2987">
        <v>29.2</v>
      </c>
      <c r="H2987">
        <v>79</v>
      </c>
      <c r="I2987" t="s">
        <v>29</v>
      </c>
      <c r="J2987" t="s">
        <v>24</v>
      </c>
      <c r="K2987" t="s">
        <v>65</v>
      </c>
      <c r="L2987">
        <v>309</v>
      </c>
      <c r="M2987" t="str">
        <f t="shared" si="92"/>
        <v>Medium</v>
      </c>
      <c r="N2987" t="str">
        <f t="shared" si="93"/>
        <v>Good</v>
      </c>
    </row>
    <row r="2988" spans="1:14">
      <c r="A2988" t="s">
        <v>20</v>
      </c>
      <c r="B2988">
        <v>2013</v>
      </c>
      <c r="C2988" t="s">
        <v>6337</v>
      </c>
      <c r="D2988" t="s">
        <v>33</v>
      </c>
      <c r="E2988" t="s">
        <v>6338</v>
      </c>
      <c r="F2988" t="s">
        <v>42</v>
      </c>
      <c r="G2988">
        <v>41.05</v>
      </c>
      <c r="H2988">
        <v>51</v>
      </c>
      <c r="I2988" t="s">
        <v>29</v>
      </c>
      <c r="J2988" t="s">
        <v>24</v>
      </c>
      <c r="K2988" t="s">
        <v>68</v>
      </c>
      <c r="L2988">
        <v>46</v>
      </c>
      <c r="M2988" t="str">
        <f t="shared" si="92"/>
        <v>High</v>
      </c>
      <c r="N2988" t="str">
        <f t="shared" si="93"/>
        <v>Average</v>
      </c>
    </row>
    <row r="2989" spans="1:14">
      <c r="A2989" t="s">
        <v>47</v>
      </c>
      <c r="B2989">
        <v>2016</v>
      </c>
      <c r="C2989" t="s">
        <v>6339</v>
      </c>
      <c r="D2989" t="s">
        <v>14</v>
      </c>
      <c r="E2989" t="s">
        <v>1442</v>
      </c>
      <c r="F2989" t="s">
        <v>57</v>
      </c>
      <c r="G2989">
        <v>37.71</v>
      </c>
      <c r="H2989">
        <v>69</v>
      </c>
      <c r="I2989" t="s">
        <v>36</v>
      </c>
      <c r="J2989" t="s">
        <v>18</v>
      </c>
      <c r="K2989" t="s">
        <v>4578</v>
      </c>
      <c r="L2989">
        <v>152</v>
      </c>
      <c r="M2989" t="str">
        <f t="shared" si="92"/>
        <v>High</v>
      </c>
      <c r="N2989" t="str">
        <f t="shared" si="93"/>
        <v>Average</v>
      </c>
    </row>
    <row r="2990" spans="1:14">
      <c r="A2990" t="s">
        <v>68</v>
      </c>
      <c r="B2990">
        <v>2025</v>
      </c>
      <c r="C2990" t="s">
        <v>6340</v>
      </c>
      <c r="D2990" t="s">
        <v>14</v>
      </c>
      <c r="E2990" t="s">
        <v>6341</v>
      </c>
      <c r="F2990" t="s">
        <v>57</v>
      </c>
      <c r="G2990">
        <v>29.1</v>
      </c>
      <c r="H2990">
        <v>66</v>
      </c>
      <c r="I2990" t="s">
        <v>61</v>
      </c>
      <c r="J2990" t="s">
        <v>37</v>
      </c>
      <c r="K2990" t="s">
        <v>47</v>
      </c>
      <c r="L2990">
        <v>28</v>
      </c>
      <c r="M2990" t="str">
        <f t="shared" si="92"/>
        <v>Medium</v>
      </c>
      <c r="N2990" t="str">
        <f t="shared" si="93"/>
        <v>Average</v>
      </c>
    </row>
    <row r="2991" spans="1:14">
      <c r="A2991" t="s">
        <v>47</v>
      </c>
      <c r="B2991">
        <v>2003</v>
      </c>
      <c r="C2991" t="s">
        <v>6342</v>
      </c>
      <c r="D2991" t="s">
        <v>33</v>
      </c>
      <c r="E2991" t="s">
        <v>6343</v>
      </c>
      <c r="F2991" t="s">
        <v>42</v>
      </c>
      <c r="G2991">
        <v>19.920000000000002</v>
      </c>
      <c r="H2991">
        <v>82</v>
      </c>
      <c r="I2991" t="s">
        <v>17</v>
      </c>
      <c r="J2991" t="s">
        <v>18</v>
      </c>
      <c r="K2991" t="s">
        <v>314</v>
      </c>
      <c r="L2991">
        <v>184</v>
      </c>
      <c r="M2991" t="str">
        <f t="shared" si="92"/>
        <v>Medium</v>
      </c>
      <c r="N2991" t="str">
        <f t="shared" si="93"/>
        <v>Good</v>
      </c>
    </row>
    <row r="2992" spans="1:14">
      <c r="A2992" t="s">
        <v>12</v>
      </c>
      <c r="B2992">
        <v>2006</v>
      </c>
      <c r="C2992" t="s">
        <v>6344</v>
      </c>
      <c r="D2992" t="s">
        <v>33</v>
      </c>
      <c r="E2992" t="s">
        <v>6345</v>
      </c>
      <c r="F2992" t="s">
        <v>16</v>
      </c>
      <c r="G2992">
        <v>44.5</v>
      </c>
      <c r="H2992">
        <v>70</v>
      </c>
      <c r="I2992" t="s">
        <v>61</v>
      </c>
      <c r="J2992" t="s">
        <v>37</v>
      </c>
      <c r="K2992" t="s">
        <v>430</v>
      </c>
      <c r="L2992">
        <v>185</v>
      </c>
      <c r="M2992" t="str">
        <f t="shared" si="92"/>
        <v>High</v>
      </c>
      <c r="N2992" t="str">
        <f t="shared" si="93"/>
        <v>Average</v>
      </c>
    </row>
    <row r="2993" spans="1:14">
      <c r="A2993" t="s">
        <v>26</v>
      </c>
      <c r="B2993">
        <v>2008</v>
      </c>
      <c r="C2993" t="s">
        <v>6346</v>
      </c>
      <c r="D2993" t="s">
        <v>33</v>
      </c>
      <c r="E2993" t="s">
        <v>6347</v>
      </c>
      <c r="F2993" t="s">
        <v>46</v>
      </c>
      <c r="G2993">
        <v>3.13</v>
      </c>
      <c r="H2993">
        <v>97</v>
      </c>
      <c r="I2993" t="s">
        <v>17</v>
      </c>
      <c r="J2993" t="s">
        <v>24</v>
      </c>
      <c r="K2993" t="s">
        <v>1597</v>
      </c>
      <c r="L2993">
        <v>204</v>
      </c>
      <c r="M2993" t="str">
        <f t="shared" si="92"/>
        <v>Low</v>
      </c>
      <c r="N2993" t="str">
        <f t="shared" si="93"/>
        <v>Excellent</v>
      </c>
    </row>
    <row r="2994" spans="1:14">
      <c r="A2994" t="s">
        <v>12</v>
      </c>
      <c r="B2994">
        <v>2022</v>
      </c>
      <c r="C2994" t="s">
        <v>6348</v>
      </c>
      <c r="D2994" t="s">
        <v>33</v>
      </c>
      <c r="E2994" t="s">
        <v>6349</v>
      </c>
      <c r="F2994" t="s">
        <v>35</v>
      </c>
      <c r="G2994">
        <v>15.99</v>
      </c>
      <c r="H2994">
        <v>89</v>
      </c>
      <c r="I2994" t="s">
        <v>23</v>
      </c>
      <c r="J2994" t="s">
        <v>37</v>
      </c>
      <c r="K2994" t="s">
        <v>398</v>
      </c>
      <c r="L2994">
        <v>51</v>
      </c>
      <c r="M2994" t="str">
        <f t="shared" si="92"/>
        <v>Medium</v>
      </c>
      <c r="N2994" t="str">
        <f t="shared" si="93"/>
        <v>Good</v>
      </c>
    </row>
    <row r="2995" spans="1:14">
      <c r="A2995" t="s">
        <v>26</v>
      </c>
      <c r="B2995">
        <v>2004</v>
      </c>
      <c r="C2995" t="s">
        <v>6350</v>
      </c>
      <c r="D2995" t="s">
        <v>14</v>
      </c>
      <c r="E2995" t="s">
        <v>6351</v>
      </c>
      <c r="F2995" t="s">
        <v>42</v>
      </c>
      <c r="G2995">
        <v>40.25</v>
      </c>
      <c r="H2995">
        <v>84</v>
      </c>
      <c r="I2995" t="s">
        <v>29</v>
      </c>
      <c r="J2995" t="s">
        <v>37</v>
      </c>
      <c r="K2995" t="s">
        <v>6352</v>
      </c>
      <c r="L2995">
        <v>305</v>
      </c>
      <c r="M2995" t="str">
        <f t="shared" si="92"/>
        <v>High</v>
      </c>
      <c r="N2995" t="str">
        <f t="shared" si="93"/>
        <v>Good</v>
      </c>
    </row>
    <row r="2996" spans="1:14">
      <c r="A2996" t="s">
        <v>26</v>
      </c>
      <c r="B2996">
        <v>2018</v>
      </c>
      <c r="C2996" t="s">
        <v>6353</v>
      </c>
      <c r="D2996" t="s">
        <v>14</v>
      </c>
      <c r="E2996" t="s">
        <v>6354</v>
      </c>
      <c r="F2996" t="s">
        <v>57</v>
      </c>
      <c r="G2996">
        <v>9.4499999999999993</v>
      </c>
      <c r="H2996">
        <v>61</v>
      </c>
      <c r="I2996" t="s">
        <v>36</v>
      </c>
      <c r="J2996" t="s">
        <v>18</v>
      </c>
      <c r="K2996" t="s">
        <v>433</v>
      </c>
      <c r="L2996">
        <v>132</v>
      </c>
      <c r="M2996" t="str">
        <f t="shared" si="92"/>
        <v>Low</v>
      </c>
      <c r="N2996" t="str">
        <f t="shared" si="93"/>
        <v>Average</v>
      </c>
    </row>
    <row r="2997" spans="1:14">
      <c r="A2997" t="s">
        <v>12</v>
      </c>
      <c r="B2997">
        <v>2023</v>
      </c>
      <c r="C2997" t="s">
        <v>6355</v>
      </c>
      <c r="D2997" t="s">
        <v>14</v>
      </c>
      <c r="E2997" t="s">
        <v>6356</v>
      </c>
      <c r="F2997" t="s">
        <v>35</v>
      </c>
      <c r="G2997">
        <v>22.11</v>
      </c>
      <c r="H2997">
        <v>68</v>
      </c>
      <c r="I2997" t="s">
        <v>36</v>
      </c>
      <c r="J2997" t="s">
        <v>18</v>
      </c>
      <c r="K2997" t="s">
        <v>26</v>
      </c>
      <c r="L2997">
        <v>338</v>
      </c>
      <c r="M2997" t="str">
        <f t="shared" si="92"/>
        <v>Medium</v>
      </c>
      <c r="N2997" t="str">
        <f t="shared" si="93"/>
        <v>Average</v>
      </c>
    </row>
    <row r="2998" spans="1:14">
      <c r="A2998" t="s">
        <v>47</v>
      </c>
      <c r="B2998">
        <v>2009</v>
      </c>
      <c r="C2998" t="s">
        <v>6357</v>
      </c>
      <c r="D2998" t="s">
        <v>14</v>
      </c>
      <c r="E2998" t="s">
        <v>6358</v>
      </c>
      <c r="F2998" t="s">
        <v>16</v>
      </c>
      <c r="G2998">
        <v>47.72</v>
      </c>
      <c r="H2998">
        <v>96</v>
      </c>
      <c r="I2998" t="s">
        <v>17</v>
      </c>
      <c r="J2998" t="s">
        <v>18</v>
      </c>
      <c r="K2998" t="s">
        <v>708</v>
      </c>
      <c r="L2998">
        <v>336</v>
      </c>
      <c r="M2998" t="str">
        <f t="shared" si="92"/>
        <v>High</v>
      </c>
      <c r="N2998" t="str">
        <f t="shared" si="93"/>
        <v>Excellent</v>
      </c>
    </row>
    <row r="2999" spans="1:14">
      <c r="A2999" t="s">
        <v>39</v>
      </c>
      <c r="B2999">
        <v>2020</v>
      </c>
      <c r="C2999" t="s">
        <v>6359</v>
      </c>
      <c r="D2999" t="s">
        <v>33</v>
      </c>
      <c r="E2999" t="s">
        <v>6360</v>
      </c>
      <c r="F2999" t="s">
        <v>42</v>
      </c>
      <c r="G2999">
        <v>14.58</v>
      </c>
      <c r="H2999">
        <v>83</v>
      </c>
      <c r="I2999" t="s">
        <v>61</v>
      </c>
      <c r="J2999" t="s">
        <v>37</v>
      </c>
      <c r="K2999" t="s">
        <v>4321</v>
      </c>
      <c r="L2999">
        <v>3</v>
      </c>
      <c r="M2999" t="str">
        <f t="shared" si="92"/>
        <v>Low</v>
      </c>
      <c r="N2999" t="str">
        <f t="shared" si="93"/>
        <v>Good</v>
      </c>
    </row>
    <row r="3000" spans="1:14">
      <c r="A3000" t="s">
        <v>68</v>
      </c>
      <c r="B3000">
        <v>2002</v>
      </c>
      <c r="C3000" t="s">
        <v>6361</v>
      </c>
      <c r="D3000" t="s">
        <v>14</v>
      </c>
      <c r="E3000" t="s">
        <v>6362</v>
      </c>
      <c r="F3000" t="s">
        <v>42</v>
      </c>
      <c r="G3000">
        <v>13.69</v>
      </c>
      <c r="H3000">
        <v>66</v>
      </c>
      <c r="I3000" t="s">
        <v>23</v>
      </c>
      <c r="J3000" t="s">
        <v>37</v>
      </c>
      <c r="K3000" t="s">
        <v>4235</v>
      </c>
      <c r="L3000">
        <v>339</v>
      </c>
      <c r="M3000" t="str">
        <f t="shared" si="92"/>
        <v>Low</v>
      </c>
      <c r="N3000" t="str">
        <f t="shared" si="93"/>
        <v>Average</v>
      </c>
    </row>
    <row r="3001" spans="1:14">
      <c r="A3001" t="s">
        <v>20</v>
      </c>
      <c r="B3001">
        <v>2014</v>
      </c>
      <c r="C3001" t="s">
        <v>6363</v>
      </c>
      <c r="D3001" t="s">
        <v>14</v>
      </c>
      <c r="E3001" t="s">
        <v>4694</v>
      </c>
      <c r="F3001" t="s">
        <v>57</v>
      </c>
      <c r="G3001">
        <v>20.51</v>
      </c>
      <c r="H3001">
        <v>95</v>
      </c>
      <c r="I3001" t="s">
        <v>17</v>
      </c>
      <c r="J3001" t="s">
        <v>18</v>
      </c>
      <c r="K3001" t="s">
        <v>26</v>
      </c>
      <c r="L3001">
        <v>210</v>
      </c>
      <c r="M3001" t="str">
        <f t="shared" si="92"/>
        <v>Medium</v>
      </c>
      <c r="N3001" t="str">
        <f t="shared" si="93"/>
        <v>Excellent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N36"/>
  <sheetViews>
    <sheetView showGridLines="0" showRowColHeaders="0" tabSelected="1" zoomScale="80" zoomScaleNormal="80" workbookViewId="0">
      <selection activeCell="R25" sqref="R25"/>
    </sheetView>
  </sheetViews>
  <sheetFormatPr defaultRowHeight="15"/>
  <cols>
    <col min="1" max="1" width="40.7109375" customWidth="1"/>
    <col min="3" max="3" width="35.5703125" customWidth="1"/>
    <col min="5" max="5" width="29.42578125" customWidth="1"/>
    <col min="7" max="7" width="40.7109375" customWidth="1"/>
    <col min="11" max="11" width="9.140625" customWidth="1"/>
  </cols>
  <sheetData>
    <row r="1" spans="1:1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2.1" customHeight="1">
      <c r="A2" s="10"/>
      <c r="B2" s="9"/>
      <c r="C2" s="10"/>
      <c r="D2" s="9"/>
      <c r="E2" s="9"/>
      <c r="F2" s="9"/>
      <c r="G2" s="10"/>
      <c r="H2" s="9"/>
      <c r="I2" s="9"/>
      <c r="J2" s="9"/>
      <c r="K2" s="9"/>
      <c r="L2" s="9"/>
      <c r="M2" s="9"/>
      <c r="N2" s="9"/>
    </row>
    <row r="3" spans="1:14" ht="32.1" customHeight="1">
      <c r="A3" s="11"/>
      <c r="B3" s="9"/>
      <c r="C3" s="12"/>
      <c r="D3" s="9"/>
      <c r="E3" s="10"/>
      <c r="F3" s="9"/>
      <c r="G3" s="11"/>
      <c r="H3" s="9"/>
      <c r="I3" s="9"/>
      <c r="J3" s="9"/>
      <c r="K3" s="9"/>
      <c r="L3" s="9"/>
      <c r="M3" s="9"/>
      <c r="N3" s="9"/>
    </row>
    <row r="4" spans="1:14" ht="31.5">
      <c r="A4" s="9"/>
      <c r="B4" s="9"/>
      <c r="C4" s="9"/>
      <c r="D4" s="9"/>
      <c r="E4" s="13"/>
      <c r="F4" s="9"/>
      <c r="G4" s="9"/>
      <c r="H4" s="9"/>
      <c r="I4" s="9"/>
      <c r="J4" s="9"/>
      <c r="K4" s="9"/>
      <c r="L4" s="9"/>
      <c r="M4" s="9"/>
      <c r="N4" s="9"/>
    </row>
    <row r="5" spans="1:1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>
      <c r="E36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3:K47"/>
  <sheetViews>
    <sheetView zoomScale="115" zoomScaleNormal="115" workbookViewId="0">
      <selection activeCell="H16" sqref="H15:H16"/>
    </sheetView>
  </sheetViews>
  <sheetFormatPr defaultRowHeight="15"/>
  <cols>
    <col min="1" max="1" width="13.28515625" customWidth="1"/>
    <col min="2" max="2" width="22" customWidth="1"/>
    <col min="3" max="3" width="26.85546875" customWidth="1"/>
    <col min="4" max="4" width="13.140625" customWidth="1"/>
    <col min="5" max="5" width="22.140625" customWidth="1"/>
    <col min="6" max="6" width="34.85546875" customWidth="1"/>
    <col min="7" max="7" width="12.5703125" customWidth="1"/>
    <col min="8" max="8" width="7.140625" customWidth="1"/>
    <col min="9" max="9" width="26.85546875" customWidth="1"/>
    <col min="10" max="10" width="13.140625" customWidth="1"/>
    <col min="11" max="11" width="26.28515625" customWidth="1"/>
    <col min="12" max="12" width="10.5703125" customWidth="1"/>
    <col min="13" max="13" width="9.140625" customWidth="1"/>
    <col min="14" max="14" width="6.7109375" customWidth="1"/>
    <col min="15" max="15" width="8.85546875" customWidth="1"/>
    <col min="16" max="16" width="11.28515625" customWidth="1"/>
    <col min="17" max="17" width="25.85546875" bestFit="1" customWidth="1"/>
    <col min="18" max="18" width="26" bestFit="1" customWidth="1"/>
    <col min="19" max="19" width="32.7109375" bestFit="1" customWidth="1"/>
    <col min="20" max="20" width="31.5703125" bestFit="1" customWidth="1"/>
    <col min="21" max="21" width="27.7109375" bestFit="1" customWidth="1"/>
    <col min="22" max="22" width="41.85546875" bestFit="1" customWidth="1"/>
    <col min="23" max="23" width="32.85546875" bestFit="1" customWidth="1"/>
    <col min="24" max="24" width="31" bestFit="1" customWidth="1"/>
    <col min="25" max="25" width="28" bestFit="1" customWidth="1"/>
    <col min="26" max="26" width="32.42578125" bestFit="1" customWidth="1"/>
    <col min="27" max="27" width="28.85546875" bestFit="1" customWidth="1"/>
    <col min="28" max="28" width="44.28515625" bestFit="1" customWidth="1"/>
    <col min="29" max="29" width="28" bestFit="1" customWidth="1"/>
    <col min="30" max="30" width="26.140625" bestFit="1" customWidth="1"/>
    <col min="31" max="31" width="36.7109375" bestFit="1" customWidth="1"/>
    <col min="32" max="32" width="26" bestFit="1" customWidth="1"/>
    <col min="33" max="33" width="34.7109375" bestFit="1" customWidth="1"/>
    <col min="34" max="34" width="27.5703125" bestFit="1" customWidth="1"/>
    <col min="35" max="35" width="24" bestFit="1" customWidth="1"/>
    <col min="36" max="36" width="25" bestFit="1" customWidth="1"/>
    <col min="37" max="37" width="40.85546875" bestFit="1" customWidth="1"/>
    <col min="38" max="38" width="35" bestFit="1" customWidth="1"/>
    <col min="39" max="39" width="32.85546875" bestFit="1" customWidth="1"/>
    <col min="40" max="40" width="35.5703125" bestFit="1" customWidth="1"/>
    <col min="41" max="41" width="27.42578125" bestFit="1" customWidth="1"/>
    <col min="42" max="42" width="30.42578125" bestFit="1" customWidth="1"/>
    <col min="43" max="43" width="28.42578125" bestFit="1" customWidth="1"/>
    <col min="44" max="44" width="30" bestFit="1" customWidth="1"/>
    <col min="45" max="45" width="27" bestFit="1" customWidth="1"/>
    <col min="46" max="46" width="35.140625" bestFit="1" customWidth="1"/>
    <col min="47" max="47" width="29.140625" bestFit="1" customWidth="1"/>
    <col min="48" max="48" width="28" bestFit="1" customWidth="1"/>
    <col min="49" max="49" width="25" bestFit="1" customWidth="1"/>
    <col min="50" max="50" width="30" bestFit="1" customWidth="1"/>
    <col min="51" max="51" width="23.85546875" bestFit="1" customWidth="1"/>
    <col min="52" max="52" width="34" bestFit="1" customWidth="1"/>
    <col min="53" max="53" width="31" bestFit="1" customWidth="1"/>
    <col min="54" max="54" width="40.5703125" bestFit="1" customWidth="1"/>
    <col min="55" max="55" width="29.28515625" bestFit="1" customWidth="1"/>
    <col min="56" max="56" width="32.85546875" bestFit="1" customWidth="1"/>
    <col min="57" max="57" width="36.5703125" bestFit="1" customWidth="1"/>
    <col min="58" max="58" width="29" bestFit="1" customWidth="1"/>
    <col min="59" max="59" width="40.42578125" bestFit="1" customWidth="1"/>
    <col min="60" max="60" width="33" bestFit="1" customWidth="1"/>
    <col min="61" max="61" width="39.7109375" bestFit="1" customWidth="1"/>
    <col min="62" max="62" width="34.42578125" bestFit="1" customWidth="1"/>
    <col min="63" max="63" width="29.7109375" bestFit="1" customWidth="1"/>
    <col min="64" max="64" width="27.85546875" bestFit="1" customWidth="1"/>
    <col min="65" max="65" width="33.140625" bestFit="1" customWidth="1"/>
    <col min="66" max="66" width="26" bestFit="1" customWidth="1"/>
    <col min="67" max="67" width="30.5703125" bestFit="1" customWidth="1"/>
    <col min="68" max="68" width="32.28515625" bestFit="1" customWidth="1"/>
    <col min="69" max="69" width="43.140625" bestFit="1" customWidth="1"/>
    <col min="70" max="70" width="32.5703125" bestFit="1" customWidth="1"/>
    <col min="71" max="71" width="25.140625" bestFit="1" customWidth="1"/>
    <col min="72" max="72" width="40.85546875" bestFit="1" customWidth="1"/>
    <col min="73" max="73" width="30.85546875" bestFit="1" customWidth="1"/>
    <col min="74" max="74" width="43.28515625" bestFit="1" customWidth="1"/>
    <col min="75" max="75" width="29.42578125" bestFit="1" customWidth="1"/>
    <col min="76" max="76" width="32.28515625" bestFit="1" customWidth="1"/>
    <col min="77" max="77" width="40.5703125" bestFit="1" customWidth="1"/>
    <col min="78" max="78" width="36" bestFit="1" customWidth="1"/>
    <col min="79" max="79" width="39.7109375" bestFit="1" customWidth="1"/>
    <col min="80" max="80" width="37.5703125" bestFit="1" customWidth="1"/>
    <col min="81" max="81" width="28.7109375" bestFit="1" customWidth="1"/>
    <col min="82" max="82" width="30.7109375" bestFit="1" customWidth="1"/>
    <col min="83" max="83" width="32.5703125" bestFit="1" customWidth="1"/>
    <col min="84" max="84" width="35.28515625" bestFit="1" customWidth="1"/>
    <col min="85" max="85" width="40.28515625" bestFit="1" customWidth="1"/>
    <col min="86" max="86" width="36.7109375" bestFit="1" customWidth="1"/>
    <col min="87" max="87" width="23.85546875" bestFit="1" customWidth="1"/>
    <col min="88" max="88" width="32" bestFit="1" customWidth="1"/>
    <col min="89" max="89" width="36.42578125" bestFit="1" customWidth="1"/>
    <col min="90" max="90" width="28.5703125" bestFit="1" customWidth="1"/>
    <col min="91" max="91" width="31.42578125" bestFit="1" customWidth="1"/>
    <col min="92" max="92" width="43.7109375" bestFit="1" customWidth="1"/>
    <col min="93" max="93" width="30.7109375" bestFit="1" customWidth="1"/>
    <col min="94" max="94" width="37.42578125" bestFit="1" customWidth="1"/>
    <col min="95" max="95" width="29.85546875" bestFit="1" customWidth="1"/>
    <col min="96" max="96" width="30.5703125" bestFit="1" customWidth="1"/>
    <col min="97" max="97" width="39.85546875" bestFit="1" customWidth="1"/>
    <col min="98" max="98" width="35.28515625" bestFit="1" customWidth="1"/>
    <col min="99" max="99" width="31.85546875" bestFit="1" customWidth="1"/>
    <col min="100" max="100" width="31.7109375" bestFit="1" customWidth="1"/>
    <col min="101" max="101" width="31.140625" bestFit="1" customWidth="1"/>
    <col min="102" max="102" width="37.28515625" bestFit="1" customWidth="1"/>
    <col min="103" max="103" width="32.42578125" bestFit="1" customWidth="1"/>
    <col min="104" max="104" width="28.7109375" bestFit="1" customWidth="1"/>
    <col min="105" max="105" width="37.28515625" bestFit="1" customWidth="1"/>
    <col min="106" max="106" width="27.140625" bestFit="1" customWidth="1"/>
    <col min="107" max="107" width="34.42578125" bestFit="1" customWidth="1"/>
    <col min="108" max="108" width="28.85546875" bestFit="1" customWidth="1"/>
    <col min="109" max="109" width="29.28515625" bestFit="1" customWidth="1"/>
    <col min="110" max="110" width="30.85546875" bestFit="1" customWidth="1"/>
    <col min="111" max="111" width="31.85546875" bestFit="1" customWidth="1"/>
    <col min="112" max="112" width="25.140625" bestFit="1" customWidth="1"/>
    <col min="113" max="113" width="22.140625" bestFit="1" customWidth="1"/>
    <col min="114" max="114" width="27.5703125" bestFit="1" customWidth="1"/>
    <col min="115" max="115" width="29.42578125" bestFit="1" customWidth="1"/>
    <col min="116" max="116" width="42.5703125" bestFit="1" customWidth="1"/>
    <col min="117" max="117" width="32.7109375" bestFit="1" customWidth="1"/>
    <col min="118" max="118" width="30.5703125" bestFit="1" customWidth="1"/>
    <col min="119" max="119" width="39.85546875" bestFit="1" customWidth="1"/>
    <col min="120" max="120" width="30.28515625" bestFit="1" customWidth="1"/>
    <col min="121" max="121" width="33.140625" bestFit="1" customWidth="1"/>
    <col min="122" max="122" width="30.140625" bestFit="1" customWidth="1"/>
    <col min="123" max="123" width="26.28515625" bestFit="1" customWidth="1"/>
    <col min="124" max="124" width="30.7109375" bestFit="1" customWidth="1"/>
    <col min="125" max="125" width="24.7109375" bestFit="1" customWidth="1"/>
    <col min="126" max="126" width="26.5703125" bestFit="1" customWidth="1"/>
    <col min="127" max="127" width="24.140625" bestFit="1" customWidth="1"/>
    <col min="128" max="128" width="33.28515625" bestFit="1" customWidth="1"/>
    <col min="129" max="129" width="28.85546875" bestFit="1" customWidth="1"/>
    <col min="130" max="130" width="34" bestFit="1" customWidth="1"/>
    <col min="131" max="131" width="30.42578125" bestFit="1" customWidth="1"/>
    <col min="132" max="132" width="48.140625" bestFit="1" customWidth="1"/>
    <col min="133" max="133" width="35.85546875" bestFit="1" customWidth="1"/>
    <col min="134" max="134" width="25.7109375" bestFit="1" customWidth="1"/>
    <col min="135" max="135" width="36.42578125" bestFit="1" customWidth="1"/>
    <col min="136" max="136" width="41" bestFit="1" customWidth="1"/>
    <col min="137" max="137" width="26.140625" bestFit="1" customWidth="1"/>
    <col min="138" max="138" width="26.7109375" bestFit="1" customWidth="1"/>
    <col min="139" max="139" width="25" bestFit="1" customWidth="1"/>
    <col min="140" max="140" width="28.28515625" bestFit="1" customWidth="1"/>
    <col min="141" max="141" width="33.140625" bestFit="1" customWidth="1"/>
    <col min="142" max="142" width="29.42578125" bestFit="1" customWidth="1"/>
    <col min="143" max="143" width="28.7109375" bestFit="1" customWidth="1"/>
    <col min="144" max="144" width="32.140625" bestFit="1" customWidth="1"/>
    <col min="145" max="145" width="29.42578125" bestFit="1" customWidth="1"/>
    <col min="146" max="146" width="48" bestFit="1" customWidth="1"/>
    <col min="147" max="147" width="27.28515625" bestFit="1" customWidth="1"/>
    <col min="148" max="148" width="29.42578125" bestFit="1" customWidth="1"/>
    <col min="149" max="149" width="33.85546875" bestFit="1" customWidth="1"/>
    <col min="150" max="150" width="40" bestFit="1" customWidth="1"/>
    <col min="151" max="151" width="40.85546875" bestFit="1" customWidth="1"/>
    <col min="152" max="152" width="26.5703125" bestFit="1" customWidth="1"/>
    <col min="153" max="153" width="27" bestFit="1" customWidth="1"/>
    <col min="154" max="154" width="34" bestFit="1" customWidth="1"/>
    <col min="155" max="155" width="28.85546875" bestFit="1" customWidth="1"/>
    <col min="156" max="156" width="32.5703125" bestFit="1" customWidth="1"/>
    <col min="157" max="157" width="26.7109375" bestFit="1" customWidth="1"/>
    <col min="158" max="158" width="30.28515625" bestFit="1" customWidth="1"/>
    <col min="159" max="159" width="24" bestFit="1" customWidth="1"/>
    <col min="160" max="160" width="27.5703125" bestFit="1" customWidth="1"/>
    <col min="161" max="161" width="25.5703125" bestFit="1" customWidth="1"/>
    <col min="162" max="162" width="31.5703125" bestFit="1" customWidth="1"/>
    <col min="163" max="163" width="30.85546875" bestFit="1" customWidth="1"/>
    <col min="164" max="164" width="40.28515625" bestFit="1" customWidth="1"/>
    <col min="165" max="165" width="30.85546875" bestFit="1" customWidth="1"/>
    <col min="166" max="166" width="29.42578125" bestFit="1" customWidth="1"/>
    <col min="167" max="167" width="32.42578125" bestFit="1" customWidth="1"/>
    <col min="168" max="168" width="35.140625" bestFit="1" customWidth="1"/>
    <col min="169" max="169" width="29" bestFit="1" customWidth="1"/>
    <col min="170" max="170" width="40" bestFit="1" customWidth="1"/>
    <col min="171" max="171" width="24.85546875" bestFit="1" customWidth="1"/>
    <col min="172" max="172" width="27.85546875" bestFit="1" customWidth="1"/>
    <col min="173" max="173" width="30.42578125" bestFit="1" customWidth="1"/>
    <col min="174" max="174" width="25" bestFit="1" customWidth="1"/>
    <col min="175" max="175" width="23.7109375" bestFit="1" customWidth="1"/>
    <col min="176" max="176" width="28.5703125" bestFit="1" customWidth="1"/>
    <col min="177" max="177" width="29.28515625" bestFit="1" customWidth="1"/>
    <col min="178" max="178" width="30" bestFit="1" customWidth="1"/>
    <col min="179" max="179" width="27.5703125" bestFit="1" customWidth="1"/>
    <col min="180" max="180" width="21.7109375" bestFit="1" customWidth="1"/>
    <col min="181" max="181" width="33" bestFit="1" customWidth="1"/>
    <col min="182" max="182" width="34.140625" bestFit="1" customWidth="1"/>
    <col min="183" max="183" width="26.42578125" bestFit="1" customWidth="1"/>
    <col min="184" max="184" width="38.140625" bestFit="1" customWidth="1"/>
    <col min="185" max="185" width="32.42578125" bestFit="1" customWidth="1"/>
    <col min="186" max="186" width="29.85546875" bestFit="1" customWidth="1"/>
    <col min="187" max="187" width="39.7109375" bestFit="1" customWidth="1"/>
    <col min="188" max="188" width="36.85546875" bestFit="1" customWidth="1"/>
    <col min="189" max="189" width="37.140625" bestFit="1" customWidth="1"/>
    <col min="190" max="190" width="31.140625" bestFit="1" customWidth="1"/>
    <col min="191" max="191" width="39" bestFit="1" customWidth="1"/>
    <col min="192" max="192" width="41.7109375" bestFit="1" customWidth="1"/>
    <col min="193" max="193" width="37.5703125" bestFit="1" customWidth="1"/>
    <col min="194" max="194" width="34" bestFit="1" customWidth="1"/>
    <col min="195" max="195" width="36" bestFit="1" customWidth="1"/>
    <col min="196" max="196" width="35.85546875" bestFit="1" customWidth="1"/>
    <col min="197" max="197" width="37.7109375" bestFit="1" customWidth="1"/>
    <col min="198" max="198" width="32.5703125" bestFit="1" customWidth="1"/>
    <col min="199" max="199" width="36.140625" bestFit="1" customWidth="1"/>
    <col min="200" max="200" width="35.7109375" bestFit="1" customWidth="1"/>
    <col min="201" max="201" width="34.5703125" bestFit="1" customWidth="1"/>
    <col min="202" max="202" width="33.5703125" bestFit="1" customWidth="1"/>
    <col min="203" max="203" width="29.140625" bestFit="1" customWidth="1"/>
    <col min="204" max="204" width="32.7109375" bestFit="1" customWidth="1"/>
    <col min="205" max="205" width="46.5703125" bestFit="1" customWidth="1"/>
    <col min="206" max="206" width="34" bestFit="1" customWidth="1"/>
    <col min="207" max="207" width="43.85546875" bestFit="1" customWidth="1"/>
    <col min="208" max="208" width="39.7109375" bestFit="1" customWidth="1"/>
    <col min="209" max="209" width="40.85546875" bestFit="1" customWidth="1"/>
    <col min="210" max="210" width="32.28515625" bestFit="1" customWidth="1"/>
    <col min="211" max="211" width="31.7109375" bestFit="1" customWidth="1"/>
    <col min="212" max="212" width="33.5703125" bestFit="1" customWidth="1"/>
    <col min="213" max="213" width="38.85546875" bestFit="1" customWidth="1"/>
    <col min="214" max="214" width="35.7109375" bestFit="1" customWidth="1"/>
    <col min="215" max="215" width="32.28515625" bestFit="1" customWidth="1"/>
    <col min="216" max="216" width="45.28515625" bestFit="1" customWidth="1"/>
    <col min="217" max="217" width="33.5703125" bestFit="1" customWidth="1"/>
    <col min="218" max="218" width="36.5703125" bestFit="1" customWidth="1"/>
    <col min="219" max="219" width="33.28515625" bestFit="1" customWidth="1"/>
    <col min="220" max="220" width="35.42578125" bestFit="1" customWidth="1"/>
    <col min="221" max="221" width="37.140625" bestFit="1" customWidth="1"/>
    <col min="222" max="222" width="38" bestFit="1" customWidth="1"/>
    <col min="223" max="223" width="38.42578125" bestFit="1" customWidth="1"/>
    <col min="224" max="224" width="36.85546875" bestFit="1" customWidth="1"/>
    <col min="225" max="225" width="37.7109375" bestFit="1" customWidth="1"/>
    <col min="226" max="226" width="38.42578125" bestFit="1" customWidth="1"/>
    <col min="227" max="227" width="22" bestFit="1" customWidth="1"/>
    <col min="228" max="228" width="29" bestFit="1" customWidth="1"/>
    <col min="229" max="229" width="36" bestFit="1" customWidth="1"/>
    <col min="230" max="230" width="32" bestFit="1" customWidth="1"/>
    <col min="231" max="231" width="38.42578125" bestFit="1" customWidth="1"/>
    <col min="232" max="232" width="25.85546875" bestFit="1" customWidth="1"/>
    <col min="233" max="233" width="32.7109375" bestFit="1" customWidth="1"/>
    <col min="234" max="234" width="35.42578125" bestFit="1" customWidth="1"/>
    <col min="235" max="235" width="33.140625" bestFit="1" customWidth="1"/>
    <col min="236" max="236" width="42.85546875" bestFit="1" customWidth="1"/>
    <col min="237" max="237" width="34.85546875" bestFit="1" customWidth="1"/>
    <col min="238" max="238" width="28.85546875" bestFit="1" customWidth="1"/>
    <col min="239" max="239" width="35" bestFit="1" customWidth="1"/>
    <col min="240" max="240" width="25" bestFit="1" customWidth="1"/>
    <col min="241" max="241" width="35" bestFit="1" customWidth="1"/>
    <col min="242" max="242" width="30.85546875" bestFit="1" customWidth="1"/>
    <col min="243" max="243" width="27.5703125" bestFit="1" customWidth="1"/>
    <col min="244" max="244" width="32.7109375" bestFit="1" customWidth="1"/>
    <col min="245" max="245" width="34.28515625" bestFit="1" customWidth="1"/>
    <col min="246" max="246" width="28.42578125" bestFit="1" customWidth="1"/>
    <col min="247" max="247" width="42.7109375" bestFit="1" customWidth="1"/>
    <col min="248" max="248" width="34.42578125" bestFit="1" customWidth="1"/>
    <col min="249" max="249" width="34.28515625" bestFit="1" customWidth="1"/>
    <col min="250" max="250" width="26.5703125" bestFit="1" customWidth="1"/>
    <col min="251" max="251" width="31.28515625" bestFit="1" customWidth="1"/>
    <col min="252" max="252" width="27.85546875" bestFit="1" customWidth="1"/>
    <col min="253" max="253" width="32.42578125" bestFit="1" customWidth="1"/>
    <col min="254" max="254" width="27.140625" bestFit="1" customWidth="1"/>
    <col min="255" max="255" width="34.85546875" bestFit="1" customWidth="1"/>
    <col min="256" max="256" width="27.7109375" bestFit="1" customWidth="1"/>
    <col min="257" max="257" width="33.140625" bestFit="1" customWidth="1"/>
    <col min="258" max="258" width="29.7109375" bestFit="1" customWidth="1"/>
    <col min="259" max="259" width="30.85546875" bestFit="1" customWidth="1"/>
    <col min="260" max="260" width="30.7109375" bestFit="1" customWidth="1"/>
    <col min="261" max="261" width="24.140625" bestFit="1" customWidth="1"/>
    <col min="262" max="262" width="22.140625" bestFit="1" customWidth="1"/>
    <col min="263" max="263" width="26" bestFit="1" customWidth="1"/>
    <col min="264" max="264" width="34" bestFit="1" customWidth="1"/>
    <col min="265" max="265" width="36.85546875" bestFit="1" customWidth="1"/>
    <col min="266" max="266" width="29.28515625" bestFit="1" customWidth="1"/>
    <col min="267" max="267" width="30.42578125" bestFit="1" customWidth="1"/>
    <col min="268" max="268" width="27.42578125" bestFit="1" customWidth="1"/>
    <col min="269" max="269" width="23.28515625" bestFit="1" customWidth="1"/>
    <col min="270" max="270" width="38.7109375" bestFit="1" customWidth="1"/>
    <col min="271" max="271" width="27" bestFit="1" customWidth="1"/>
    <col min="272" max="272" width="31.7109375" bestFit="1" customWidth="1"/>
    <col min="273" max="273" width="29.140625" bestFit="1" customWidth="1"/>
    <col min="274" max="274" width="23.85546875" bestFit="1" customWidth="1"/>
    <col min="275" max="275" width="26.28515625" bestFit="1" customWidth="1"/>
    <col min="276" max="276" width="34.5703125" bestFit="1" customWidth="1"/>
    <col min="277" max="277" width="28.5703125" bestFit="1" customWidth="1"/>
    <col min="278" max="278" width="20" bestFit="1" customWidth="1"/>
    <col min="279" max="279" width="28.28515625" bestFit="1" customWidth="1"/>
    <col min="280" max="280" width="23.28515625" bestFit="1" customWidth="1"/>
    <col min="281" max="281" width="29.28515625" bestFit="1" customWidth="1"/>
    <col min="282" max="282" width="22.5703125" bestFit="1" customWidth="1"/>
    <col min="283" max="283" width="31.42578125" bestFit="1" customWidth="1"/>
    <col min="284" max="284" width="32.5703125" bestFit="1" customWidth="1"/>
    <col min="285" max="285" width="37.42578125" bestFit="1" customWidth="1"/>
    <col min="286" max="286" width="22.5703125" bestFit="1" customWidth="1"/>
    <col min="287" max="287" width="23.5703125" bestFit="1" customWidth="1"/>
    <col min="288" max="288" width="28.85546875" bestFit="1" customWidth="1"/>
    <col min="289" max="289" width="24.42578125" bestFit="1" customWidth="1"/>
    <col min="290" max="290" width="35.42578125" bestFit="1" customWidth="1"/>
    <col min="291" max="291" width="40.140625" bestFit="1" customWidth="1"/>
    <col min="292" max="292" width="26.28515625" bestFit="1" customWidth="1"/>
    <col min="293" max="293" width="39.28515625" bestFit="1" customWidth="1"/>
    <col min="294" max="294" width="34.85546875" bestFit="1" customWidth="1"/>
    <col min="295" max="295" width="27.5703125" bestFit="1" customWidth="1"/>
    <col min="296" max="296" width="29.28515625" bestFit="1" customWidth="1"/>
    <col min="297" max="297" width="34" bestFit="1" customWidth="1"/>
    <col min="298" max="298" width="26.140625" bestFit="1" customWidth="1"/>
    <col min="299" max="299" width="40.140625" bestFit="1" customWidth="1"/>
    <col min="300" max="300" width="36.140625" bestFit="1" customWidth="1"/>
    <col min="301" max="301" width="27.5703125" bestFit="1" customWidth="1"/>
    <col min="302" max="302" width="25.7109375" bestFit="1" customWidth="1"/>
    <col min="303" max="303" width="35.5703125" bestFit="1" customWidth="1"/>
    <col min="304" max="304" width="28" bestFit="1" customWidth="1"/>
    <col min="305" max="305" width="30.85546875" bestFit="1" customWidth="1"/>
    <col min="306" max="306" width="34.5703125" bestFit="1" customWidth="1"/>
    <col min="307" max="307" width="24.28515625" bestFit="1" customWidth="1"/>
    <col min="308" max="308" width="26" bestFit="1" customWidth="1"/>
    <col min="309" max="309" width="36.140625" bestFit="1" customWidth="1"/>
    <col min="310" max="310" width="28.28515625" bestFit="1" customWidth="1"/>
    <col min="311" max="311" width="31.85546875" bestFit="1" customWidth="1"/>
    <col min="312" max="312" width="34.5703125" bestFit="1" customWidth="1"/>
    <col min="313" max="313" width="42.28515625" bestFit="1" customWidth="1"/>
    <col min="314" max="314" width="28.5703125" bestFit="1" customWidth="1"/>
    <col min="315" max="315" width="27.28515625" bestFit="1" customWidth="1"/>
    <col min="316" max="316" width="29" bestFit="1" customWidth="1"/>
    <col min="317" max="317" width="29.140625" bestFit="1" customWidth="1"/>
    <col min="318" max="318" width="42.28515625" bestFit="1" customWidth="1"/>
    <col min="319" max="319" width="36.5703125" bestFit="1" customWidth="1"/>
    <col min="320" max="320" width="42.28515625" bestFit="1" customWidth="1"/>
    <col min="321" max="321" width="43" bestFit="1" customWidth="1"/>
    <col min="322" max="322" width="32.28515625" bestFit="1" customWidth="1"/>
    <col min="323" max="323" width="34.7109375" bestFit="1" customWidth="1"/>
    <col min="324" max="324" width="27.42578125" bestFit="1" customWidth="1"/>
    <col min="325" max="325" width="39.28515625" bestFit="1" customWidth="1"/>
    <col min="326" max="326" width="31.140625" bestFit="1" customWidth="1"/>
    <col min="327" max="327" width="40" bestFit="1" customWidth="1"/>
    <col min="328" max="328" width="33.5703125" bestFit="1" customWidth="1"/>
    <col min="329" max="329" width="31.28515625" bestFit="1" customWidth="1"/>
    <col min="330" max="330" width="36.140625" bestFit="1" customWidth="1"/>
    <col min="331" max="331" width="32.28515625" bestFit="1" customWidth="1"/>
    <col min="332" max="332" width="33" bestFit="1" customWidth="1"/>
    <col min="333" max="333" width="33.42578125" bestFit="1" customWidth="1"/>
    <col min="334" max="334" width="35.5703125" bestFit="1" customWidth="1"/>
    <col min="335" max="335" width="33.5703125" bestFit="1" customWidth="1"/>
    <col min="336" max="336" width="26.85546875" bestFit="1" customWidth="1"/>
    <col min="337" max="337" width="35.85546875" bestFit="1" customWidth="1"/>
    <col min="338" max="338" width="30.140625" bestFit="1" customWidth="1"/>
    <col min="339" max="339" width="33.85546875" bestFit="1" customWidth="1"/>
    <col min="340" max="340" width="30.85546875" bestFit="1" customWidth="1"/>
    <col min="341" max="341" width="39.140625" bestFit="1" customWidth="1"/>
    <col min="342" max="342" width="32" bestFit="1" customWidth="1"/>
    <col min="343" max="343" width="24" bestFit="1" customWidth="1"/>
    <col min="344" max="344" width="28.42578125" bestFit="1" customWidth="1"/>
    <col min="345" max="345" width="35.140625" bestFit="1" customWidth="1"/>
    <col min="346" max="346" width="36.7109375" bestFit="1" customWidth="1"/>
    <col min="347" max="347" width="28.85546875" bestFit="1" customWidth="1"/>
    <col min="348" max="348" width="29.85546875" bestFit="1" customWidth="1"/>
    <col min="349" max="349" width="41.7109375" bestFit="1" customWidth="1"/>
    <col min="350" max="350" width="35.140625" bestFit="1" customWidth="1"/>
    <col min="351" max="351" width="48.85546875" bestFit="1" customWidth="1"/>
    <col min="352" max="352" width="29.7109375" bestFit="1" customWidth="1"/>
    <col min="353" max="353" width="39.28515625" bestFit="1" customWidth="1"/>
    <col min="354" max="354" width="36.85546875" bestFit="1" customWidth="1"/>
    <col min="355" max="355" width="55.140625" bestFit="1" customWidth="1"/>
    <col min="356" max="356" width="42.140625" bestFit="1" customWidth="1"/>
    <col min="357" max="357" width="34.7109375" bestFit="1" customWidth="1"/>
    <col min="358" max="358" width="28.7109375" bestFit="1" customWidth="1"/>
    <col min="359" max="359" width="39.85546875" bestFit="1" customWidth="1"/>
    <col min="360" max="360" width="33.85546875" bestFit="1" customWidth="1"/>
    <col min="361" max="361" width="31.5703125" bestFit="1" customWidth="1"/>
    <col min="362" max="362" width="32.140625" bestFit="1" customWidth="1"/>
    <col min="363" max="363" width="31.5703125" bestFit="1" customWidth="1"/>
    <col min="364" max="364" width="29.7109375" bestFit="1" customWidth="1"/>
    <col min="365" max="365" width="31.28515625" bestFit="1" customWidth="1"/>
    <col min="366" max="366" width="38.42578125" bestFit="1" customWidth="1"/>
    <col min="367" max="367" width="32.7109375" bestFit="1" customWidth="1"/>
    <col min="368" max="368" width="24.85546875" bestFit="1" customWidth="1"/>
    <col min="369" max="369" width="30.5703125" bestFit="1" customWidth="1"/>
    <col min="370" max="370" width="35.7109375" bestFit="1" customWidth="1"/>
    <col min="371" max="371" width="31.28515625" bestFit="1" customWidth="1"/>
    <col min="372" max="372" width="29" bestFit="1" customWidth="1"/>
    <col min="373" max="373" width="30.140625" bestFit="1" customWidth="1"/>
    <col min="374" max="374" width="34.28515625" bestFit="1" customWidth="1"/>
    <col min="375" max="375" width="32.5703125" bestFit="1" customWidth="1"/>
    <col min="376" max="376" width="27.42578125" bestFit="1" customWidth="1"/>
    <col min="377" max="377" width="35.85546875" bestFit="1" customWidth="1"/>
    <col min="378" max="378" width="37.7109375" bestFit="1" customWidth="1"/>
    <col min="379" max="379" width="31" bestFit="1" customWidth="1"/>
    <col min="380" max="380" width="29.140625" bestFit="1" customWidth="1"/>
    <col min="381" max="381" width="27.28515625" bestFit="1" customWidth="1"/>
    <col min="382" max="382" width="40.28515625" bestFit="1" customWidth="1"/>
    <col min="383" max="383" width="28.140625" bestFit="1" customWidth="1"/>
    <col min="384" max="384" width="32.5703125" bestFit="1" customWidth="1"/>
    <col min="385" max="385" width="35.5703125" bestFit="1" customWidth="1"/>
    <col min="386" max="386" width="43.42578125" bestFit="1" customWidth="1"/>
    <col min="387" max="387" width="35.5703125" bestFit="1" customWidth="1"/>
    <col min="388" max="388" width="36.7109375" bestFit="1" customWidth="1"/>
    <col min="389" max="389" width="39.28515625" bestFit="1" customWidth="1"/>
    <col min="390" max="390" width="35.42578125" bestFit="1" customWidth="1"/>
    <col min="391" max="391" width="46.85546875" bestFit="1" customWidth="1"/>
    <col min="392" max="392" width="36.140625" bestFit="1" customWidth="1"/>
    <col min="393" max="393" width="33.42578125" bestFit="1" customWidth="1"/>
    <col min="394" max="394" width="42.85546875" bestFit="1" customWidth="1"/>
    <col min="395" max="395" width="32.28515625" bestFit="1" customWidth="1"/>
    <col min="396" max="396" width="31.28515625" bestFit="1" customWidth="1"/>
    <col min="397" max="397" width="40.5703125" bestFit="1" customWidth="1"/>
    <col min="398" max="398" width="36.42578125" bestFit="1" customWidth="1"/>
    <col min="399" max="399" width="39.5703125" bestFit="1" customWidth="1"/>
    <col min="400" max="400" width="34" bestFit="1" customWidth="1"/>
    <col min="401" max="401" width="35.28515625" bestFit="1" customWidth="1"/>
    <col min="402" max="402" width="38.85546875" bestFit="1" customWidth="1"/>
    <col min="403" max="403" width="34.28515625" bestFit="1" customWidth="1"/>
    <col min="404" max="404" width="31.85546875" bestFit="1" customWidth="1"/>
    <col min="405" max="405" width="33.5703125" bestFit="1" customWidth="1"/>
    <col min="406" max="406" width="33.42578125" bestFit="1" customWidth="1"/>
    <col min="407" max="407" width="41.85546875" bestFit="1" customWidth="1"/>
    <col min="408" max="408" width="41.140625" bestFit="1" customWidth="1"/>
    <col min="409" max="409" width="36.42578125" bestFit="1" customWidth="1"/>
    <col min="410" max="410" width="38.42578125" bestFit="1" customWidth="1"/>
    <col min="411" max="411" width="26.85546875" bestFit="1" customWidth="1"/>
    <col min="412" max="412" width="33.42578125" bestFit="1" customWidth="1"/>
    <col min="413" max="413" width="34.85546875" bestFit="1" customWidth="1"/>
    <col min="414" max="414" width="30.28515625" bestFit="1" customWidth="1"/>
    <col min="415" max="415" width="32.85546875" bestFit="1" customWidth="1"/>
    <col min="416" max="416" width="41" bestFit="1" customWidth="1"/>
    <col min="417" max="417" width="36.7109375" bestFit="1" customWidth="1"/>
    <col min="418" max="418" width="40.85546875" bestFit="1" customWidth="1"/>
    <col min="419" max="419" width="35.7109375" bestFit="1" customWidth="1"/>
    <col min="420" max="420" width="32.42578125" bestFit="1" customWidth="1"/>
    <col min="421" max="421" width="27.85546875" bestFit="1" customWidth="1"/>
    <col min="422" max="422" width="36.85546875" bestFit="1" customWidth="1"/>
    <col min="423" max="423" width="31.140625" bestFit="1" customWidth="1"/>
    <col min="424" max="424" width="32.7109375" bestFit="1" customWidth="1"/>
    <col min="425" max="425" width="33.5703125" bestFit="1" customWidth="1"/>
    <col min="426" max="426" width="36.42578125" bestFit="1" customWidth="1"/>
    <col min="427" max="427" width="40.28515625" bestFit="1" customWidth="1"/>
    <col min="428" max="428" width="37.5703125" bestFit="1" customWidth="1"/>
    <col min="429" max="429" width="42.28515625" bestFit="1" customWidth="1"/>
    <col min="430" max="430" width="36.5703125" bestFit="1" customWidth="1"/>
    <col min="431" max="431" width="39.42578125" bestFit="1" customWidth="1"/>
    <col min="432" max="432" width="37.28515625" bestFit="1" customWidth="1"/>
    <col min="433" max="433" width="40.85546875" bestFit="1" customWidth="1"/>
    <col min="434" max="434" width="37.42578125" bestFit="1" customWidth="1"/>
    <col min="435" max="435" width="44.5703125" bestFit="1" customWidth="1"/>
    <col min="436" max="436" width="39.7109375" bestFit="1" customWidth="1"/>
    <col min="437" max="437" width="40.85546875" bestFit="1" customWidth="1"/>
    <col min="438" max="438" width="32.140625" bestFit="1" customWidth="1"/>
    <col min="439" max="439" width="43.5703125" bestFit="1" customWidth="1"/>
    <col min="440" max="440" width="41.7109375" bestFit="1" customWidth="1"/>
    <col min="441" max="441" width="37.7109375" bestFit="1" customWidth="1"/>
    <col min="442" max="442" width="42.42578125" bestFit="1" customWidth="1"/>
    <col min="443" max="443" width="39.28515625" bestFit="1" customWidth="1"/>
    <col min="444" max="444" width="45.7109375" bestFit="1" customWidth="1"/>
    <col min="445" max="445" width="40.7109375" bestFit="1" customWidth="1"/>
    <col min="446" max="446" width="32.28515625" bestFit="1" customWidth="1"/>
    <col min="447" max="447" width="37.5703125" bestFit="1" customWidth="1"/>
    <col min="448" max="448" width="45.140625" bestFit="1" customWidth="1"/>
    <col min="449" max="449" width="44.140625" bestFit="1" customWidth="1"/>
    <col min="450" max="450" width="43" bestFit="1" customWidth="1"/>
    <col min="451" max="451" width="39.28515625" bestFit="1" customWidth="1"/>
    <col min="452" max="452" width="38.7109375" bestFit="1" customWidth="1"/>
    <col min="453" max="453" width="40.140625" bestFit="1" customWidth="1"/>
    <col min="454" max="454" width="39" bestFit="1" customWidth="1"/>
    <col min="455" max="455" width="37.5703125" bestFit="1" customWidth="1"/>
    <col min="456" max="456" width="34.28515625" bestFit="1" customWidth="1"/>
    <col min="457" max="457" width="36.5703125" bestFit="1" customWidth="1"/>
    <col min="458" max="458" width="37" bestFit="1" customWidth="1"/>
    <col min="459" max="459" width="41" bestFit="1" customWidth="1"/>
    <col min="460" max="460" width="44.7109375" bestFit="1" customWidth="1"/>
    <col min="461" max="461" width="34.85546875" bestFit="1" customWidth="1"/>
    <col min="462" max="462" width="33.5703125" bestFit="1" customWidth="1"/>
    <col min="463" max="463" width="34.7109375" bestFit="1" customWidth="1"/>
    <col min="464" max="464" width="37.140625" bestFit="1" customWidth="1"/>
    <col min="465" max="465" width="45.5703125" bestFit="1" customWidth="1"/>
    <col min="466" max="466" width="39.85546875" bestFit="1" customWidth="1"/>
    <col min="467" max="467" width="43.140625" bestFit="1" customWidth="1"/>
    <col min="468" max="468" width="42.7109375" bestFit="1" customWidth="1"/>
    <col min="469" max="469" width="30" bestFit="1" customWidth="1"/>
    <col min="470" max="470" width="33.28515625" bestFit="1" customWidth="1"/>
    <col min="471" max="471" width="31.140625" bestFit="1" customWidth="1"/>
    <col min="472" max="472" width="36" bestFit="1" customWidth="1"/>
    <col min="473" max="473" width="36.85546875" bestFit="1" customWidth="1"/>
    <col min="474" max="474" width="28.85546875" bestFit="1" customWidth="1"/>
    <col min="475" max="475" width="37.5703125" bestFit="1" customWidth="1"/>
    <col min="476" max="476" width="34.85546875" bestFit="1" customWidth="1"/>
    <col min="477" max="477" width="33.42578125" bestFit="1" customWidth="1"/>
    <col min="478" max="478" width="36.140625" bestFit="1" customWidth="1"/>
    <col min="479" max="479" width="45.28515625" bestFit="1" customWidth="1"/>
    <col min="480" max="480" width="31.140625" bestFit="1" customWidth="1"/>
    <col min="481" max="481" width="29" bestFit="1" customWidth="1"/>
    <col min="482" max="482" width="29.140625" bestFit="1" customWidth="1"/>
    <col min="483" max="483" width="34.140625" bestFit="1" customWidth="1"/>
    <col min="484" max="484" width="28.5703125" bestFit="1" customWidth="1"/>
    <col min="485" max="485" width="33.42578125" bestFit="1" customWidth="1"/>
    <col min="486" max="486" width="33.140625" bestFit="1" customWidth="1"/>
    <col min="487" max="487" width="29.28515625" bestFit="1" customWidth="1"/>
    <col min="488" max="488" width="44.42578125" bestFit="1" customWidth="1"/>
    <col min="489" max="489" width="32.85546875" bestFit="1" customWidth="1"/>
    <col min="490" max="490" width="48.140625" bestFit="1" customWidth="1"/>
    <col min="491" max="491" width="28.5703125" bestFit="1" customWidth="1"/>
    <col min="492" max="492" width="34.42578125" bestFit="1" customWidth="1"/>
    <col min="493" max="493" width="44.5703125" bestFit="1" customWidth="1"/>
    <col min="494" max="494" width="43.85546875" bestFit="1" customWidth="1"/>
    <col min="495" max="495" width="32.42578125" bestFit="1" customWidth="1"/>
    <col min="496" max="496" width="35.140625" bestFit="1" customWidth="1"/>
    <col min="497" max="497" width="36.28515625" bestFit="1" customWidth="1"/>
    <col min="498" max="498" width="28.7109375" bestFit="1" customWidth="1"/>
    <col min="499" max="499" width="30" bestFit="1" customWidth="1"/>
    <col min="500" max="500" width="48" bestFit="1" customWidth="1"/>
    <col min="501" max="501" width="30.28515625" bestFit="1" customWidth="1"/>
    <col min="502" max="502" width="32.42578125" bestFit="1" customWidth="1"/>
    <col min="503" max="503" width="34.28515625" bestFit="1" customWidth="1"/>
    <col min="504" max="504" width="31.28515625" bestFit="1" customWidth="1"/>
    <col min="505" max="505" width="30.5703125" bestFit="1" customWidth="1"/>
    <col min="506" max="506" width="28.140625" bestFit="1" customWidth="1"/>
    <col min="507" max="507" width="31" bestFit="1" customWidth="1"/>
    <col min="508" max="508" width="29.7109375" bestFit="1" customWidth="1"/>
    <col min="509" max="509" width="39.85546875" bestFit="1" customWidth="1"/>
    <col min="510" max="510" width="38.85546875" bestFit="1" customWidth="1"/>
    <col min="511" max="511" width="29.28515625" bestFit="1" customWidth="1"/>
    <col min="512" max="512" width="27.85546875" bestFit="1" customWidth="1"/>
    <col min="513" max="513" width="34.28515625" bestFit="1" customWidth="1"/>
    <col min="514" max="514" width="33.140625" bestFit="1" customWidth="1"/>
    <col min="515" max="515" width="36.7109375" bestFit="1" customWidth="1"/>
    <col min="516" max="516" width="36.28515625" bestFit="1" customWidth="1"/>
    <col min="517" max="517" width="37.7109375" bestFit="1" customWidth="1"/>
    <col min="518" max="518" width="40" bestFit="1" customWidth="1"/>
    <col min="519" max="519" width="27.85546875" bestFit="1" customWidth="1"/>
    <col min="520" max="520" width="27.7109375" bestFit="1" customWidth="1"/>
    <col min="521" max="521" width="29.85546875" bestFit="1" customWidth="1"/>
    <col min="522" max="522" width="40.42578125" bestFit="1" customWidth="1"/>
    <col min="523" max="523" width="34.5703125" bestFit="1" customWidth="1"/>
    <col min="524" max="524" width="36.5703125" bestFit="1" customWidth="1"/>
    <col min="525" max="525" width="28.42578125" bestFit="1" customWidth="1"/>
    <col min="526" max="526" width="27.140625" bestFit="1" customWidth="1"/>
    <col min="527" max="527" width="28.28515625" bestFit="1" customWidth="1"/>
    <col min="528" max="528" width="37" bestFit="1" customWidth="1"/>
    <col min="529" max="529" width="39.5703125" bestFit="1" customWidth="1"/>
    <col min="530" max="530" width="36.28515625" bestFit="1" customWidth="1"/>
    <col min="531" max="531" width="43.5703125" bestFit="1" customWidth="1"/>
    <col min="532" max="532" width="34" bestFit="1" customWidth="1"/>
    <col min="533" max="533" width="36.85546875" bestFit="1" customWidth="1"/>
    <col min="534" max="534" width="32.28515625" bestFit="1" customWidth="1"/>
    <col min="535" max="535" width="36.7109375" bestFit="1" customWidth="1"/>
    <col min="536" max="536" width="31.7109375" bestFit="1" customWidth="1"/>
    <col min="537" max="537" width="38.28515625" bestFit="1" customWidth="1"/>
    <col min="538" max="538" width="31.28515625" bestFit="1" customWidth="1"/>
    <col min="539" max="539" width="37.42578125" bestFit="1" customWidth="1"/>
    <col min="540" max="540" width="36.28515625" bestFit="1" customWidth="1"/>
    <col min="541" max="541" width="32.5703125" bestFit="1" customWidth="1"/>
    <col min="542" max="542" width="42.7109375" bestFit="1" customWidth="1"/>
    <col min="543" max="543" width="33.42578125" bestFit="1" customWidth="1"/>
    <col min="544" max="544" width="38.28515625" bestFit="1" customWidth="1"/>
    <col min="545" max="545" width="39.85546875" bestFit="1" customWidth="1"/>
    <col min="546" max="546" width="35.85546875" bestFit="1" customWidth="1"/>
    <col min="547" max="547" width="35.5703125" bestFit="1" customWidth="1"/>
    <col min="548" max="548" width="31.28515625" bestFit="1" customWidth="1"/>
    <col min="549" max="549" width="34.7109375" bestFit="1" customWidth="1"/>
    <col min="550" max="550" width="29.28515625" bestFit="1" customWidth="1"/>
    <col min="551" max="551" width="38.140625" bestFit="1" customWidth="1"/>
    <col min="552" max="552" width="39.5703125" bestFit="1" customWidth="1"/>
    <col min="553" max="553" width="31.85546875" bestFit="1" customWidth="1"/>
    <col min="554" max="554" width="44.140625" bestFit="1" customWidth="1"/>
    <col min="555" max="555" width="30.42578125" bestFit="1" customWidth="1"/>
    <col min="556" max="556" width="34.85546875" bestFit="1" customWidth="1"/>
    <col min="557" max="557" width="36.28515625" bestFit="1" customWidth="1"/>
    <col min="558" max="558" width="38.28515625" bestFit="1" customWidth="1"/>
    <col min="559" max="559" width="29" bestFit="1" customWidth="1"/>
    <col min="560" max="560" width="26.42578125" bestFit="1" customWidth="1"/>
    <col min="561" max="561" width="34.85546875" bestFit="1" customWidth="1"/>
    <col min="562" max="562" width="31" bestFit="1" customWidth="1"/>
    <col min="563" max="563" width="30.7109375" bestFit="1" customWidth="1"/>
    <col min="564" max="564" width="27.42578125" bestFit="1" customWidth="1"/>
    <col min="565" max="565" width="39" bestFit="1" customWidth="1"/>
    <col min="566" max="566" width="32.7109375" bestFit="1" customWidth="1"/>
    <col min="567" max="567" width="33" bestFit="1" customWidth="1"/>
    <col min="568" max="568" width="22.28515625" bestFit="1" customWidth="1"/>
    <col min="569" max="569" width="41.140625" bestFit="1" customWidth="1"/>
    <col min="570" max="570" width="31.7109375" bestFit="1" customWidth="1"/>
    <col min="571" max="571" width="20" bestFit="1" customWidth="1"/>
    <col min="572" max="572" width="27.28515625" bestFit="1" customWidth="1"/>
    <col min="573" max="573" width="31" bestFit="1" customWidth="1"/>
    <col min="574" max="574" width="36.85546875" bestFit="1" customWidth="1"/>
    <col min="575" max="575" width="33.28515625" bestFit="1" customWidth="1"/>
    <col min="576" max="576" width="35" bestFit="1" customWidth="1"/>
    <col min="577" max="577" width="33.140625" bestFit="1" customWidth="1"/>
    <col min="578" max="578" width="38.85546875" bestFit="1" customWidth="1"/>
    <col min="579" max="579" width="25.28515625" bestFit="1" customWidth="1"/>
    <col min="580" max="580" width="30.85546875" bestFit="1" customWidth="1"/>
    <col min="581" max="581" width="47.140625" bestFit="1" customWidth="1"/>
    <col min="582" max="582" width="29.85546875" bestFit="1" customWidth="1"/>
    <col min="583" max="583" width="35.28515625" bestFit="1" customWidth="1"/>
    <col min="584" max="584" width="39.85546875" bestFit="1" customWidth="1"/>
    <col min="585" max="585" width="25.28515625" bestFit="1" customWidth="1"/>
    <col min="586" max="586" width="30.7109375" bestFit="1" customWidth="1"/>
    <col min="587" max="587" width="29.140625" bestFit="1" customWidth="1"/>
    <col min="588" max="588" width="25" bestFit="1" customWidth="1"/>
    <col min="589" max="589" width="31.28515625" bestFit="1" customWidth="1"/>
    <col min="590" max="590" width="23.85546875" bestFit="1" customWidth="1"/>
    <col min="591" max="591" width="34.28515625" bestFit="1" customWidth="1"/>
    <col min="592" max="592" width="38.5703125" bestFit="1" customWidth="1"/>
    <col min="593" max="593" width="28.7109375" bestFit="1" customWidth="1"/>
    <col min="594" max="594" width="29.85546875" bestFit="1" customWidth="1"/>
    <col min="595" max="595" width="24.140625" bestFit="1" customWidth="1"/>
    <col min="596" max="596" width="39" bestFit="1" customWidth="1"/>
    <col min="597" max="597" width="33.140625" bestFit="1" customWidth="1"/>
    <col min="598" max="598" width="29.7109375" bestFit="1" customWidth="1"/>
    <col min="599" max="599" width="33.5703125" bestFit="1" customWidth="1"/>
    <col min="600" max="600" width="31.42578125" bestFit="1" customWidth="1"/>
    <col min="601" max="601" width="27.5703125" bestFit="1" customWidth="1"/>
    <col min="602" max="602" width="23.7109375" bestFit="1" customWidth="1"/>
    <col min="603" max="603" width="28.85546875" bestFit="1" customWidth="1"/>
    <col min="604" max="604" width="30.7109375" bestFit="1" customWidth="1"/>
    <col min="605" max="605" width="36" bestFit="1" customWidth="1"/>
    <col min="606" max="606" width="28.140625" bestFit="1" customWidth="1"/>
    <col min="607" max="607" width="29.7109375" bestFit="1" customWidth="1"/>
    <col min="608" max="608" width="34" bestFit="1" customWidth="1"/>
    <col min="609" max="609" width="27.7109375" bestFit="1" customWidth="1"/>
    <col min="610" max="610" width="23" bestFit="1" customWidth="1"/>
    <col min="611" max="611" width="32" bestFit="1" customWidth="1"/>
    <col min="612" max="612" width="23.28515625" bestFit="1" customWidth="1"/>
    <col min="613" max="613" width="24.140625" bestFit="1" customWidth="1"/>
    <col min="614" max="614" width="33.85546875" bestFit="1" customWidth="1"/>
    <col min="615" max="615" width="32.85546875" bestFit="1" customWidth="1"/>
    <col min="616" max="616" width="29.42578125" bestFit="1" customWidth="1"/>
    <col min="617" max="617" width="24" bestFit="1" customWidth="1"/>
    <col min="618" max="618" width="40.140625" bestFit="1" customWidth="1"/>
    <col min="619" max="619" width="30.7109375" bestFit="1" customWidth="1"/>
    <col min="620" max="620" width="25.140625" bestFit="1" customWidth="1"/>
    <col min="621" max="621" width="27.140625" bestFit="1" customWidth="1"/>
    <col min="622" max="622" width="28.5703125" bestFit="1" customWidth="1"/>
    <col min="623" max="623" width="35" bestFit="1" customWidth="1"/>
    <col min="624" max="624" width="32.5703125" bestFit="1" customWidth="1"/>
    <col min="625" max="625" width="31.140625" bestFit="1" customWidth="1"/>
    <col min="626" max="626" width="27.5703125" bestFit="1" customWidth="1"/>
    <col min="627" max="627" width="33.5703125" bestFit="1" customWidth="1"/>
    <col min="628" max="628" width="34.42578125" bestFit="1" customWidth="1"/>
    <col min="629" max="629" width="27.7109375" bestFit="1" customWidth="1"/>
    <col min="630" max="630" width="24.85546875" bestFit="1" customWidth="1"/>
    <col min="631" max="631" width="35.28515625" bestFit="1" customWidth="1"/>
    <col min="632" max="632" width="26.7109375" bestFit="1" customWidth="1"/>
    <col min="633" max="633" width="36.140625" bestFit="1" customWidth="1"/>
    <col min="634" max="634" width="27" bestFit="1" customWidth="1"/>
    <col min="635" max="635" width="30.42578125" bestFit="1" customWidth="1"/>
    <col min="636" max="636" width="32.42578125" bestFit="1" customWidth="1"/>
    <col min="637" max="637" width="26.42578125" bestFit="1" customWidth="1"/>
    <col min="638" max="638" width="34.5703125" bestFit="1" customWidth="1"/>
    <col min="639" max="639" width="36.85546875" bestFit="1" customWidth="1"/>
    <col min="640" max="640" width="36.5703125" bestFit="1" customWidth="1"/>
    <col min="641" max="641" width="37.5703125" bestFit="1" customWidth="1"/>
    <col min="642" max="642" width="22.28515625" bestFit="1" customWidth="1"/>
    <col min="643" max="643" width="23.42578125" bestFit="1" customWidth="1"/>
    <col min="644" max="644" width="36.140625" bestFit="1" customWidth="1"/>
    <col min="645" max="645" width="28.5703125" bestFit="1" customWidth="1"/>
    <col min="646" max="646" width="34.140625" bestFit="1" customWidth="1"/>
    <col min="647" max="647" width="28.5703125" bestFit="1" customWidth="1"/>
    <col min="648" max="648" width="26.5703125" bestFit="1" customWidth="1"/>
    <col min="649" max="649" width="23.140625" bestFit="1" customWidth="1"/>
    <col min="650" max="650" width="31.85546875" bestFit="1" customWidth="1"/>
    <col min="651" max="651" width="48.28515625" bestFit="1" customWidth="1"/>
    <col min="652" max="652" width="24.7109375" bestFit="1" customWidth="1"/>
    <col min="653" max="653" width="32" bestFit="1" customWidth="1"/>
    <col min="654" max="654" width="27.7109375" bestFit="1" customWidth="1"/>
    <col min="655" max="655" width="23.7109375" bestFit="1" customWidth="1"/>
    <col min="656" max="656" width="27.5703125" bestFit="1" customWidth="1"/>
    <col min="657" max="657" width="38.7109375" bestFit="1" customWidth="1"/>
    <col min="658" max="658" width="31.5703125" bestFit="1" customWidth="1"/>
    <col min="659" max="659" width="30.140625" bestFit="1" customWidth="1"/>
    <col min="660" max="660" width="36.5703125" bestFit="1" customWidth="1"/>
    <col min="661" max="661" width="31.140625" bestFit="1" customWidth="1"/>
    <col min="662" max="662" width="31.42578125" bestFit="1" customWidth="1"/>
    <col min="663" max="663" width="28.7109375" bestFit="1" customWidth="1"/>
    <col min="664" max="664" width="23.42578125" bestFit="1" customWidth="1"/>
    <col min="665" max="665" width="31.28515625" bestFit="1" customWidth="1"/>
    <col min="666" max="666" width="23.5703125" bestFit="1" customWidth="1"/>
    <col min="667" max="667" width="24.5703125" bestFit="1" customWidth="1"/>
    <col min="668" max="668" width="37.5703125" bestFit="1" customWidth="1"/>
    <col min="669" max="669" width="32.85546875" bestFit="1" customWidth="1"/>
    <col min="670" max="670" width="23.140625" bestFit="1" customWidth="1"/>
    <col min="671" max="671" width="21.42578125" bestFit="1" customWidth="1"/>
    <col min="672" max="672" width="24.140625" bestFit="1" customWidth="1"/>
    <col min="673" max="673" width="32.140625" bestFit="1" customWidth="1"/>
    <col min="674" max="674" width="31.7109375" bestFit="1" customWidth="1"/>
    <col min="675" max="675" width="25.140625" bestFit="1" customWidth="1"/>
    <col min="676" max="676" width="23.7109375" bestFit="1" customWidth="1"/>
    <col min="677" max="677" width="36.42578125" bestFit="1" customWidth="1"/>
    <col min="678" max="678" width="27" bestFit="1" customWidth="1"/>
    <col min="679" max="679" width="38.28515625" bestFit="1" customWidth="1"/>
    <col min="680" max="680" width="28.7109375" bestFit="1" customWidth="1"/>
    <col min="681" max="681" width="43.85546875" bestFit="1" customWidth="1"/>
    <col min="682" max="682" width="32" bestFit="1" customWidth="1"/>
    <col min="683" max="683" width="33.5703125" bestFit="1" customWidth="1"/>
    <col min="684" max="684" width="28.85546875" bestFit="1" customWidth="1"/>
    <col min="685" max="685" width="28.42578125" bestFit="1" customWidth="1"/>
    <col min="686" max="686" width="42.140625" bestFit="1" customWidth="1"/>
    <col min="687" max="687" width="31.5703125" bestFit="1" customWidth="1"/>
    <col min="688" max="688" width="29.7109375" bestFit="1" customWidth="1"/>
    <col min="689" max="689" width="31" bestFit="1" customWidth="1"/>
    <col min="690" max="690" width="33.85546875" bestFit="1" customWidth="1"/>
    <col min="691" max="691" width="32.42578125" bestFit="1" customWidth="1"/>
    <col min="692" max="692" width="29.85546875" bestFit="1" customWidth="1"/>
    <col min="693" max="693" width="34.7109375" bestFit="1" customWidth="1"/>
    <col min="694" max="694" width="33.5703125" bestFit="1" customWidth="1"/>
    <col min="695" max="695" width="32.42578125" bestFit="1" customWidth="1"/>
    <col min="696" max="696" width="29.28515625" bestFit="1" customWidth="1"/>
    <col min="697" max="697" width="31.28515625" bestFit="1" customWidth="1"/>
    <col min="698" max="698" width="32.7109375" bestFit="1" customWidth="1"/>
    <col min="699" max="699" width="23.7109375" bestFit="1" customWidth="1"/>
    <col min="700" max="700" width="34.5703125" bestFit="1" customWidth="1"/>
    <col min="701" max="701" width="32.7109375" bestFit="1" customWidth="1"/>
    <col min="702" max="702" width="31.85546875" bestFit="1" customWidth="1"/>
    <col min="703" max="703" width="26.42578125" bestFit="1" customWidth="1"/>
    <col min="704" max="704" width="29.28515625" bestFit="1" customWidth="1"/>
    <col min="705" max="705" width="24.28515625" bestFit="1" customWidth="1"/>
    <col min="706" max="706" width="31.42578125" bestFit="1" customWidth="1"/>
    <col min="707" max="707" width="36.7109375" bestFit="1" customWidth="1"/>
    <col min="708" max="708" width="29.85546875" bestFit="1" customWidth="1"/>
    <col min="709" max="709" width="28.28515625" bestFit="1" customWidth="1"/>
    <col min="710" max="710" width="37.140625" bestFit="1" customWidth="1"/>
    <col min="711" max="711" width="25.28515625" bestFit="1" customWidth="1"/>
    <col min="712" max="712" width="30" bestFit="1" customWidth="1"/>
    <col min="713" max="713" width="36.5703125" bestFit="1" customWidth="1"/>
    <col min="714" max="714" width="34.7109375" bestFit="1" customWidth="1"/>
    <col min="715" max="715" width="38.42578125" bestFit="1" customWidth="1"/>
    <col min="716" max="716" width="33.85546875" bestFit="1" customWidth="1"/>
    <col min="717" max="717" width="43" bestFit="1" customWidth="1"/>
    <col min="718" max="718" width="38.28515625" bestFit="1" customWidth="1"/>
    <col min="719" max="719" width="33.140625" bestFit="1" customWidth="1"/>
    <col min="720" max="720" width="30" bestFit="1" customWidth="1"/>
    <col min="721" max="721" width="26.85546875" bestFit="1" customWidth="1"/>
    <col min="722" max="722" width="28.5703125" bestFit="1" customWidth="1"/>
    <col min="723" max="723" width="28.42578125" bestFit="1" customWidth="1"/>
    <col min="724" max="724" width="32.7109375" bestFit="1" customWidth="1"/>
    <col min="725" max="725" width="44.7109375" bestFit="1" customWidth="1"/>
    <col min="726" max="726" width="30.42578125" bestFit="1" customWidth="1"/>
    <col min="727" max="727" width="32.85546875" bestFit="1" customWidth="1"/>
    <col min="728" max="728" width="22.5703125" bestFit="1" customWidth="1"/>
    <col min="729" max="729" width="35.42578125" bestFit="1" customWidth="1"/>
    <col min="730" max="730" width="25.7109375" bestFit="1" customWidth="1"/>
    <col min="731" max="731" width="27.85546875" bestFit="1" customWidth="1"/>
    <col min="732" max="732" width="34.5703125" bestFit="1" customWidth="1"/>
    <col min="733" max="733" width="31.140625" bestFit="1" customWidth="1"/>
    <col min="734" max="734" width="40.5703125" bestFit="1" customWidth="1"/>
    <col min="735" max="735" width="30.28515625" bestFit="1" customWidth="1"/>
    <col min="736" max="736" width="28" bestFit="1" customWidth="1"/>
    <col min="737" max="737" width="37.5703125" bestFit="1" customWidth="1"/>
    <col min="738" max="738" width="32.85546875" bestFit="1" customWidth="1"/>
    <col min="739" max="739" width="35.5703125" bestFit="1" customWidth="1"/>
    <col min="740" max="740" width="35.42578125" bestFit="1" customWidth="1"/>
    <col min="741" max="741" width="34.28515625" bestFit="1" customWidth="1"/>
    <col min="742" max="742" width="47" bestFit="1" customWidth="1"/>
    <col min="743" max="743" width="33" bestFit="1" customWidth="1"/>
    <col min="744" max="744" width="32.7109375" bestFit="1" customWidth="1"/>
    <col min="745" max="745" width="39.42578125" bestFit="1" customWidth="1"/>
    <col min="746" max="746" width="39" bestFit="1" customWidth="1"/>
    <col min="747" max="747" width="34.7109375" bestFit="1" customWidth="1"/>
    <col min="748" max="748" width="53.28515625" bestFit="1" customWidth="1"/>
    <col min="749" max="749" width="44.140625" bestFit="1" customWidth="1"/>
    <col min="750" max="750" width="38.42578125" bestFit="1" customWidth="1"/>
    <col min="751" max="751" width="32.42578125" bestFit="1" customWidth="1"/>
    <col min="752" max="752" width="39.5703125" bestFit="1" customWidth="1"/>
    <col min="753" max="753" width="32.28515625" bestFit="1" customWidth="1"/>
    <col min="754" max="754" width="35" bestFit="1" customWidth="1"/>
    <col min="755" max="755" width="39.28515625" bestFit="1" customWidth="1"/>
    <col min="756" max="756" width="45.42578125" bestFit="1" customWidth="1"/>
    <col min="757" max="757" width="48.42578125" bestFit="1" customWidth="1"/>
    <col min="758" max="758" width="34.28515625" bestFit="1" customWidth="1"/>
    <col min="759" max="759" width="36.28515625" bestFit="1" customWidth="1"/>
    <col min="760" max="760" width="32.7109375" bestFit="1" customWidth="1"/>
    <col min="761" max="761" width="31.85546875" bestFit="1" customWidth="1"/>
    <col min="762" max="762" width="47.85546875" bestFit="1" customWidth="1"/>
    <col min="763" max="763" width="33.28515625" bestFit="1" customWidth="1"/>
    <col min="764" max="764" width="36" bestFit="1" customWidth="1"/>
    <col min="765" max="765" width="35.28515625" bestFit="1" customWidth="1"/>
    <col min="766" max="766" width="36.85546875" bestFit="1" customWidth="1"/>
    <col min="767" max="767" width="49.140625" bestFit="1" customWidth="1"/>
    <col min="768" max="768" width="42.7109375" bestFit="1" customWidth="1"/>
    <col min="769" max="769" width="39.7109375" bestFit="1" customWidth="1"/>
    <col min="770" max="770" width="24.28515625" bestFit="1" customWidth="1"/>
    <col min="771" max="771" width="30.28515625" bestFit="1" customWidth="1"/>
    <col min="772" max="772" width="30.7109375" bestFit="1" customWidth="1"/>
    <col min="773" max="773" width="35" bestFit="1" customWidth="1"/>
    <col min="774" max="774" width="30.28515625" bestFit="1" customWidth="1"/>
    <col min="775" max="775" width="28.28515625" bestFit="1" customWidth="1"/>
    <col min="776" max="776" width="26.140625" bestFit="1" customWidth="1"/>
    <col min="777" max="777" width="26.28515625" bestFit="1" customWidth="1"/>
    <col min="778" max="778" width="28.5703125" bestFit="1" customWidth="1"/>
    <col min="779" max="779" width="25.7109375" bestFit="1" customWidth="1"/>
    <col min="780" max="780" width="25.140625" bestFit="1" customWidth="1"/>
    <col min="781" max="781" width="32.5703125" bestFit="1" customWidth="1"/>
    <col min="782" max="782" width="30.5703125" bestFit="1" customWidth="1"/>
    <col min="783" max="783" width="30.42578125" bestFit="1" customWidth="1"/>
    <col min="784" max="784" width="30.85546875" bestFit="1" customWidth="1"/>
    <col min="785" max="785" width="29" bestFit="1" customWidth="1"/>
    <col min="786" max="786" width="27.85546875" bestFit="1" customWidth="1"/>
    <col min="787" max="787" width="27.140625" bestFit="1" customWidth="1"/>
    <col min="788" max="788" width="26.7109375" bestFit="1" customWidth="1"/>
    <col min="789" max="789" width="34.140625" bestFit="1" customWidth="1"/>
    <col min="790" max="790" width="35.28515625" bestFit="1" customWidth="1"/>
    <col min="791" max="791" width="35.140625" bestFit="1" customWidth="1"/>
    <col min="792" max="792" width="36" bestFit="1" customWidth="1"/>
    <col min="793" max="793" width="34.140625" bestFit="1" customWidth="1"/>
    <col min="794" max="794" width="45.140625" bestFit="1" customWidth="1"/>
    <col min="795" max="795" width="32.85546875" bestFit="1" customWidth="1"/>
    <col min="796" max="796" width="30" bestFit="1" customWidth="1"/>
    <col min="797" max="797" width="29.140625" bestFit="1" customWidth="1"/>
    <col min="798" max="798" width="32.85546875" bestFit="1" customWidth="1"/>
    <col min="799" max="799" width="38.140625" bestFit="1" customWidth="1"/>
    <col min="800" max="800" width="27" bestFit="1" customWidth="1"/>
    <col min="801" max="801" width="34.42578125" bestFit="1" customWidth="1"/>
    <col min="802" max="802" width="23" bestFit="1" customWidth="1"/>
    <col min="803" max="803" width="32.5703125" bestFit="1" customWidth="1"/>
    <col min="804" max="804" width="28.7109375" bestFit="1" customWidth="1"/>
    <col min="805" max="805" width="24.42578125" bestFit="1" customWidth="1"/>
    <col min="806" max="806" width="30.42578125" bestFit="1" customWidth="1"/>
    <col min="807" max="807" width="28.85546875" bestFit="1" customWidth="1"/>
    <col min="808" max="808" width="34" bestFit="1" customWidth="1"/>
    <col min="809" max="809" width="27.28515625" bestFit="1" customWidth="1"/>
    <col min="810" max="810" width="28.85546875" bestFit="1" customWidth="1"/>
    <col min="811" max="811" width="28.140625" bestFit="1" customWidth="1"/>
    <col min="812" max="812" width="33.140625" bestFit="1" customWidth="1"/>
    <col min="813" max="813" width="24.28515625" bestFit="1" customWidth="1"/>
    <col min="814" max="814" width="31.5703125" bestFit="1" customWidth="1"/>
    <col min="815" max="815" width="29.140625" bestFit="1" customWidth="1"/>
    <col min="816" max="816" width="25.140625" bestFit="1" customWidth="1"/>
    <col min="817" max="817" width="27" bestFit="1" customWidth="1"/>
    <col min="818" max="818" width="29" bestFit="1" customWidth="1"/>
    <col min="819" max="819" width="29.7109375" bestFit="1" customWidth="1"/>
    <col min="820" max="820" width="27.140625" bestFit="1" customWidth="1"/>
    <col min="821" max="821" width="27" bestFit="1" customWidth="1"/>
    <col min="822" max="822" width="30.28515625" bestFit="1" customWidth="1"/>
    <col min="823" max="823" width="30.140625" bestFit="1" customWidth="1"/>
    <col min="824" max="824" width="30" bestFit="1" customWidth="1"/>
    <col min="825" max="825" width="26.5703125" bestFit="1" customWidth="1"/>
    <col min="826" max="826" width="33.140625" bestFit="1" customWidth="1"/>
    <col min="827" max="827" width="29" bestFit="1" customWidth="1"/>
    <col min="828" max="828" width="32.85546875" bestFit="1" customWidth="1"/>
    <col min="829" max="829" width="33.5703125" bestFit="1" customWidth="1"/>
    <col min="830" max="830" width="36.140625" bestFit="1" customWidth="1"/>
    <col min="831" max="831" width="27.140625" bestFit="1" customWidth="1"/>
    <col min="832" max="832" width="32.42578125" bestFit="1" customWidth="1"/>
    <col min="833" max="833" width="29.7109375" bestFit="1" customWidth="1"/>
    <col min="834" max="834" width="35.42578125" bestFit="1" customWidth="1"/>
    <col min="835" max="835" width="35.28515625" bestFit="1" customWidth="1"/>
    <col min="836" max="836" width="30.7109375" bestFit="1" customWidth="1"/>
    <col min="837" max="837" width="26.28515625" bestFit="1" customWidth="1"/>
    <col min="838" max="838" width="30.85546875" bestFit="1" customWidth="1"/>
    <col min="839" max="839" width="29" bestFit="1" customWidth="1"/>
    <col min="840" max="840" width="25.7109375" bestFit="1" customWidth="1"/>
    <col min="841" max="841" width="31" bestFit="1" customWidth="1"/>
    <col min="842" max="842" width="20.5703125" bestFit="1" customWidth="1"/>
    <col min="843" max="843" width="29.42578125" bestFit="1" customWidth="1"/>
    <col min="844" max="844" width="30.5703125" bestFit="1" customWidth="1"/>
    <col min="845" max="845" width="24.5703125" bestFit="1" customWidth="1"/>
    <col min="846" max="846" width="25.28515625" bestFit="1" customWidth="1"/>
    <col min="847" max="847" width="26.85546875" bestFit="1" customWidth="1"/>
    <col min="848" max="848" width="30" bestFit="1" customWidth="1"/>
    <col min="849" max="849" width="27.28515625" bestFit="1" customWidth="1"/>
    <col min="850" max="850" width="32.7109375" bestFit="1" customWidth="1"/>
    <col min="851" max="851" width="29.140625" bestFit="1" customWidth="1"/>
    <col min="852" max="852" width="27.85546875" bestFit="1" customWidth="1"/>
    <col min="853" max="853" width="24.5703125" bestFit="1" customWidth="1"/>
    <col min="854" max="854" width="32.5703125" bestFit="1" customWidth="1"/>
    <col min="855" max="855" width="32.140625" bestFit="1" customWidth="1"/>
    <col min="856" max="856" width="33.28515625" bestFit="1" customWidth="1"/>
    <col min="857" max="857" width="28.5703125" bestFit="1" customWidth="1"/>
    <col min="858" max="858" width="34" bestFit="1" customWidth="1"/>
    <col min="859" max="859" width="26.140625" bestFit="1" customWidth="1"/>
    <col min="860" max="860" width="27.5703125" bestFit="1" customWidth="1"/>
    <col min="861" max="861" width="26.140625" bestFit="1" customWidth="1"/>
    <col min="862" max="862" width="28.140625" bestFit="1" customWidth="1"/>
    <col min="863" max="863" width="28" bestFit="1" customWidth="1"/>
    <col min="864" max="864" width="26.7109375" bestFit="1" customWidth="1"/>
    <col min="865" max="865" width="23.28515625" bestFit="1" customWidth="1"/>
    <col min="866" max="866" width="30.85546875" bestFit="1" customWidth="1"/>
    <col min="867" max="867" width="27.7109375" bestFit="1" customWidth="1"/>
    <col min="868" max="868" width="22.140625" bestFit="1" customWidth="1"/>
    <col min="869" max="869" width="27.42578125" bestFit="1" customWidth="1"/>
    <col min="870" max="870" width="28.28515625" bestFit="1" customWidth="1"/>
    <col min="871" max="871" width="31.140625" bestFit="1" customWidth="1"/>
    <col min="872" max="872" width="30.28515625" bestFit="1" customWidth="1"/>
    <col min="873" max="873" width="33.85546875" bestFit="1" customWidth="1"/>
    <col min="874" max="874" width="34.7109375" bestFit="1" customWidth="1"/>
    <col min="875" max="875" width="31.42578125" bestFit="1" customWidth="1"/>
    <col min="876" max="876" width="40.85546875" bestFit="1" customWidth="1"/>
    <col min="877" max="877" width="31" bestFit="1" customWidth="1"/>
    <col min="878" max="878" width="35.5703125" bestFit="1" customWidth="1"/>
    <col min="879" max="879" width="32.7109375" bestFit="1" customWidth="1"/>
    <col min="880" max="880" width="39" bestFit="1" customWidth="1"/>
    <col min="881" max="881" width="33.42578125" bestFit="1" customWidth="1"/>
    <col min="882" max="882" width="36.42578125" bestFit="1" customWidth="1"/>
    <col min="883" max="883" width="33.140625" bestFit="1" customWidth="1"/>
    <col min="884" max="884" width="33.5703125" bestFit="1" customWidth="1"/>
    <col min="885" max="885" width="31.28515625" bestFit="1" customWidth="1"/>
    <col min="886" max="886" width="30.5703125" bestFit="1" customWidth="1"/>
    <col min="887" max="887" width="39.5703125" bestFit="1" customWidth="1"/>
    <col min="888" max="888" width="29.28515625" bestFit="1" customWidth="1"/>
    <col min="889" max="889" width="31.7109375" bestFit="1" customWidth="1"/>
    <col min="890" max="890" width="31.5703125" bestFit="1" customWidth="1"/>
    <col min="891" max="891" width="38.85546875" bestFit="1" customWidth="1"/>
    <col min="892" max="892" width="27.140625" bestFit="1" customWidth="1"/>
    <col min="893" max="893" width="35.85546875" bestFit="1" customWidth="1"/>
    <col min="894" max="894" width="30.85546875" bestFit="1" customWidth="1"/>
    <col min="895" max="895" width="36.42578125" bestFit="1" customWidth="1"/>
    <col min="896" max="896" width="34.140625" bestFit="1" customWidth="1"/>
    <col min="897" max="897" width="33.5703125" bestFit="1" customWidth="1"/>
    <col min="898" max="898" width="38.5703125" bestFit="1" customWidth="1"/>
    <col min="899" max="899" width="32.85546875" bestFit="1" customWidth="1"/>
    <col min="900" max="900" width="36.28515625" bestFit="1" customWidth="1"/>
    <col min="901" max="901" width="27.7109375" bestFit="1" customWidth="1"/>
    <col min="902" max="902" width="37.5703125" bestFit="1" customWidth="1"/>
    <col min="903" max="903" width="31" bestFit="1" customWidth="1"/>
    <col min="904" max="904" width="27.85546875" bestFit="1" customWidth="1"/>
    <col min="905" max="905" width="25.7109375" bestFit="1" customWidth="1"/>
    <col min="906" max="906" width="26.5703125" bestFit="1" customWidth="1"/>
    <col min="907" max="907" width="37.7109375" bestFit="1" customWidth="1"/>
    <col min="908" max="908" width="29.7109375" bestFit="1" customWidth="1"/>
    <col min="909" max="909" width="31.85546875" bestFit="1" customWidth="1"/>
    <col min="910" max="910" width="27.85546875" bestFit="1" customWidth="1"/>
    <col min="911" max="911" width="32.140625" bestFit="1" customWidth="1"/>
    <col min="912" max="912" width="28.42578125" bestFit="1" customWidth="1"/>
    <col min="913" max="913" width="29.140625" bestFit="1" customWidth="1"/>
    <col min="914" max="914" width="30.140625" bestFit="1" customWidth="1"/>
    <col min="915" max="915" width="26.140625" bestFit="1" customWidth="1"/>
    <col min="916" max="916" width="36.140625" bestFit="1" customWidth="1"/>
    <col min="917" max="917" width="29.85546875" bestFit="1" customWidth="1"/>
    <col min="918" max="918" width="37.140625" bestFit="1" customWidth="1"/>
    <col min="919" max="919" width="32.140625" bestFit="1" customWidth="1"/>
    <col min="920" max="920" width="34.28515625" bestFit="1" customWidth="1"/>
    <col min="921" max="921" width="23.5703125" bestFit="1" customWidth="1"/>
    <col min="922" max="922" width="25.5703125" bestFit="1" customWidth="1"/>
    <col min="923" max="923" width="25.7109375" bestFit="1" customWidth="1"/>
    <col min="924" max="924" width="26" bestFit="1" customWidth="1"/>
    <col min="925" max="925" width="29.85546875" bestFit="1" customWidth="1"/>
    <col min="926" max="926" width="35.5703125" bestFit="1" customWidth="1"/>
    <col min="927" max="927" width="27.28515625" bestFit="1" customWidth="1"/>
    <col min="928" max="928" width="32" bestFit="1" customWidth="1"/>
    <col min="929" max="929" width="27.7109375" bestFit="1" customWidth="1"/>
    <col min="930" max="930" width="34.140625" bestFit="1" customWidth="1"/>
    <col min="931" max="931" width="38.140625" bestFit="1" customWidth="1"/>
    <col min="932" max="932" width="29.42578125" bestFit="1" customWidth="1"/>
    <col min="933" max="933" width="36.5703125" bestFit="1" customWidth="1"/>
    <col min="934" max="934" width="35.5703125" bestFit="1" customWidth="1"/>
    <col min="935" max="935" width="38" bestFit="1" customWidth="1"/>
    <col min="936" max="936" width="31.5703125" bestFit="1" customWidth="1"/>
    <col min="937" max="937" width="39" bestFit="1" customWidth="1"/>
    <col min="938" max="938" width="31.7109375" bestFit="1" customWidth="1"/>
    <col min="939" max="939" width="32.85546875" bestFit="1" customWidth="1"/>
    <col min="940" max="940" width="27" bestFit="1" customWidth="1"/>
    <col min="941" max="941" width="34" bestFit="1" customWidth="1"/>
    <col min="942" max="942" width="33.28515625" bestFit="1" customWidth="1"/>
    <col min="943" max="943" width="20.140625" bestFit="1" customWidth="1"/>
    <col min="944" max="944" width="30.28515625" bestFit="1" customWidth="1"/>
    <col min="945" max="945" width="31.140625" bestFit="1" customWidth="1"/>
    <col min="946" max="946" width="31.85546875" bestFit="1" customWidth="1"/>
    <col min="947" max="947" width="28.85546875" bestFit="1" customWidth="1"/>
    <col min="948" max="948" width="26" bestFit="1" customWidth="1"/>
    <col min="949" max="949" width="27.42578125" bestFit="1" customWidth="1"/>
    <col min="950" max="950" width="21.42578125" bestFit="1" customWidth="1"/>
    <col min="951" max="951" width="26" bestFit="1" customWidth="1"/>
    <col min="952" max="952" width="44.42578125" bestFit="1" customWidth="1"/>
    <col min="953" max="953" width="25.85546875" bestFit="1" customWidth="1"/>
    <col min="954" max="954" width="43.42578125" bestFit="1" customWidth="1"/>
    <col min="955" max="955" width="26.7109375" bestFit="1" customWidth="1"/>
    <col min="956" max="956" width="32.5703125" bestFit="1" customWidth="1"/>
    <col min="957" max="957" width="40.7109375" bestFit="1" customWidth="1"/>
    <col min="958" max="958" width="35.140625" bestFit="1" customWidth="1"/>
    <col min="959" max="959" width="39.140625" bestFit="1" customWidth="1"/>
    <col min="960" max="960" width="39.42578125" bestFit="1" customWidth="1"/>
    <col min="961" max="961" width="41.42578125" bestFit="1" customWidth="1"/>
    <col min="962" max="962" width="38.28515625" bestFit="1" customWidth="1"/>
    <col min="963" max="963" width="37.140625" bestFit="1" customWidth="1"/>
    <col min="964" max="964" width="44.140625" bestFit="1" customWidth="1"/>
    <col min="965" max="965" width="31.85546875" bestFit="1" customWidth="1"/>
    <col min="966" max="966" width="40.140625" bestFit="1" customWidth="1"/>
    <col min="967" max="967" width="44.42578125" bestFit="1" customWidth="1"/>
    <col min="968" max="968" width="35.140625" bestFit="1" customWidth="1"/>
    <col min="969" max="969" width="44" bestFit="1" customWidth="1"/>
    <col min="970" max="970" width="34.5703125" bestFit="1" customWidth="1"/>
    <col min="971" max="971" width="41.42578125" bestFit="1" customWidth="1"/>
    <col min="972" max="972" width="35" bestFit="1" customWidth="1"/>
    <col min="973" max="973" width="42.7109375" bestFit="1" customWidth="1"/>
    <col min="974" max="974" width="34.85546875" bestFit="1" customWidth="1"/>
    <col min="975" max="975" width="35.5703125" bestFit="1" customWidth="1"/>
    <col min="976" max="976" width="39.140625" bestFit="1" customWidth="1"/>
    <col min="977" max="977" width="47.7109375" bestFit="1" customWidth="1"/>
    <col min="978" max="978" width="36" bestFit="1" customWidth="1"/>
    <col min="979" max="979" width="33.5703125" bestFit="1" customWidth="1"/>
    <col min="980" max="980" width="34.28515625" bestFit="1" customWidth="1"/>
    <col min="981" max="981" width="37.7109375" bestFit="1" customWidth="1"/>
    <col min="982" max="982" width="44.28515625" bestFit="1" customWidth="1"/>
    <col min="983" max="983" width="45.5703125" bestFit="1" customWidth="1"/>
    <col min="984" max="984" width="37.28515625" bestFit="1" customWidth="1"/>
    <col min="985" max="985" width="40.28515625" bestFit="1" customWidth="1"/>
    <col min="986" max="986" width="29.7109375" bestFit="1" customWidth="1"/>
    <col min="987" max="987" width="33.85546875" bestFit="1" customWidth="1"/>
    <col min="988" max="988" width="39.140625" bestFit="1" customWidth="1"/>
    <col min="989" max="989" width="38.42578125" bestFit="1" customWidth="1"/>
    <col min="990" max="990" width="47.7109375" bestFit="1" customWidth="1"/>
    <col min="991" max="991" width="35.5703125" bestFit="1" customWidth="1"/>
    <col min="992" max="992" width="37.28515625" bestFit="1" customWidth="1"/>
    <col min="993" max="993" width="39.85546875" bestFit="1" customWidth="1"/>
    <col min="994" max="994" width="32.140625" bestFit="1" customWidth="1"/>
    <col min="995" max="995" width="34.85546875" bestFit="1" customWidth="1"/>
    <col min="996" max="996" width="49.42578125" bestFit="1" customWidth="1"/>
    <col min="997" max="997" width="37" bestFit="1" customWidth="1"/>
    <col min="998" max="998" width="41.7109375" bestFit="1" customWidth="1"/>
    <col min="999" max="999" width="35.42578125" bestFit="1" customWidth="1"/>
    <col min="1000" max="1000" width="32.42578125" bestFit="1" customWidth="1"/>
    <col min="1001" max="1001" width="42.5703125" bestFit="1" customWidth="1"/>
    <col min="1002" max="1002" width="34.28515625" bestFit="1" customWidth="1"/>
    <col min="1003" max="1003" width="36.28515625" bestFit="1" customWidth="1"/>
    <col min="1004" max="1004" width="32.140625" bestFit="1" customWidth="1"/>
    <col min="1005" max="1005" width="37" bestFit="1" customWidth="1"/>
    <col min="1006" max="1006" width="32.140625" bestFit="1" customWidth="1"/>
    <col min="1007" max="1007" width="39.42578125" bestFit="1" customWidth="1"/>
    <col min="1008" max="1008" width="42.42578125" bestFit="1" customWidth="1"/>
    <col min="1009" max="1009" width="30.140625" bestFit="1" customWidth="1"/>
    <col min="1010" max="1010" width="31.5703125" bestFit="1" customWidth="1"/>
    <col min="1011" max="1011" width="31.140625" bestFit="1" customWidth="1"/>
    <col min="1012" max="1012" width="30.140625" bestFit="1" customWidth="1"/>
    <col min="1013" max="1013" width="34.7109375" bestFit="1" customWidth="1"/>
    <col min="1014" max="1014" width="41.42578125" bestFit="1" customWidth="1"/>
    <col min="1015" max="1015" width="32.85546875" bestFit="1" customWidth="1"/>
    <col min="1016" max="1016" width="43.28515625" bestFit="1" customWidth="1"/>
    <col min="1017" max="1017" width="31.85546875" bestFit="1" customWidth="1"/>
    <col min="1018" max="1018" width="35.7109375" bestFit="1" customWidth="1"/>
    <col min="1019" max="1019" width="31.140625" bestFit="1" customWidth="1"/>
    <col min="1020" max="1020" width="36.42578125" bestFit="1" customWidth="1"/>
    <col min="1021" max="1021" width="34.42578125" bestFit="1" customWidth="1"/>
    <col min="1022" max="1022" width="41" bestFit="1" customWidth="1"/>
    <col min="1023" max="1023" width="34.28515625" bestFit="1" customWidth="1"/>
    <col min="1024" max="1024" width="40" bestFit="1" customWidth="1"/>
    <col min="1025" max="1025" width="32.140625" bestFit="1" customWidth="1"/>
    <col min="1026" max="1026" width="34.42578125" bestFit="1" customWidth="1"/>
    <col min="1027" max="1027" width="35.28515625" bestFit="1" customWidth="1"/>
    <col min="1028" max="1028" width="30" bestFit="1" customWidth="1"/>
    <col min="1029" max="1029" width="32.42578125" bestFit="1" customWidth="1"/>
    <col min="1030" max="1030" width="32.140625" bestFit="1" customWidth="1"/>
    <col min="1031" max="1031" width="38.5703125" bestFit="1" customWidth="1"/>
    <col min="1032" max="1032" width="35.85546875" bestFit="1" customWidth="1"/>
    <col min="1033" max="1033" width="32" bestFit="1" customWidth="1"/>
    <col min="1034" max="1034" width="35" bestFit="1" customWidth="1"/>
    <col min="1035" max="1035" width="33.140625" bestFit="1" customWidth="1"/>
    <col min="1036" max="1036" width="40.28515625" bestFit="1" customWidth="1"/>
    <col min="1037" max="1037" width="31" bestFit="1" customWidth="1"/>
    <col min="1038" max="1038" width="32.5703125" bestFit="1" customWidth="1"/>
    <col min="1039" max="1039" width="30.28515625" bestFit="1" customWidth="1"/>
    <col min="1040" max="1040" width="34.7109375" bestFit="1" customWidth="1"/>
    <col min="1041" max="1041" width="31.7109375" bestFit="1" customWidth="1"/>
    <col min="1042" max="1042" width="40" bestFit="1" customWidth="1"/>
    <col min="1043" max="1043" width="42.28515625" bestFit="1" customWidth="1"/>
    <col min="1044" max="1044" width="33" bestFit="1" customWidth="1"/>
    <col min="1045" max="1045" width="32.85546875" bestFit="1" customWidth="1"/>
    <col min="1046" max="1046" width="31.7109375" bestFit="1" customWidth="1"/>
    <col min="1047" max="1047" width="36.85546875" bestFit="1" customWidth="1"/>
    <col min="1048" max="1048" width="33.42578125" bestFit="1" customWidth="1"/>
    <col min="1049" max="1049" width="34.85546875" bestFit="1" customWidth="1"/>
    <col min="1050" max="1050" width="31.42578125" bestFit="1" customWidth="1"/>
    <col min="1051" max="1051" width="28.5703125" bestFit="1" customWidth="1"/>
    <col min="1052" max="1053" width="37.5703125" bestFit="1" customWidth="1"/>
    <col min="1054" max="1054" width="33.140625" bestFit="1" customWidth="1"/>
    <col min="1055" max="1055" width="47.140625" bestFit="1" customWidth="1"/>
    <col min="1056" max="1056" width="44.42578125" bestFit="1" customWidth="1"/>
    <col min="1057" max="1057" width="40.140625" bestFit="1" customWidth="1"/>
    <col min="1058" max="1058" width="47.42578125" bestFit="1" customWidth="1"/>
    <col min="1059" max="1059" width="33.140625" bestFit="1" customWidth="1"/>
    <col min="1060" max="1060" width="35.85546875" bestFit="1" customWidth="1"/>
    <col min="1061" max="1061" width="31.85546875" bestFit="1" customWidth="1"/>
    <col min="1062" max="1062" width="32.5703125" bestFit="1" customWidth="1"/>
    <col min="1063" max="1063" width="35.140625" bestFit="1" customWidth="1"/>
    <col min="1064" max="1064" width="42.42578125" bestFit="1" customWidth="1"/>
    <col min="1065" max="1065" width="32.28515625" bestFit="1" customWidth="1"/>
    <col min="1066" max="1066" width="38.42578125" bestFit="1" customWidth="1"/>
    <col min="1067" max="1067" width="40.42578125" bestFit="1" customWidth="1"/>
    <col min="1068" max="1068" width="37.140625" bestFit="1" customWidth="1"/>
    <col min="1069" max="1069" width="28.42578125" bestFit="1" customWidth="1"/>
    <col min="1070" max="1070" width="32" bestFit="1" customWidth="1"/>
    <col min="1071" max="1071" width="43.7109375" bestFit="1" customWidth="1"/>
    <col min="1072" max="1072" width="35.42578125" bestFit="1" customWidth="1"/>
    <col min="1073" max="1073" width="29.42578125" bestFit="1" customWidth="1"/>
    <col min="1074" max="1074" width="32.7109375" bestFit="1" customWidth="1"/>
    <col min="1075" max="1075" width="37" bestFit="1" customWidth="1"/>
    <col min="1076" max="1076" width="36.7109375" bestFit="1" customWidth="1"/>
    <col min="1077" max="1077" width="37" bestFit="1" customWidth="1"/>
    <col min="1078" max="1078" width="34.28515625" bestFit="1" customWidth="1"/>
    <col min="1079" max="1079" width="32.140625" bestFit="1" customWidth="1"/>
    <col min="1080" max="1080" width="36.85546875" bestFit="1" customWidth="1"/>
    <col min="1081" max="1081" width="35.42578125" bestFit="1" customWidth="1"/>
    <col min="1082" max="1082" width="40.5703125" bestFit="1" customWidth="1"/>
    <col min="1083" max="1083" width="26.85546875" bestFit="1" customWidth="1"/>
    <col min="1084" max="1084" width="28" bestFit="1" customWidth="1"/>
    <col min="1085" max="1085" width="31.140625" bestFit="1" customWidth="1"/>
    <col min="1086" max="1086" width="37.28515625" bestFit="1" customWidth="1"/>
    <col min="1087" max="1087" width="36.5703125" bestFit="1" customWidth="1"/>
    <col min="1088" max="1088" width="34.28515625" bestFit="1" customWidth="1"/>
    <col min="1089" max="1089" width="24.140625" bestFit="1" customWidth="1"/>
    <col min="1090" max="1090" width="39.28515625" bestFit="1" customWidth="1"/>
    <col min="1091" max="1091" width="44" bestFit="1" customWidth="1"/>
    <col min="1092" max="1092" width="40" bestFit="1" customWidth="1"/>
    <col min="1093" max="1093" width="35.7109375" bestFit="1" customWidth="1"/>
    <col min="1094" max="1094" width="33.85546875" bestFit="1" customWidth="1"/>
    <col min="1095" max="1095" width="30.5703125" bestFit="1" customWidth="1"/>
    <col min="1096" max="1096" width="38" bestFit="1" customWidth="1"/>
    <col min="1097" max="1097" width="31.42578125" bestFit="1" customWidth="1"/>
    <col min="1098" max="1098" width="41.42578125" bestFit="1" customWidth="1"/>
    <col min="1099" max="1099" width="40" bestFit="1" customWidth="1"/>
    <col min="1100" max="1100" width="26" bestFit="1" customWidth="1"/>
    <col min="1101" max="1101" width="31.7109375" bestFit="1" customWidth="1"/>
    <col min="1102" max="1102" width="28.42578125" bestFit="1" customWidth="1"/>
    <col min="1103" max="1103" width="33.140625" bestFit="1" customWidth="1"/>
    <col min="1104" max="1104" width="24.140625" bestFit="1" customWidth="1"/>
    <col min="1105" max="1105" width="29" bestFit="1" customWidth="1"/>
    <col min="1106" max="1106" width="31.28515625" bestFit="1" customWidth="1"/>
    <col min="1107" max="1107" width="40" bestFit="1" customWidth="1"/>
    <col min="1108" max="1108" width="28.5703125" bestFit="1" customWidth="1"/>
    <col min="1109" max="1109" width="31.28515625" bestFit="1" customWidth="1"/>
    <col min="1110" max="1110" width="27.5703125" bestFit="1" customWidth="1"/>
    <col min="1111" max="1111" width="35.28515625" bestFit="1" customWidth="1"/>
    <col min="1112" max="1112" width="30.5703125" bestFit="1" customWidth="1"/>
    <col min="1113" max="1113" width="37.140625" bestFit="1" customWidth="1"/>
    <col min="1114" max="1114" width="32" bestFit="1" customWidth="1"/>
    <col min="1115" max="1115" width="46.7109375" bestFit="1" customWidth="1"/>
    <col min="1116" max="1116" width="30.140625" bestFit="1" customWidth="1"/>
    <col min="1117" max="1117" width="31.42578125" bestFit="1" customWidth="1"/>
    <col min="1118" max="1118" width="25.140625" bestFit="1" customWidth="1"/>
    <col min="1119" max="1119" width="26.85546875" bestFit="1" customWidth="1"/>
    <col min="1120" max="1120" width="33" bestFit="1" customWidth="1"/>
    <col min="1121" max="1121" width="24.42578125" bestFit="1" customWidth="1"/>
    <col min="1122" max="1122" width="29.85546875" bestFit="1" customWidth="1"/>
    <col min="1123" max="1123" width="31.85546875" bestFit="1" customWidth="1"/>
    <col min="1124" max="1124" width="36" bestFit="1" customWidth="1"/>
    <col min="1125" max="1125" width="32.7109375" bestFit="1" customWidth="1"/>
    <col min="1126" max="1126" width="29.42578125" bestFit="1" customWidth="1"/>
    <col min="1127" max="1127" width="28.5703125" bestFit="1" customWidth="1"/>
    <col min="1128" max="1128" width="36.140625" bestFit="1" customWidth="1"/>
    <col min="1129" max="1129" width="33.42578125" bestFit="1" customWidth="1"/>
    <col min="1130" max="1130" width="37.42578125" bestFit="1" customWidth="1"/>
    <col min="1131" max="1131" width="40.140625" bestFit="1" customWidth="1"/>
    <col min="1132" max="1132" width="34.7109375" bestFit="1" customWidth="1"/>
    <col min="1133" max="1133" width="35" bestFit="1" customWidth="1"/>
    <col min="1134" max="1134" width="30.7109375" bestFit="1" customWidth="1"/>
    <col min="1135" max="1135" width="31.140625" bestFit="1" customWidth="1"/>
    <col min="1136" max="1136" width="28.5703125" bestFit="1" customWidth="1"/>
    <col min="1137" max="1137" width="25.140625" bestFit="1" customWidth="1"/>
    <col min="1138" max="1138" width="34.42578125" bestFit="1" customWidth="1"/>
    <col min="1139" max="1139" width="31.42578125" bestFit="1" customWidth="1"/>
    <col min="1140" max="1140" width="22.7109375" bestFit="1" customWidth="1"/>
    <col min="1141" max="1141" width="26" bestFit="1" customWidth="1"/>
    <col min="1142" max="1142" width="24.28515625" bestFit="1" customWidth="1"/>
    <col min="1143" max="1143" width="33.140625" bestFit="1" customWidth="1"/>
    <col min="1144" max="1144" width="31.28515625" bestFit="1" customWidth="1"/>
    <col min="1145" max="1145" width="35.5703125" bestFit="1" customWidth="1"/>
    <col min="1146" max="1146" width="40.42578125" bestFit="1" customWidth="1"/>
    <col min="1147" max="1147" width="32.42578125" bestFit="1" customWidth="1"/>
    <col min="1148" max="1148" width="34.42578125" bestFit="1" customWidth="1"/>
    <col min="1149" max="1149" width="28.42578125" bestFit="1" customWidth="1"/>
    <col min="1150" max="1150" width="32.7109375" bestFit="1" customWidth="1"/>
    <col min="1151" max="1151" width="36.140625" bestFit="1" customWidth="1"/>
    <col min="1152" max="1152" width="30" bestFit="1" customWidth="1"/>
    <col min="1153" max="1153" width="44.7109375" bestFit="1" customWidth="1"/>
    <col min="1154" max="1154" width="41" bestFit="1" customWidth="1"/>
    <col min="1155" max="1155" width="34.28515625" bestFit="1" customWidth="1"/>
    <col min="1156" max="1156" width="37.5703125" bestFit="1" customWidth="1"/>
    <col min="1157" max="1157" width="32.28515625" bestFit="1" customWidth="1"/>
    <col min="1158" max="1158" width="35.28515625" bestFit="1" customWidth="1"/>
    <col min="1159" max="1159" width="27.5703125" bestFit="1" customWidth="1"/>
    <col min="1160" max="1160" width="36.42578125" bestFit="1" customWidth="1"/>
    <col min="1161" max="1161" width="31.140625" bestFit="1" customWidth="1"/>
    <col min="1162" max="1162" width="35.42578125" bestFit="1" customWidth="1"/>
    <col min="1163" max="1163" width="32.42578125" bestFit="1" customWidth="1"/>
    <col min="1164" max="1164" width="36" bestFit="1" customWidth="1"/>
    <col min="1165" max="1165" width="38.28515625" bestFit="1" customWidth="1"/>
    <col min="1166" max="1166" width="30.28515625" bestFit="1" customWidth="1"/>
    <col min="1167" max="1167" width="31.85546875" bestFit="1" customWidth="1"/>
    <col min="1168" max="1168" width="37.28515625" bestFit="1" customWidth="1"/>
    <col min="1169" max="1169" width="39.85546875" bestFit="1" customWidth="1"/>
    <col min="1170" max="1170" width="34.42578125" bestFit="1" customWidth="1"/>
    <col min="1171" max="1171" width="27.7109375" bestFit="1" customWidth="1"/>
    <col min="1172" max="1172" width="33" bestFit="1" customWidth="1"/>
    <col min="1173" max="1173" width="32.140625" bestFit="1" customWidth="1"/>
    <col min="1174" max="1174" width="38" bestFit="1" customWidth="1"/>
    <col min="1175" max="1175" width="37.28515625" bestFit="1" customWidth="1"/>
    <col min="1176" max="1176" width="42.42578125" bestFit="1" customWidth="1"/>
    <col min="1177" max="1177" width="34.140625" bestFit="1" customWidth="1"/>
    <col min="1178" max="1178" width="28.5703125" bestFit="1" customWidth="1"/>
    <col min="1179" max="1179" width="38.42578125" bestFit="1" customWidth="1"/>
    <col min="1180" max="1180" width="33.5703125" bestFit="1" customWidth="1"/>
    <col min="1181" max="1181" width="32.7109375" bestFit="1" customWidth="1"/>
    <col min="1182" max="1182" width="35" bestFit="1" customWidth="1"/>
    <col min="1183" max="1183" width="35.85546875" bestFit="1" customWidth="1"/>
    <col min="1184" max="1185" width="35" bestFit="1" customWidth="1"/>
    <col min="1186" max="1186" width="35.28515625" bestFit="1" customWidth="1"/>
    <col min="1187" max="1187" width="21.140625" bestFit="1" customWidth="1"/>
    <col min="1188" max="1188" width="31" bestFit="1" customWidth="1"/>
    <col min="1189" max="1189" width="33.140625" bestFit="1" customWidth="1"/>
    <col min="1190" max="1190" width="28.85546875" bestFit="1" customWidth="1"/>
    <col min="1191" max="1191" width="32.5703125" bestFit="1" customWidth="1"/>
    <col min="1192" max="1192" width="35.7109375" bestFit="1" customWidth="1"/>
    <col min="1193" max="1193" width="33.28515625" bestFit="1" customWidth="1"/>
    <col min="1194" max="1194" width="36.42578125" bestFit="1" customWidth="1"/>
    <col min="1195" max="1195" width="39.28515625" bestFit="1" customWidth="1"/>
    <col min="1196" max="1196" width="33.85546875" bestFit="1" customWidth="1"/>
    <col min="1197" max="1197" width="22.42578125" bestFit="1" customWidth="1"/>
    <col min="1198" max="1198" width="26.42578125" bestFit="1" customWidth="1"/>
    <col min="1199" max="1199" width="29" bestFit="1" customWidth="1"/>
    <col min="1200" max="1200" width="31.28515625" bestFit="1" customWidth="1"/>
    <col min="1201" max="1201" width="28.85546875" bestFit="1" customWidth="1"/>
    <col min="1202" max="1202" width="40.140625" bestFit="1" customWidth="1"/>
    <col min="1203" max="1203" width="30.140625" bestFit="1" customWidth="1"/>
    <col min="1204" max="1204" width="29.28515625" bestFit="1" customWidth="1"/>
    <col min="1205" max="1205" width="36.42578125" bestFit="1" customWidth="1"/>
    <col min="1206" max="1206" width="28.7109375" bestFit="1" customWidth="1"/>
    <col min="1207" max="1207" width="30.42578125" bestFit="1" customWidth="1"/>
    <col min="1208" max="1208" width="40" bestFit="1" customWidth="1"/>
    <col min="1209" max="1209" width="24.28515625" bestFit="1" customWidth="1"/>
    <col min="1210" max="1210" width="26.42578125" bestFit="1" customWidth="1"/>
    <col min="1211" max="1211" width="34.42578125" bestFit="1" customWidth="1"/>
    <col min="1212" max="1212" width="28.85546875" bestFit="1" customWidth="1"/>
    <col min="1213" max="1213" width="33.85546875" bestFit="1" customWidth="1"/>
    <col min="1214" max="1214" width="31.28515625" bestFit="1" customWidth="1"/>
    <col min="1215" max="1215" width="31.7109375" bestFit="1" customWidth="1"/>
    <col min="1216" max="1216" width="36.7109375" bestFit="1" customWidth="1"/>
    <col min="1217" max="1217" width="29.7109375" bestFit="1" customWidth="1"/>
    <col min="1218" max="1218" width="34" bestFit="1" customWidth="1"/>
    <col min="1219" max="1219" width="33.28515625" bestFit="1" customWidth="1"/>
    <col min="1220" max="1220" width="27.42578125" bestFit="1" customWidth="1"/>
    <col min="1221" max="1221" width="41.140625" bestFit="1" customWidth="1"/>
    <col min="1222" max="1222" width="34.85546875" bestFit="1" customWidth="1"/>
    <col min="1223" max="1223" width="34.5703125" bestFit="1" customWidth="1"/>
    <col min="1224" max="1224" width="24.42578125" bestFit="1" customWidth="1"/>
    <col min="1225" max="1225" width="29.42578125" bestFit="1" customWidth="1"/>
    <col min="1226" max="1226" width="30.7109375" bestFit="1" customWidth="1"/>
    <col min="1227" max="1227" width="28.42578125" bestFit="1" customWidth="1"/>
    <col min="1228" max="1228" width="28" bestFit="1" customWidth="1"/>
    <col min="1229" max="1229" width="26.5703125" bestFit="1" customWidth="1"/>
    <col min="1230" max="1230" width="27.140625" bestFit="1" customWidth="1"/>
    <col min="1231" max="1231" width="30.7109375" bestFit="1" customWidth="1"/>
    <col min="1232" max="1232" width="33.5703125" bestFit="1" customWidth="1"/>
    <col min="1233" max="1233" width="32.42578125" bestFit="1" customWidth="1"/>
    <col min="1234" max="1234" width="30.28515625" bestFit="1" customWidth="1"/>
    <col min="1235" max="1235" width="29.85546875" bestFit="1" customWidth="1"/>
    <col min="1236" max="1236" width="36" bestFit="1" customWidth="1"/>
    <col min="1237" max="1238" width="30.7109375" bestFit="1" customWidth="1"/>
    <col min="1239" max="1239" width="24" bestFit="1" customWidth="1"/>
    <col min="1240" max="1240" width="34.5703125" bestFit="1" customWidth="1"/>
    <col min="1241" max="1241" width="35" bestFit="1" customWidth="1"/>
    <col min="1242" max="1242" width="36.42578125" bestFit="1" customWidth="1"/>
    <col min="1243" max="1243" width="24.85546875" bestFit="1" customWidth="1"/>
    <col min="1244" max="1244" width="31.28515625" bestFit="1" customWidth="1"/>
    <col min="1245" max="1245" width="29.85546875" bestFit="1" customWidth="1"/>
    <col min="1246" max="1246" width="36.42578125" bestFit="1" customWidth="1"/>
    <col min="1247" max="1247" width="25.7109375" bestFit="1" customWidth="1"/>
    <col min="1248" max="1248" width="31.7109375" bestFit="1" customWidth="1"/>
    <col min="1249" max="1249" width="27.5703125" bestFit="1" customWidth="1"/>
    <col min="1250" max="1250" width="36.7109375" bestFit="1" customWidth="1"/>
    <col min="1251" max="1251" width="26.42578125" bestFit="1" customWidth="1"/>
    <col min="1252" max="1252" width="25.85546875" bestFit="1" customWidth="1"/>
    <col min="1253" max="1253" width="29" bestFit="1" customWidth="1"/>
    <col min="1254" max="1254" width="42.28515625" bestFit="1" customWidth="1"/>
    <col min="1255" max="1255" width="34.7109375" bestFit="1" customWidth="1"/>
    <col min="1256" max="1256" width="27" bestFit="1" customWidth="1"/>
    <col min="1257" max="1257" width="27.140625" bestFit="1" customWidth="1"/>
    <col min="1258" max="1258" width="38.28515625" bestFit="1" customWidth="1"/>
    <col min="1259" max="1259" width="30.5703125" bestFit="1" customWidth="1"/>
    <col min="1260" max="1260" width="24.7109375" bestFit="1" customWidth="1"/>
    <col min="1261" max="1261" width="27.7109375" bestFit="1" customWidth="1"/>
    <col min="1262" max="1262" width="25.7109375" bestFit="1" customWidth="1"/>
    <col min="1263" max="1263" width="26.42578125" bestFit="1" customWidth="1"/>
    <col min="1264" max="1264" width="30.5703125" bestFit="1" customWidth="1"/>
    <col min="1265" max="1265" width="19.28515625" bestFit="1" customWidth="1"/>
    <col min="1266" max="1266" width="24.140625" bestFit="1" customWidth="1"/>
    <col min="1267" max="1267" width="26.85546875" bestFit="1" customWidth="1"/>
    <col min="1268" max="1268" width="23.7109375" bestFit="1" customWidth="1"/>
    <col min="1269" max="1269" width="40" bestFit="1" customWidth="1"/>
    <col min="1270" max="1270" width="31" bestFit="1" customWidth="1"/>
    <col min="1271" max="1271" width="34.85546875" bestFit="1" customWidth="1"/>
    <col min="1272" max="1272" width="28.42578125" bestFit="1" customWidth="1"/>
    <col min="1273" max="1273" width="34.42578125" bestFit="1" customWidth="1"/>
    <col min="1274" max="1274" width="29.140625" bestFit="1" customWidth="1"/>
    <col min="1275" max="1275" width="24.28515625" bestFit="1" customWidth="1"/>
    <col min="1276" max="1276" width="33.42578125" bestFit="1" customWidth="1"/>
    <col min="1277" max="1277" width="26.140625" bestFit="1" customWidth="1"/>
    <col min="1278" max="1278" width="25.85546875" bestFit="1" customWidth="1"/>
    <col min="1279" max="1279" width="24.28515625" bestFit="1" customWidth="1"/>
    <col min="1280" max="1280" width="19.7109375" bestFit="1" customWidth="1"/>
    <col min="1281" max="1281" width="32.7109375" bestFit="1" customWidth="1"/>
    <col min="1282" max="1282" width="32" bestFit="1" customWidth="1"/>
    <col min="1283" max="1283" width="34" bestFit="1" customWidth="1"/>
    <col min="1284" max="1284" width="31.42578125" bestFit="1" customWidth="1"/>
    <col min="1285" max="1285" width="24.28515625" bestFit="1" customWidth="1"/>
    <col min="1286" max="1286" width="31.5703125" bestFit="1" customWidth="1"/>
    <col min="1287" max="1287" width="25.7109375" bestFit="1" customWidth="1"/>
    <col min="1288" max="1288" width="33.140625" bestFit="1" customWidth="1"/>
    <col min="1289" max="1289" width="25.85546875" bestFit="1" customWidth="1"/>
    <col min="1290" max="1290" width="21.85546875" bestFit="1" customWidth="1"/>
    <col min="1291" max="1291" width="25.7109375" bestFit="1" customWidth="1"/>
    <col min="1292" max="1292" width="31.85546875" bestFit="1" customWidth="1"/>
    <col min="1293" max="1293" width="27.28515625" bestFit="1" customWidth="1"/>
    <col min="1294" max="1294" width="31" bestFit="1" customWidth="1"/>
    <col min="1295" max="1295" width="28" bestFit="1" customWidth="1"/>
    <col min="1296" max="1296" width="32.42578125" bestFit="1" customWidth="1"/>
    <col min="1297" max="1297" width="27.7109375" bestFit="1" customWidth="1"/>
    <col min="1298" max="1298" width="28" bestFit="1" customWidth="1"/>
    <col min="1299" max="1299" width="34.140625" bestFit="1" customWidth="1"/>
    <col min="1300" max="1300" width="36.140625" bestFit="1" customWidth="1"/>
    <col min="1301" max="1301" width="30" bestFit="1" customWidth="1"/>
    <col min="1302" max="1302" width="24.28515625" bestFit="1" customWidth="1"/>
    <col min="1303" max="1303" width="32.28515625" bestFit="1" customWidth="1"/>
    <col min="1304" max="1304" width="30.140625" bestFit="1" customWidth="1"/>
    <col min="1305" max="1305" width="25.7109375" bestFit="1" customWidth="1"/>
    <col min="1306" max="1306" width="31.140625" bestFit="1" customWidth="1"/>
    <col min="1307" max="1307" width="27.7109375" bestFit="1" customWidth="1"/>
    <col min="1308" max="1308" width="26.28515625" bestFit="1" customWidth="1"/>
    <col min="1309" max="1309" width="28" bestFit="1" customWidth="1"/>
    <col min="1310" max="1310" width="29.42578125" bestFit="1" customWidth="1"/>
    <col min="1311" max="1312" width="29.28515625" bestFit="1" customWidth="1"/>
    <col min="1313" max="1313" width="35.42578125" bestFit="1" customWidth="1"/>
    <col min="1314" max="1314" width="32.140625" bestFit="1" customWidth="1"/>
    <col min="1315" max="1315" width="29.85546875" bestFit="1" customWidth="1"/>
    <col min="1316" max="1316" width="26.5703125" bestFit="1" customWidth="1"/>
    <col min="1317" max="1317" width="31.5703125" bestFit="1" customWidth="1"/>
    <col min="1318" max="1318" width="25" bestFit="1" customWidth="1"/>
    <col min="1319" max="1319" width="43" bestFit="1" customWidth="1"/>
    <col min="1320" max="1320" width="32.7109375" bestFit="1" customWidth="1"/>
    <col min="1321" max="1321" width="29.7109375" bestFit="1" customWidth="1"/>
    <col min="1322" max="1322" width="29" bestFit="1" customWidth="1"/>
    <col min="1323" max="1323" width="28.7109375" bestFit="1" customWidth="1"/>
    <col min="1324" max="1324" width="42.28515625" bestFit="1" customWidth="1"/>
    <col min="1325" max="1325" width="39.140625" bestFit="1" customWidth="1"/>
    <col min="1326" max="1326" width="32.85546875" bestFit="1" customWidth="1"/>
    <col min="1327" max="1327" width="35.5703125" bestFit="1" customWidth="1"/>
    <col min="1328" max="1328" width="37.42578125" bestFit="1" customWidth="1"/>
    <col min="1329" max="1329" width="27.7109375" bestFit="1" customWidth="1"/>
    <col min="1330" max="1330" width="31.28515625" bestFit="1" customWidth="1"/>
    <col min="1331" max="1331" width="28.85546875" bestFit="1" customWidth="1"/>
    <col min="1332" max="1332" width="25.5703125" bestFit="1" customWidth="1"/>
    <col min="1333" max="1333" width="30.7109375" bestFit="1" customWidth="1"/>
    <col min="1334" max="1334" width="35.7109375" bestFit="1" customWidth="1"/>
    <col min="1335" max="1335" width="38.7109375" bestFit="1" customWidth="1"/>
    <col min="1336" max="1336" width="31.5703125" bestFit="1" customWidth="1"/>
    <col min="1337" max="1337" width="26" bestFit="1" customWidth="1"/>
    <col min="1338" max="1338" width="33.5703125" bestFit="1" customWidth="1"/>
    <col min="1339" max="1339" width="21.5703125" bestFit="1" customWidth="1"/>
    <col min="1340" max="1340" width="28.28515625" bestFit="1" customWidth="1"/>
    <col min="1341" max="1341" width="31.140625" bestFit="1" customWidth="1"/>
    <col min="1342" max="1342" width="39.28515625" bestFit="1" customWidth="1"/>
    <col min="1343" max="1343" width="27.7109375" bestFit="1" customWidth="1"/>
    <col min="1344" max="1344" width="31.42578125" bestFit="1" customWidth="1"/>
    <col min="1345" max="1345" width="33.5703125" bestFit="1" customWidth="1"/>
    <col min="1346" max="1346" width="35" bestFit="1" customWidth="1"/>
    <col min="1347" max="1347" width="33.140625" bestFit="1" customWidth="1"/>
    <col min="1348" max="1348" width="29.7109375" bestFit="1" customWidth="1"/>
    <col min="1349" max="1349" width="26.85546875" bestFit="1" customWidth="1"/>
    <col min="1350" max="1350" width="31.140625" bestFit="1" customWidth="1"/>
    <col min="1351" max="1351" width="28.7109375" bestFit="1" customWidth="1"/>
    <col min="1352" max="1352" width="34.140625" bestFit="1" customWidth="1"/>
    <col min="1353" max="1353" width="29.85546875" bestFit="1" customWidth="1"/>
    <col min="1354" max="1354" width="31.28515625" bestFit="1" customWidth="1"/>
    <col min="1355" max="1355" width="25.85546875" bestFit="1" customWidth="1"/>
    <col min="1356" max="1356" width="31" bestFit="1" customWidth="1"/>
    <col min="1357" max="1357" width="36.28515625" bestFit="1" customWidth="1"/>
    <col min="1358" max="1358" width="30.5703125" bestFit="1" customWidth="1"/>
    <col min="1359" max="1359" width="31" bestFit="1" customWidth="1"/>
    <col min="1360" max="1360" width="37.28515625" bestFit="1" customWidth="1"/>
    <col min="1361" max="1361" width="30.5703125" bestFit="1" customWidth="1"/>
    <col min="1362" max="1362" width="31.85546875" bestFit="1" customWidth="1"/>
    <col min="1363" max="1363" width="28.140625" bestFit="1" customWidth="1"/>
    <col min="1364" max="1364" width="25.7109375" bestFit="1" customWidth="1"/>
    <col min="1365" max="1365" width="40" bestFit="1" customWidth="1"/>
    <col min="1366" max="1366" width="36.42578125" bestFit="1" customWidth="1"/>
    <col min="1367" max="1367" width="33.28515625" bestFit="1" customWidth="1"/>
    <col min="1368" max="1368" width="35.42578125" bestFit="1" customWidth="1"/>
    <col min="1369" max="1369" width="30.7109375" bestFit="1" customWidth="1"/>
    <col min="1370" max="1370" width="28.28515625" bestFit="1" customWidth="1"/>
    <col min="1371" max="1371" width="27" bestFit="1" customWidth="1"/>
    <col min="1372" max="1372" width="34" bestFit="1" customWidth="1"/>
    <col min="1373" max="1373" width="35.85546875" bestFit="1" customWidth="1"/>
    <col min="1374" max="1374" width="31.28515625" bestFit="1" customWidth="1"/>
    <col min="1375" max="1375" width="33.28515625" bestFit="1" customWidth="1"/>
    <col min="1376" max="1376" width="27.7109375" bestFit="1" customWidth="1"/>
    <col min="1377" max="1377" width="32.28515625" bestFit="1" customWidth="1"/>
    <col min="1378" max="1378" width="31.42578125" bestFit="1" customWidth="1"/>
    <col min="1379" max="1379" width="24.28515625" bestFit="1" customWidth="1"/>
    <col min="1380" max="1380" width="36.42578125" bestFit="1" customWidth="1"/>
    <col min="1381" max="1381" width="27" bestFit="1" customWidth="1"/>
    <col min="1382" max="1382" width="22.140625" bestFit="1" customWidth="1"/>
    <col min="1383" max="1383" width="42.7109375" bestFit="1" customWidth="1"/>
    <col min="1384" max="1384" width="31.140625" bestFit="1" customWidth="1"/>
    <col min="1385" max="1385" width="42.7109375" bestFit="1" customWidth="1"/>
    <col min="1386" max="1386" width="36.7109375" bestFit="1" customWidth="1"/>
    <col min="1387" max="1387" width="35.42578125" bestFit="1" customWidth="1"/>
    <col min="1388" max="1388" width="36.85546875" bestFit="1" customWidth="1"/>
    <col min="1389" max="1389" width="46.7109375" bestFit="1" customWidth="1"/>
    <col min="1390" max="1390" width="41.140625" bestFit="1" customWidth="1"/>
    <col min="1391" max="1391" width="38.140625" bestFit="1" customWidth="1"/>
    <col min="1392" max="1392" width="36.85546875" bestFit="1" customWidth="1"/>
    <col min="1393" max="1393" width="37.140625" bestFit="1" customWidth="1"/>
    <col min="1394" max="1394" width="37.42578125" bestFit="1" customWidth="1"/>
    <col min="1395" max="1395" width="45.28515625" bestFit="1" customWidth="1"/>
    <col min="1396" max="1396" width="35.140625" bestFit="1" customWidth="1"/>
    <col min="1397" max="1397" width="38" bestFit="1" customWidth="1"/>
    <col min="1398" max="1398" width="35.5703125" bestFit="1" customWidth="1"/>
    <col min="1399" max="1399" width="36.28515625" bestFit="1" customWidth="1"/>
    <col min="1400" max="1400" width="35.85546875" bestFit="1" customWidth="1"/>
    <col min="1401" max="1401" width="45.28515625" bestFit="1" customWidth="1"/>
    <col min="1402" max="1402" width="33.28515625" bestFit="1" customWidth="1"/>
    <col min="1403" max="1403" width="30.140625" bestFit="1" customWidth="1"/>
    <col min="1404" max="1404" width="31" bestFit="1" customWidth="1"/>
    <col min="1405" max="1405" width="35.85546875" bestFit="1" customWidth="1"/>
    <col min="1406" max="1406" width="28" bestFit="1" customWidth="1"/>
    <col min="1407" max="1407" width="29.7109375" bestFit="1" customWidth="1"/>
    <col min="1408" max="1408" width="32.42578125" bestFit="1" customWidth="1"/>
    <col min="1409" max="1409" width="44.85546875" bestFit="1" customWidth="1"/>
    <col min="1410" max="1410" width="42.85546875" bestFit="1" customWidth="1"/>
    <col min="1411" max="1411" width="30.85546875" bestFit="1" customWidth="1"/>
    <col min="1412" max="1412" width="42.28515625" bestFit="1" customWidth="1"/>
    <col min="1413" max="1413" width="36.85546875" bestFit="1" customWidth="1"/>
    <col min="1414" max="1414" width="33.28515625" bestFit="1" customWidth="1"/>
    <col min="1415" max="1415" width="39.5703125" bestFit="1" customWidth="1"/>
    <col min="1416" max="1416" width="41.5703125" bestFit="1" customWidth="1"/>
    <col min="1417" max="1417" width="36.42578125" bestFit="1" customWidth="1"/>
    <col min="1418" max="1418" width="43.5703125" bestFit="1" customWidth="1"/>
    <col min="1419" max="1419" width="43.7109375" bestFit="1" customWidth="1"/>
    <col min="1420" max="1420" width="32.85546875" bestFit="1" customWidth="1"/>
    <col min="1421" max="1421" width="44.7109375" bestFit="1" customWidth="1"/>
    <col min="1422" max="1422" width="48.7109375" bestFit="1" customWidth="1"/>
    <col min="1423" max="1423" width="40.28515625" bestFit="1" customWidth="1"/>
    <col min="1424" max="1424" width="39.7109375" bestFit="1" customWidth="1"/>
    <col min="1425" max="1425" width="39.85546875" bestFit="1" customWidth="1"/>
    <col min="1426" max="1426" width="30.7109375" bestFit="1" customWidth="1"/>
    <col min="1427" max="1427" width="29.7109375" bestFit="1" customWidth="1"/>
    <col min="1428" max="1428" width="29.42578125" bestFit="1" customWidth="1"/>
    <col min="1429" max="1429" width="29.28515625" bestFit="1" customWidth="1"/>
    <col min="1430" max="1430" width="39.28515625" bestFit="1" customWidth="1"/>
    <col min="1431" max="1431" width="35.140625" bestFit="1" customWidth="1"/>
    <col min="1432" max="1432" width="33.5703125" bestFit="1" customWidth="1"/>
    <col min="1433" max="1433" width="28" bestFit="1" customWidth="1"/>
    <col min="1434" max="1434" width="26.28515625" bestFit="1" customWidth="1"/>
    <col min="1435" max="1435" width="30.140625" bestFit="1" customWidth="1"/>
    <col min="1436" max="1436" width="34.140625" bestFit="1" customWidth="1"/>
    <col min="1437" max="1437" width="39.5703125" bestFit="1" customWidth="1"/>
    <col min="1438" max="1438" width="27.85546875" bestFit="1" customWidth="1"/>
    <col min="1439" max="1439" width="24.5703125" bestFit="1" customWidth="1"/>
    <col min="1440" max="1440" width="29.85546875" bestFit="1" customWidth="1"/>
    <col min="1441" max="1441" width="31.7109375" bestFit="1" customWidth="1"/>
    <col min="1442" max="1442" width="35.42578125" bestFit="1" customWidth="1"/>
    <col min="1443" max="1443" width="39.7109375" bestFit="1" customWidth="1"/>
    <col min="1444" max="1444" width="34.42578125" bestFit="1" customWidth="1"/>
    <col min="1445" max="1445" width="27.7109375" bestFit="1" customWidth="1"/>
    <col min="1446" max="1446" width="28.140625" bestFit="1" customWidth="1"/>
    <col min="1447" max="1447" width="41.42578125" bestFit="1" customWidth="1"/>
    <col min="1448" max="1448" width="40" bestFit="1" customWidth="1"/>
    <col min="1449" max="1449" width="41" bestFit="1" customWidth="1"/>
    <col min="1450" max="1450" width="46" bestFit="1" customWidth="1"/>
    <col min="1451" max="1451" width="27.140625" bestFit="1" customWidth="1"/>
    <col min="1452" max="1452" width="29.85546875" bestFit="1" customWidth="1"/>
    <col min="1453" max="1453" width="27.5703125" bestFit="1" customWidth="1"/>
    <col min="1454" max="1454" width="30.42578125" bestFit="1" customWidth="1"/>
    <col min="1455" max="1455" width="28.7109375" bestFit="1" customWidth="1"/>
    <col min="1456" max="1456" width="38.42578125" bestFit="1" customWidth="1"/>
    <col min="1457" max="1457" width="30.140625" bestFit="1" customWidth="1"/>
    <col min="1458" max="1458" width="38.7109375" bestFit="1" customWidth="1"/>
    <col min="1459" max="1459" width="27.85546875" bestFit="1" customWidth="1"/>
    <col min="1460" max="1460" width="30.5703125" bestFit="1" customWidth="1"/>
    <col min="1461" max="1461" width="31.85546875" bestFit="1" customWidth="1"/>
    <col min="1462" max="1462" width="24.42578125" bestFit="1" customWidth="1"/>
    <col min="1463" max="1463" width="37.28515625" bestFit="1" customWidth="1"/>
    <col min="1464" max="1464" width="37.5703125" bestFit="1" customWidth="1"/>
    <col min="1465" max="1465" width="31.7109375" bestFit="1" customWidth="1"/>
    <col min="1466" max="1466" width="33.28515625" bestFit="1" customWidth="1"/>
    <col min="1467" max="1467" width="27.140625" bestFit="1" customWidth="1"/>
    <col min="1468" max="1468" width="29.85546875" bestFit="1" customWidth="1"/>
    <col min="1469" max="1469" width="39.7109375" bestFit="1" customWidth="1"/>
    <col min="1470" max="1470" width="35" bestFit="1" customWidth="1"/>
    <col min="1471" max="1471" width="44.42578125" bestFit="1" customWidth="1"/>
    <col min="1472" max="1472" width="28.42578125" bestFit="1" customWidth="1"/>
    <col min="1473" max="1473" width="34.5703125" bestFit="1" customWidth="1"/>
    <col min="1474" max="1474" width="30" bestFit="1" customWidth="1"/>
    <col min="1475" max="1475" width="35.140625" bestFit="1" customWidth="1"/>
    <col min="1476" max="1476" width="50.85546875" bestFit="1" customWidth="1"/>
    <col min="1477" max="1477" width="25.85546875" bestFit="1" customWidth="1"/>
    <col min="1478" max="1478" width="34.7109375" bestFit="1" customWidth="1"/>
    <col min="1479" max="1479" width="29.28515625" bestFit="1" customWidth="1"/>
    <col min="1480" max="1480" width="36.7109375" bestFit="1" customWidth="1"/>
    <col min="1481" max="1481" width="37.5703125" bestFit="1" customWidth="1"/>
    <col min="1482" max="1482" width="28.140625" bestFit="1" customWidth="1"/>
    <col min="1483" max="1483" width="34.85546875" bestFit="1" customWidth="1"/>
    <col min="1484" max="1484" width="33.42578125" bestFit="1" customWidth="1"/>
    <col min="1485" max="1485" width="36.85546875" bestFit="1" customWidth="1"/>
    <col min="1486" max="1486" width="37" bestFit="1" customWidth="1"/>
    <col min="1487" max="1487" width="29.85546875" bestFit="1" customWidth="1"/>
    <col min="1488" max="1488" width="33.42578125" bestFit="1" customWidth="1"/>
    <col min="1489" max="1489" width="26" bestFit="1" customWidth="1"/>
    <col min="1490" max="1490" width="24.140625" bestFit="1" customWidth="1"/>
    <col min="1491" max="1491" width="29" bestFit="1" customWidth="1"/>
    <col min="1492" max="1492" width="32.28515625" bestFit="1" customWidth="1"/>
    <col min="1493" max="1493" width="35.85546875" bestFit="1" customWidth="1"/>
    <col min="1494" max="1494" width="32.85546875" bestFit="1" customWidth="1"/>
    <col min="1495" max="1495" width="43" bestFit="1" customWidth="1"/>
    <col min="1496" max="1496" width="32.5703125" bestFit="1" customWidth="1"/>
    <col min="1497" max="1497" width="30.85546875" bestFit="1" customWidth="1"/>
    <col min="1498" max="1498" width="27.5703125" bestFit="1" customWidth="1"/>
    <col min="1499" max="1499" width="34.5703125" bestFit="1" customWidth="1"/>
    <col min="1500" max="1500" width="28.5703125" bestFit="1" customWidth="1"/>
    <col min="1501" max="1501" width="33.5703125" bestFit="1" customWidth="1"/>
    <col min="1502" max="1502" width="34.5703125" bestFit="1" customWidth="1"/>
    <col min="1503" max="1503" width="37" bestFit="1" customWidth="1"/>
    <col min="1504" max="1504" width="40.7109375" bestFit="1" customWidth="1"/>
    <col min="1505" max="1506" width="31.42578125" bestFit="1" customWidth="1"/>
    <col min="1507" max="1507" width="38.140625" bestFit="1" customWidth="1"/>
    <col min="1508" max="1508" width="29.42578125" bestFit="1" customWidth="1"/>
    <col min="1509" max="1509" width="26.42578125" bestFit="1" customWidth="1"/>
    <col min="1510" max="1510" width="34.85546875" bestFit="1" customWidth="1"/>
    <col min="1511" max="1511" width="31.140625" bestFit="1" customWidth="1"/>
    <col min="1512" max="1512" width="34.28515625" bestFit="1" customWidth="1"/>
    <col min="1513" max="1513" width="31.140625" bestFit="1" customWidth="1"/>
    <col min="1514" max="1514" width="30.42578125" bestFit="1" customWidth="1"/>
    <col min="1515" max="1515" width="28.5703125" bestFit="1" customWidth="1"/>
    <col min="1516" max="1516" width="31.5703125" bestFit="1" customWidth="1"/>
    <col min="1517" max="1517" width="27.5703125" bestFit="1" customWidth="1"/>
    <col min="1518" max="1518" width="35.85546875" bestFit="1" customWidth="1"/>
    <col min="1519" max="1519" width="25.85546875" bestFit="1" customWidth="1"/>
    <col min="1520" max="1520" width="32.5703125" bestFit="1" customWidth="1"/>
    <col min="1521" max="1521" width="25" bestFit="1" customWidth="1"/>
    <col min="1522" max="1522" width="26.7109375" bestFit="1" customWidth="1"/>
    <col min="1523" max="1523" width="29.140625" bestFit="1" customWidth="1"/>
    <col min="1524" max="1524" width="32.42578125" bestFit="1" customWidth="1"/>
    <col min="1525" max="1525" width="33" bestFit="1" customWidth="1"/>
    <col min="1526" max="1526" width="29.28515625" bestFit="1" customWidth="1"/>
    <col min="1527" max="1527" width="31.7109375" bestFit="1" customWidth="1"/>
    <col min="1528" max="1528" width="36.140625" bestFit="1" customWidth="1"/>
    <col min="1529" max="1529" width="38.85546875" bestFit="1" customWidth="1"/>
    <col min="1530" max="1530" width="43.5703125" bestFit="1" customWidth="1"/>
    <col min="1531" max="1531" width="35.140625" bestFit="1" customWidth="1"/>
    <col min="1532" max="1532" width="28.28515625" bestFit="1" customWidth="1"/>
    <col min="1533" max="1533" width="32.42578125" bestFit="1" customWidth="1"/>
    <col min="1534" max="1534" width="27.140625" bestFit="1" customWidth="1"/>
    <col min="1535" max="1535" width="33.140625" bestFit="1" customWidth="1"/>
    <col min="1536" max="1536" width="34.28515625" bestFit="1" customWidth="1"/>
    <col min="1537" max="1537" width="26.28515625" bestFit="1" customWidth="1"/>
    <col min="1538" max="1538" width="29.28515625" bestFit="1" customWidth="1"/>
    <col min="1539" max="1539" width="26" bestFit="1" customWidth="1"/>
    <col min="1540" max="1540" width="36.7109375" bestFit="1" customWidth="1"/>
    <col min="1541" max="1541" width="28.28515625" bestFit="1" customWidth="1"/>
    <col min="1542" max="1542" width="37.7109375" bestFit="1" customWidth="1"/>
    <col min="1543" max="1543" width="32.28515625" bestFit="1" customWidth="1"/>
    <col min="1544" max="1544" width="38.85546875" bestFit="1" customWidth="1"/>
    <col min="1545" max="1545" width="32.140625" bestFit="1" customWidth="1"/>
    <col min="1546" max="1546" width="34.42578125" bestFit="1" customWidth="1"/>
    <col min="1547" max="1547" width="36.42578125" bestFit="1" customWidth="1"/>
    <col min="1548" max="1548" width="31.85546875" bestFit="1" customWidth="1"/>
    <col min="1549" max="1549" width="28.140625" bestFit="1" customWidth="1"/>
    <col min="1550" max="1550" width="32.85546875" bestFit="1" customWidth="1"/>
    <col min="1551" max="1551" width="41.42578125" bestFit="1" customWidth="1"/>
    <col min="1552" max="1552" width="39.28515625" bestFit="1" customWidth="1"/>
    <col min="1553" max="1553" width="40.42578125" bestFit="1" customWidth="1"/>
    <col min="1554" max="1554" width="36" bestFit="1" customWidth="1"/>
    <col min="1555" max="1555" width="35.140625" bestFit="1" customWidth="1"/>
    <col min="1556" max="1556" width="48.28515625" bestFit="1" customWidth="1"/>
    <col min="1557" max="1557" width="39.28515625" bestFit="1" customWidth="1"/>
    <col min="1558" max="1558" width="32.140625" bestFit="1" customWidth="1"/>
    <col min="1559" max="1559" width="33.28515625" bestFit="1" customWidth="1"/>
    <col min="1560" max="1560" width="34.140625" bestFit="1" customWidth="1"/>
    <col min="1561" max="1561" width="34.5703125" bestFit="1" customWidth="1"/>
    <col min="1562" max="1562" width="35.28515625" bestFit="1" customWidth="1"/>
    <col min="1563" max="1563" width="43.85546875" bestFit="1" customWidth="1"/>
    <col min="1564" max="1564" width="35" bestFit="1" customWidth="1"/>
    <col min="1565" max="1565" width="40.28515625" bestFit="1" customWidth="1"/>
    <col min="1566" max="1566" width="41.5703125" bestFit="1" customWidth="1"/>
    <col min="1567" max="1567" width="43.7109375" bestFit="1" customWidth="1"/>
    <col min="1568" max="1568" width="37.28515625" bestFit="1" customWidth="1"/>
    <col min="1569" max="1569" width="30.28515625" bestFit="1" customWidth="1"/>
    <col min="1570" max="1570" width="37.5703125" bestFit="1" customWidth="1"/>
    <col min="1571" max="1571" width="35.42578125" bestFit="1" customWidth="1"/>
    <col min="1572" max="1572" width="38.42578125" bestFit="1" customWidth="1"/>
    <col min="1573" max="1573" width="33.28515625" bestFit="1" customWidth="1"/>
    <col min="1574" max="1574" width="46.85546875" bestFit="1" customWidth="1"/>
    <col min="1575" max="1575" width="37" bestFit="1" customWidth="1"/>
    <col min="1576" max="1576" width="33.42578125" bestFit="1" customWidth="1"/>
    <col min="1577" max="1577" width="52.85546875" bestFit="1" customWidth="1"/>
    <col min="1578" max="1578" width="33.140625" bestFit="1" customWidth="1"/>
    <col min="1579" max="1579" width="42.5703125" bestFit="1" customWidth="1"/>
    <col min="1580" max="1580" width="34" bestFit="1" customWidth="1"/>
    <col min="1581" max="1581" width="40.28515625" bestFit="1" customWidth="1"/>
    <col min="1582" max="1582" width="26.5703125" bestFit="1" customWidth="1"/>
    <col min="1583" max="1583" width="33.85546875" bestFit="1" customWidth="1"/>
    <col min="1584" max="1584" width="34.85546875" bestFit="1" customWidth="1"/>
    <col min="1585" max="1585" width="34.28515625" bestFit="1" customWidth="1"/>
    <col min="1586" max="1586" width="30.7109375" bestFit="1" customWidth="1"/>
    <col min="1587" max="1587" width="31.5703125" bestFit="1" customWidth="1"/>
    <col min="1588" max="1588" width="36" bestFit="1" customWidth="1"/>
    <col min="1589" max="1589" width="48.85546875" bestFit="1" customWidth="1"/>
    <col min="1590" max="1590" width="37.42578125" bestFit="1" customWidth="1"/>
    <col min="1591" max="1591" width="35" bestFit="1" customWidth="1"/>
    <col min="1592" max="1592" width="33" bestFit="1" customWidth="1"/>
    <col min="1593" max="1593" width="38.42578125" bestFit="1" customWidth="1"/>
    <col min="1594" max="1594" width="30" bestFit="1" customWidth="1"/>
    <col min="1595" max="1595" width="39" bestFit="1" customWidth="1"/>
    <col min="1596" max="1596" width="24.5703125" bestFit="1" customWidth="1"/>
    <col min="1597" max="1597" width="28.28515625" bestFit="1" customWidth="1"/>
    <col min="1598" max="1598" width="36" bestFit="1" customWidth="1"/>
    <col min="1599" max="1599" width="29.28515625" bestFit="1" customWidth="1"/>
    <col min="1600" max="1600" width="39" bestFit="1" customWidth="1"/>
    <col min="1601" max="1601" width="30.140625" bestFit="1" customWidth="1"/>
    <col min="1602" max="1602" width="36" bestFit="1" customWidth="1"/>
    <col min="1603" max="1603" width="30.85546875" bestFit="1" customWidth="1"/>
    <col min="1604" max="1604" width="35.85546875" bestFit="1" customWidth="1"/>
    <col min="1605" max="1605" width="30.28515625" bestFit="1" customWidth="1"/>
    <col min="1606" max="1606" width="33.42578125" bestFit="1" customWidth="1"/>
    <col min="1607" max="1607" width="36.28515625" bestFit="1" customWidth="1"/>
    <col min="1608" max="1608" width="34.140625" bestFit="1" customWidth="1"/>
    <col min="1609" max="1609" width="29.28515625" bestFit="1" customWidth="1"/>
    <col min="1610" max="1610" width="38.28515625" bestFit="1" customWidth="1"/>
    <col min="1611" max="1611" width="30.85546875" bestFit="1" customWidth="1"/>
    <col min="1612" max="1612" width="24.42578125" bestFit="1" customWidth="1"/>
    <col min="1613" max="1613" width="39.140625" bestFit="1" customWidth="1"/>
    <col min="1614" max="1614" width="32.28515625" bestFit="1" customWidth="1"/>
    <col min="1615" max="1615" width="42.5703125" bestFit="1" customWidth="1"/>
    <col min="1616" max="1616" width="34.28515625" bestFit="1" customWidth="1"/>
    <col min="1617" max="1617" width="24.85546875" bestFit="1" customWidth="1"/>
    <col min="1618" max="1618" width="29.140625" bestFit="1" customWidth="1"/>
    <col min="1619" max="1619" width="34" bestFit="1" customWidth="1"/>
    <col min="1620" max="1620" width="24.85546875" bestFit="1" customWidth="1"/>
    <col min="1621" max="1621" width="24" bestFit="1" customWidth="1"/>
    <col min="1622" max="1622" width="31.28515625" bestFit="1" customWidth="1"/>
    <col min="1623" max="1623" width="30.28515625" bestFit="1" customWidth="1"/>
    <col min="1624" max="1624" width="23" bestFit="1" customWidth="1"/>
    <col min="1625" max="1625" width="34.42578125" bestFit="1" customWidth="1"/>
    <col min="1626" max="1626" width="27.5703125" bestFit="1" customWidth="1"/>
    <col min="1627" max="1627" width="23.85546875" bestFit="1" customWidth="1"/>
    <col min="1628" max="1628" width="30.85546875" bestFit="1" customWidth="1"/>
    <col min="1629" max="1629" width="33.85546875" bestFit="1" customWidth="1"/>
    <col min="1630" max="1630" width="39.7109375" bestFit="1" customWidth="1"/>
    <col min="1631" max="1631" width="27.85546875" bestFit="1" customWidth="1"/>
    <col min="1632" max="1632" width="24.140625" bestFit="1" customWidth="1"/>
    <col min="1633" max="1633" width="24.7109375" bestFit="1" customWidth="1"/>
    <col min="1634" max="1634" width="35.5703125" bestFit="1" customWidth="1"/>
    <col min="1635" max="1635" width="44.140625" bestFit="1" customWidth="1"/>
    <col min="1636" max="1636" width="29.85546875" bestFit="1" customWidth="1"/>
    <col min="1637" max="1637" width="29.42578125" bestFit="1" customWidth="1"/>
    <col min="1638" max="1638" width="28.140625" bestFit="1" customWidth="1"/>
    <col min="1639" max="1639" width="35.85546875" bestFit="1" customWidth="1"/>
    <col min="1640" max="1640" width="27.7109375" bestFit="1" customWidth="1"/>
    <col min="1641" max="1641" width="30.85546875" bestFit="1" customWidth="1"/>
    <col min="1642" max="1642" width="25.85546875" bestFit="1" customWidth="1"/>
    <col min="1643" max="1643" width="27.140625" bestFit="1" customWidth="1"/>
    <col min="1644" max="1644" width="31.7109375" bestFit="1" customWidth="1"/>
    <col min="1645" max="1645" width="46" bestFit="1" customWidth="1"/>
    <col min="1646" max="1646" width="46.42578125" bestFit="1" customWidth="1"/>
    <col min="1647" max="1647" width="32.7109375" bestFit="1" customWidth="1"/>
    <col min="1648" max="1648" width="31" bestFit="1" customWidth="1"/>
    <col min="1649" max="1649" width="30.7109375" bestFit="1" customWidth="1"/>
    <col min="1650" max="1650" width="34" bestFit="1" customWidth="1"/>
    <col min="1651" max="1651" width="31.7109375" bestFit="1" customWidth="1"/>
    <col min="1652" max="1652" width="27.140625" bestFit="1" customWidth="1"/>
    <col min="1653" max="1653" width="29.85546875" bestFit="1" customWidth="1"/>
    <col min="1654" max="1654" width="25.5703125" bestFit="1" customWidth="1"/>
    <col min="1655" max="1655" width="44.42578125" bestFit="1" customWidth="1"/>
    <col min="1656" max="1657" width="31.42578125" bestFit="1" customWidth="1"/>
    <col min="1658" max="1658" width="31.85546875" bestFit="1" customWidth="1"/>
    <col min="1659" max="1659" width="29.85546875" bestFit="1" customWidth="1"/>
    <col min="1660" max="1660" width="30.5703125" bestFit="1" customWidth="1"/>
    <col min="1661" max="1661" width="31.140625" bestFit="1" customWidth="1"/>
    <col min="1662" max="1662" width="35.7109375" bestFit="1" customWidth="1"/>
    <col min="1663" max="1663" width="31.28515625" bestFit="1" customWidth="1"/>
    <col min="1664" max="1664" width="32" bestFit="1" customWidth="1"/>
    <col min="1665" max="1665" width="23.28515625" bestFit="1" customWidth="1"/>
    <col min="1666" max="1666" width="23.42578125" bestFit="1" customWidth="1"/>
    <col min="1667" max="1667" width="32.5703125" bestFit="1" customWidth="1"/>
    <col min="1668" max="1668" width="33.85546875" bestFit="1" customWidth="1"/>
    <col min="1669" max="1669" width="39.28515625" bestFit="1" customWidth="1"/>
    <col min="1670" max="1670" width="37.42578125" bestFit="1" customWidth="1"/>
    <col min="1671" max="1671" width="35.5703125" bestFit="1" customWidth="1"/>
    <col min="1672" max="1672" width="30" bestFit="1" customWidth="1"/>
    <col min="1673" max="1673" width="27.7109375" bestFit="1" customWidth="1"/>
    <col min="1674" max="1674" width="35.140625" bestFit="1" customWidth="1"/>
    <col min="1675" max="1675" width="32.7109375" bestFit="1" customWidth="1"/>
    <col min="1676" max="1676" width="30" bestFit="1" customWidth="1"/>
    <col min="1677" max="1678" width="31.7109375" bestFit="1" customWidth="1"/>
    <col min="1679" max="1679" width="38.140625" bestFit="1" customWidth="1"/>
    <col min="1680" max="1680" width="32.28515625" bestFit="1" customWidth="1"/>
    <col min="1681" max="1681" width="24.140625" bestFit="1" customWidth="1"/>
    <col min="1682" max="1682" width="37.28515625" bestFit="1" customWidth="1"/>
    <col min="1683" max="1683" width="33.5703125" bestFit="1" customWidth="1"/>
    <col min="1684" max="1684" width="32.140625" bestFit="1" customWidth="1"/>
    <col min="1685" max="1685" width="26.140625" bestFit="1" customWidth="1"/>
    <col min="1686" max="1686" width="26.7109375" bestFit="1" customWidth="1"/>
    <col min="1687" max="1687" width="27.28515625" bestFit="1" customWidth="1"/>
    <col min="1688" max="1688" width="26.5703125" bestFit="1" customWidth="1"/>
    <col min="1689" max="1689" width="35.5703125" bestFit="1" customWidth="1"/>
    <col min="1690" max="1690" width="21.140625" bestFit="1" customWidth="1"/>
    <col min="1691" max="1691" width="30.140625" bestFit="1" customWidth="1"/>
    <col min="1692" max="1692" width="39.140625" bestFit="1" customWidth="1"/>
    <col min="1693" max="1693" width="28.28515625" bestFit="1" customWidth="1"/>
    <col min="1694" max="1694" width="30.42578125" bestFit="1" customWidth="1"/>
    <col min="1695" max="1695" width="37.42578125" bestFit="1" customWidth="1"/>
    <col min="1696" max="1696" width="27.42578125" bestFit="1" customWidth="1"/>
    <col min="1697" max="1697" width="31.5703125" bestFit="1" customWidth="1"/>
    <col min="1698" max="1698" width="23.7109375" bestFit="1" customWidth="1"/>
    <col min="1699" max="1699" width="21.140625" bestFit="1" customWidth="1"/>
    <col min="1700" max="1700" width="26.7109375" bestFit="1" customWidth="1"/>
    <col min="1701" max="1701" width="37.42578125" bestFit="1" customWidth="1"/>
    <col min="1702" max="1702" width="30.85546875" bestFit="1" customWidth="1"/>
    <col min="1703" max="1703" width="29.28515625" bestFit="1" customWidth="1"/>
    <col min="1704" max="1704" width="33" bestFit="1" customWidth="1"/>
    <col min="1705" max="1705" width="35.7109375" bestFit="1" customWidth="1"/>
    <col min="1706" max="1706" width="30.5703125" bestFit="1" customWidth="1"/>
    <col min="1707" max="1707" width="26" bestFit="1" customWidth="1"/>
    <col min="1708" max="1708" width="37" bestFit="1" customWidth="1"/>
    <col min="1709" max="1709" width="24.28515625" bestFit="1" customWidth="1"/>
    <col min="1710" max="1710" width="23.7109375" bestFit="1" customWidth="1"/>
    <col min="1711" max="1711" width="26.7109375" bestFit="1" customWidth="1"/>
    <col min="1712" max="1712" width="28.140625" bestFit="1" customWidth="1"/>
    <col min="1713" max="1713" width="32.7109375" bestFit="1" customWidth="1"/>
    <col min="1714" max="1714" width="31.28515625" bestFit="1" customWidth="1"/>
    <col min="1715" max="1715" width="31.7109375" bestFit="1" customWidth="1"/>
    <col min="1716" max="1716" width="27" bestFit="1" customWidth="1"/>
    <col min="1717" max="1717" width="24.85546875" bestFit="1" customWidth="1"/>
    <col min="1718" max="1718" width="24.5703125" bestFit="1" customWidth="1"/>
    <col min="1719" max="1719" width="26.5703125" bestFit="1" customWidth="1"/>
    <col min="1720" max="1720" width="32.42578125" bestFit="1" customWidth="1"/>
    <col min="1721" max="1721" width="26.7109375" bestFit="1" customWidth="1"/>
    <col min="1722" max="1722" width="26.140625" bestFit="1" customWidth="1"/>
    <col min="1723" max="1723" width="34.7109375" bestFit="1" customWidth="1"/>
    <col min="1724" max="1724" width="30.5703125" bestFit="1" customWidth="1"/>
    <col min="1725" max="1725" width="35" bestFit="1" customWidth="1"/>
    <col min="1726" max="1726" width="38.140625" bestFit="1" customWidth="1"/>
    <col min="1727" max="1727" width="32.85546875" bestFit="1" customWidth="1"/>
    <col min="1728" max="1728" width="31.28515625" bestFit="1" customWidth="1"/>
    <col min="1729" max="1729" width="23.7109375" bestFit="1" customWidth="1"/>
    <col min="1730" max="1730" width="25.5703125" bestFit="1" customWidth="1"/>
    <col min="1731" max="1731" width="28.5703125" bestFit="1" customWidth="1"/>
    <col min="1732" max="1732" width="25.140625" bestFit="1" customWidth="1"/>
    <col min="1733" max="1733" width="31.140625" bestFit="1" customWidth="1"/>
    <col min="1734" max="1734" width="37" bestFit="1" customWidth="1"/>
    <col min="1735" max="1735" width="21" bestFit="1" customWidth="1"/>
    <col min="1736" max="1736" width="31.42578125" bestFit="1" customWidth="1"/>
    <col min="1737" max="1737" width="27.140625" bestFit="1" customWidth="1"/>
    <col min="1738" max="1738" width="24.28515625" bestFit="1" customWidth="1"/>
    <col min="1739" max="1739" width="36" bestFit="1" customWidth="1"/>
    <col min="1740" max="1740" width="32.140625" bestFit="1" customWidth="1"/>
    <col min="1741" max="1741" width="31.5703125" bestFit="1" customWidth="1"/>
    <col min="1742" max="1742" width="41.5703125" bestFit="1" customWidth="1"/>
    <col min="1743" max="1743" width="45.140625" bestFit="1" customWidth="1"/>
    <col min="1744" max="1744" width="31.140625" bestFit="1" customWidth="1"/>
    <col min="1745" max="1745" width="30.28515625" bestFit="1" customWidth="1"/>
    <col min="1746" max="1746" width="33" bestFit="1" customWidth="1"/>
    <col min="1747" max="1747" width="35.28515625" bestFit="1" customWidth="1"/>
    <col min="1748" max="1748" width="32.42578125" bestFit="1" customWidth="1"/>
    <col min="1749" max="1749" width="37" bestFit="1" customWidth="1"/>
    <col min="1750" max="1750" width="28.7109375" bestFit="1" customWidth="1"/>
    <col min="1751" max="1751" width="33" bestFit="1" customWidth="1"/>
    <col min="1752" max="1752" width="36.140625" bestFit="1" customWidth="1"/>
    <col min="1753" max="1753" width="27.28515625" bestFit="1" customWidth="1"/>
    <col min="1754" max="1754" width="36.28515625" bestFit="1" customWidth="1"/>
    <col min="1755" max="1755" width="31.85546875" bestFit="1" customWidth="1"/>
    <col min="1756" max="1756" width="35" bestFit="1" customWidth="1"/>
    <col min="1757" max="1757" width="27.7109375" bestFit="1" customWidth="1"/>
    <col min="1758" max="1758" width="28.5703125" bestFit="1" customWidth="1"/>
    <col min="1759" max="1759" width="31.85546875" bestFit="1" customWidth="1"/>
    <col min="1760" max="1760" width="29.42578125" bestFit="1" customWidth="1"/>
    <col min="1761" max="1761" width="27.42578125" bestFit="1" customWidth="1"/>
    <col min="1762" max="1762" width="32.140625" bestFit="1" customWidth="1"/>
    <col min="1763" max="1763" width="27.28515625" bestFit="1" customWidth="1"/>
    <col min="1764" max="1764" width="33.5703125" bestFit="1" customWidth="1"/>
    <col min="1765" max="1765" width="23.42578125" bestFit="1" customWidth="1"/>
    <col min="1766" max="1766" width="35.5703125" bestFit="1" customWidth="1"/>
    <col min="1767" max="1767" width="34.5703125" bestFit="1" customWidth="1"/>
    <col min="1768" max="1768" width="25.28515625" bestFit="1" customWidth="1"/>
    <col min="1769" max="1769" width="34.28515625" bestFit="1" customWidth="1"/>
    <col min="1770" max="1770" width="25.28515625" bestFit="1" customWidth="1"/>
    <col min="1771" max="1771" width="34" bestFit="1" customWidth="1"/>
    <col min="1772" max="1772" width="33.42578125" bestFit="1" customWidth="1"/>
    <col min="1773" max="1773" width="36.5703125" bestFit="1" customWidth="1"/>
    <col min="1774" max="1774" width="33.28515625" bestFit="1" customWidth="1"/>
    <col min="1775" max="1775" width="30.28515625" bestFit="1" customWidth="1"/>
    <col min="1776" max="1776" width="35.140625" bestFit="1" customWidth="1"/>
    <col min="1777" max="1777" width="27" bestFit="1" customWidth="1"/>
    <col min="1778" max="1778" width="36.42578125" bestFit="1" customWidth="1"/>
    <col min="1779" max="1779" width="32.7109375" bestFit="1" customWidth="1"/>
    <col min="1780" max="1780" width="33.85546875" bestFit="1" customWidth="1"/>
    <col min="1781" max="1781" width="37.7109375" bestFit="1" customWidth="1"/>
    <col min="1782" max="1782" width="35.140625" bestFit="1" customWidth="1"/>
    <col min="1783" max="1783" width="35.42578125" bestFit="1" customWidth="1"/>
    <col min="1784" max="1784" width="26" bestFit="1" customWidth="1"/>
    <col min="1785" max="1785" width="26.5703125" bestFit="1" customWidth="1"/>
    <col min="1786" max="1786" width="22.5703125" bestFit="1" customWidth="1"/>
    <col min="1787" max="1787" width="27.28515625" bestFit="1" customWidth="1"/>
    <col min="1788" max="1788" width="34" bestFit="1" customWidth="1"/>
    <col min="1789" max="1789" width="30.140625" bestFit="1" customWidth="1"/>
    <col min="1790" max="1790" width="26.5703125" bestFit="1" customWidth="1"/>
    <col min="1791" max="1791" width="28.42578125" bestFit="1" customWidth="1"/>
    <col min="1792" max="1792" width="23.85546875" bestFit="1" customWidth="1"/>
    <col min="1793" max="1793" width="21.7109375" bestFit="1" customWidth="1"/>
    <col min="1794" max="1794" width="29" bestFit="1" customWidth="1"/>
    <col min="1795" max="1795" width="39.5703125" bestFit="1" customWidth="1"/>
    <col min="1796" max="1796" width="34.140625" bestFit="1" customWidth="1"/>
    <col min="1797" max="1797" width="35" bestFit="1" customWidth="1"/>
    <col min="1798" max="1798" width="37.42578125" bestFit="1" customWidth="1"/>
    <col min="1799" max="1799" width="37" bestFit="1" customWidth="1"/>
    <col min="1800" max="1800" width="31.28515625" bestFit="1" customWidth="1"/>
    <col min="1801" max="1801" width="30" bestFit="1" customWidth="1"/>
    <col min="1802" max="1802" width="27.7109375" bestFit="1" customWidth="1"/>
    <col min="1803" max="1803" width="30.85546875" bestFit="1" customWidth="1"/>
    <col min="1804" max="1804" width="31.140625" bestFit="1" customWidth="1"/>
    <col min="1805" max="1805" width="33.5703125" bestFit="1" customWidth="1"/>
    <col min="1806" max="1806" width="30.7109375" bestFit="1" customWidth="1"/>
    <col min="1807" max="1807" width="25.7109375" bestFit="1" customWidth="1"/>
    <col min="1808" max="1808" width="34.140625" bestFit="1" customWidth="1"/>
    <col min="1809" max="1809" width="27.85546875" bestFit="1" customWidth="1"/>
    <col min="1810" max="1810" width="23.7109375" bestFit="1" customWidth="1"/>
    <col min="1811" max="1811" width="30.85546875" bestFit="1" customWidth="1"/>
    <col min="1812" max="1812" width="29" bestFit="1" customWidth="1"/>
    <col min="1813" max="1813" width="38.85546875" bestFit="1" customWidth="1"/>
    <col min="1814" max="1814" width="36.5703125" bestFit="1" customWidth="1"/>
    <col min="1815" max="1815" width="23.85546875" bestFit="1" customWidth="1"/>
    <col min="1816" max="1816" width="27.7109375" bestFit="1" customWidth="1"/>
    <col min="1817" max="1817" width="35.28515625" bestFit="1" customWidth="1"/>
    <col min="1818" max="1818" width="29.85546875" bestFit="1" customWidth="1"/>
    <col min="1819" max="1819" width="29.7109375" bestFit="1" customWidth="1"/>
    <col min="1820" max="1820" width="31.42578125" bestFit="1" customWidth="1"/>
    <col min="1821" max="1821" width="30.28515625" bestFit="1" customWidth="1"/>
    <col min="1822" max="1822" width="30.85546875" bestFit="1" customWidth="1"/>
    <col min="1823" max="1823" width="31.28515625" bestFit="1" customWidth="1"/>
    <col min="1824" max="1824" width="36.7109375" bestFit="1" customWidth="1"/>
    <col min="1825" max="1825" width="26.42578125" bestFit="1" customWidth="1"/>
    <col min="1826" max="1826" width="26.140625" bestFit="1" customWidth="1"/>
    <col min="1827" max="1827" width="27.85546875" bestFit="1" customWidth="1"/>
    <col min="1828" max="1828" width="30.140625" bestFit="1" customWidth="1"/>
    <col min="1829" max="1829" width="34.28515625" bestFit="1" customWidth="1"/>
    <col min="1830" max="1830" width="28.7109375" bestFit="1" customWidth="1"/>
    <col min="1831" max="1831" width="31.7109375" bestFit="1" customWidth="1"/>
    <col min="1832" max="1832" width="40" bestFit="1" customWidth="1"/>
    <col min="1833" max="1833" width="29.140625" bestFit="1" customWidth="1"/>
    <col min="1834" max="1834" width="41.28515625" bestFit="1" customWidth="1"/>
    <col min="1835" max="1835" width="29.42578125" bestFit="1" customWidth="1"/>
    <col min="1836" max="1836" width="32.5703125" bestFit="1" customWidth="1"/>
    <col min="1837" max="1837" width="24.28515625" bestFit="1" customWidth="1"/>
    <col min="1838" max="1838" width="41.85546875" bestFit="1" customWidth="1"/>
    <col min="1839" max="1839" width="29.28515625" bestFit="1" customWidth="1"/>
    <col min="1840" max="1840" width="35.28515625" bestFit="1" customWidth="1"/>
    <col min="1841" max="1841" width="31.5703125" bestFit="1" customWidth="1"/>
    <col min="1842" max="1842" width="35.7109375" bestFit="1" customWidth="1"/>
    <col min="1843" max="1843" width="26.42578125" bestFit="1" customWidth="1"/>
    <col min="1844" max="1844" width="36.140625" bestFit="1" customWidth="1"/>
    <col min="1845" max="1845" width="30.85546875" bestFit="1" customWidth="1"/>
    <col min="1846" max="1846" width="30.42578125" bestFit="1" customWidth="1"/>
    <col min="1847" max="1847" width="25.140625" bestFit="1" customWidth="1"/>
    <col min="1848" max="1848" width="29.7109375" bestFit="1" customWidth="1"/>
    <col min="1849" max="1849" width="25.85546875" bestFit="1" customWidth="1"/>
    <col min="1850" max="1850" width="28.28515625" bestFit="1" customWidth="1"/>
    <col min="1851" max="1851" width="28.7109375" bestFit="1" customWidth="1"/>
    <col min="1852" max="1852" width="33.28515625" bestFit="1" customWidth="1"/>
    <col min="1853" max="1853" width="23.85546875" bestFit="1" customWidth="1"/>
    <col min="1854" max="1854" width="23.5703125" bestFit="1" customWidth="1"/>
    <col min="1855" max="1855" width="24" bestFit="1" customWidth="1"/>
    <col min="1856" max="1856" width="28.7109375" bestFit="1" customWidth="1"/>
    <col min="1857" max="1857" width="27.28515625" bestFit="1" customWidth="1"/>
    <col min="1858" max="1858" width="28.5703125" bestFit="1" customWidth="1"/>
    <col min="1859" max="1859" width="30.140625" bestFit="1" customWidth="1"/>
    <col min="1860" max="1860" width="45" bestFit="1" customWidth="1"/>
    <col min="1861" max="1861" width="31.5703125" bestFit="1" customWidth="1"/>
    <col min="1862" max="1862" width="36.42578125" bestFit="1" customWidth="1"/>
    <col min="1863" max="1863" width="22.85546875" bestFit="1" customWidth="1"/>
    <col min="1864" max="1864" width="31.7109375" bestFit="1" customWidth="1"/>
    <col min="1865" max="1865" width="38.42578125" bestFit="1" customWidth="1"/>
    <col min="1866" max="1866" width="27.7109375" bestFit="1" customWidth="1"/>
    <col min="1867" max="1867" width="22.85546875" bestFit="1" customWidth="1"/>
    <col min="1868" max="1868" width="29.85546875" bestFit="1" customWidth="1"/>
    <col min="1869" max="1869" width="32.7109375" bestFit="1" customWidth="1"/>
    <col min="1870" max="1870" width="28.140625" bestFit="1" customWidth="1"/>
    <col min="1871" max="1871" width="26.5703125" bestFit="1" customWidth="1"/>
    <col min="1872" max="1872" width="29" bestFit="1" customWidth="1"/>
    <col min="1873" max="1873" width="29.28515625" bestFit="1" customWidth="1"/>
    <col min="1874" max="1874" width="24.28515625" bestFit="1" customWidth="1"/>
    <col min="1875" max="1875" width="30.28515625" bestFit="1" customWidth="1"/>
    <col min="1876" max="1876" width="26.42578125" bestFit="1" customWidth="1"/>
    <col min="1877" max="1877" width="34" bestFit="1" customWidth="1"/>
    <col min="1878" max="1878" width="30.5703125" bestFit="1" customWidth="1"/>
    <col min="1879" max="1879" width="36.28515625" bestFit="1" customWidth="1"/>
    <col min="1880" max="1880" width="33.42578125" bestFit="1" customWidth="1"/>
    <col min="1881" max="1881" width="33.140625" bestFit="1" customWidth="1"/>
    <col min="1882" max="1882" width="31.85546875" bestFit="1" customWidth="1"/>
    <col min="1883" max="1883" width="38.42578125" bestFit="1" customWidth="1"/>
    <col min="1884" max="1884" width="28.7109375" bestFit="1" customWidth="1"/>
    <col min="1885" max="1885" width="34.28515625" bestFit="1" customWidth="1"/>
    <col min="1886" max="1886" width="35.28515625" bestFit="1" customWidth="1"/>
    <col min="1887" max="1887" width="35.5703125" bestFit="1" customWidth="1"/>
    <col min="1888" max="1888" width="30.140625" bestFit="1" customWidth="1"/>
    <col min="1889" max="1889" width="34.42578125" bestFit="1" customWidth="1"/>
    <col min="1890" max="1890" width="33.140625" bestFit="1" customWidth="1"/>
    <col min="1891" max="1891" width="33.28515625" bestFit="1" customWidth="1"/>
    <col min="1892" max="1892" width="47.42578125" bestFit="1" customWidth="1"/>
    <col min="1893" max="1893" width="29.85546875" bestFit="1" customWidth="1"/>
    <col min="1894" max="1895" width="32.28515625" bestFit="1" customWidth="1"/>
    <col min="1896" max="1896" width="32.7109375" bestFit="1" customWidth="1"/>
    <col min="1897" max="1897" width="29.85546875" bestFit="1" customWidth="1"/>
    <col min="1898" max="1898" width="30.85546875" bestFit="1" customWidth="1"/>
    <col min="1899" max="1899" width="30.42578125" bestFit="1" customWidth="1"/>
    <col min="1900" max="1900" width="29.85546875" bestFit="1" customWidth="1"/>
    <col min="1901" max="1901" width="32" bestFit="1" customWidth="1"/>
    <col min="1902" max="1902" width="31" bestFit="1" customWidth="1"/>
    <col min="1903" max="1903" width="29.85546875" bestFit="1" customWidth="1"/>
    <col min="1904" max="1904" width="36.42578125" bestFit="1" customWidth="1"/>
    <col min="1905" max="1905" width="39.85546875" bestFit="1" customWidth="1"/>
    <col min="1906" max="1906" width="28.5703125" bestFit="1" customWidth="1"/>
    <col min="1907" max="1907" width="32.7109375" bestFit="1" customWidth="1"/>
    <col min="1908" max="1908" width="26.7109375" bestFit="1" customWidth="1"/>
    <col min="1909" max="1909" width="29.28515625" bestFit="1" customWidth="1"/>
    <col min="1910" max="1910" width="31.5703125" bestFit="1" customWidth="1"/>
    <col min="1911" max="1911" width="35.42578125" bestFit="1" customWidth="1"/>
    <col min="1912" max="1912" width="32.7109375" bestFit="1" customWidth="1"/>
    <col min="1913" max="1913" width="28.5703125" bestFit="1" customWidth="1"/>
    <col min="1914" max="1914" width="32.28515625" bestFit="1" customWidth="1"/>
    <col min="1915" max="1915" width="32.85546875" bestFit="1" customWidth="1"/>
    <col min="1916" max="1916" width="31" bestFit="1" customWidth="1"/>
    <col min="1917" max="1917" width="32.5703125" bestFit="1" customWidth="1"/>
    <col min="1918" max="1918" width="26" bestFit="1" customWidth="1"/>
    <col min="1919" max="1919" width="23.85546875" bestFit="1" customWidth="1"/>
    <col min="1920" max="1920" width="35" bestFit="1" customWidth="1"/>
    <col min="1921" max="1921" width="27.42578125" bestFit="1" customWidth="1"/>
    <col min="1922" max="1922" width="29.85546875" bestFit="1" customWidth="1"/>
    <col min="1923" max="1923" width="37.28515625" bestFit="1" customWidth="1"/>
    <col min="1924" max="1924" width="31.85546875" bestFit="1" customWidth="1"/>
    <col min="1925" max="1925" width="27" bestFit="1" customWidth="1"/>
    <col min="1926" max="1926" width="24.5703125" bestFit="1" customWidth="1"/>
    <col min="1927" max="1927" width="28.85546875" bestFit="1" customWidth="1"/>
    <col min="1928" max="1928" width="40.5703125" bestFit="1" customWidth="1"/>
    <col min="1929" max="1929" width="28.28515625" bestFit="1" customWidth="1"/>
    <col min="1930" max="1930" width="25.140625" bestFit="1" customWidth="1"/>
    <col min="1931" max="1931" width="26.140625" bestFit="1" customWidth="1"/>
    <col min="1932" max="1932" width="34.85546875" bestFit="1" customWidth="1"/>
    <col min="1933" max="1933" width="31" bestFit="1" customWidth="1"/>
    <col min="1934" max="1934" width="36.85546875" bestFit="1" customWidth="1"/>
    <col min="1935" max="1935" width="30.7109375" bestFit="1" customWidth="1"/>
    <col min="1936" max="1936" width="28.85546875" bestFit="1" customWidth="1"/>
    <col min="1937" max="1937" width="33.5703125" bestFit="1" customWidth="1"/>
    <col min="1938" max="1938" width="34.85546875" bestFit="1" customWidth="1"/>
    <col min="1939" max="1939" width="44.7109375" bestFit="1" customWidth="1"/>
    <col min="1940" max="1940" width="29.85546875" bestFit="1" customWidth="1"/>
    <col min="1941" max="1941" width="34.7109375" bestFit="1" customWidth="1"/>
    <col min="1942" max="1942" width="31.42578125" bestFit="1" customWidth="1"/>
    <col min="1943" max="1943" width="33.42578125" bestFit="1" customWidth="1"/>
    <col min="1944" max="1944" width="35.28515625" bestFit="1" customWidth="1"/>
    <col min="1945" max="1945" width="36" bestFit="1" customWidth="1"/>
    <col min="1946" max="1946" width="37.7109375" bestFit="1" customWidth="1"/>
    <col min="1947" max="1947" width="39" bestFit="1" customWidth="1"/>
    <col min="1948" max="1948" width="35" bestFit="1" customWidth="1"/>
    <col min="1949" max="1949" width="39.7109375" bestFit="1" customWidth="1"/>
    <col min="1950" max="1950" width="33.140625" bestFit="1" customWidth="1"/>
    <col min="1951" max="1951" width="36.28515625" bestFit="1" customWidth="1"/>
    <col min="1952" max="1952" width="40" bestFit="1" customWidth="1"/>
    <col min="1953" max="1953" width="29.7109375" bestFit="1" customWidth="1"/>
    <col min="1954" max="1954" width="33.5703125" bestFit="1" customWidth="1"/>
    <col min="1955" max="1955" width="36.7109375" bestFit="1" customWidth="1"/>
    <col min="1956" max="1956" width="29.42578125" bestFit="1" customWidth="1"/>
    <col min="1957" max="1957" width="28.5703125" bestFit="1" customWidth="1"/>
    <col min="1958" max="1958" width="32.85546875" bestFit="1" customWidth="1"/>
    <col min="1959" max="1959" width="45.7109375" bestFit="1" customWidth="1"/>
    <col min="1960" max="1960" width="20" bestFit="1" customWidth="1"/>
    <col min="1961" max="1961" width="32" bestFit="1" customWidth="1"/>
    <col min="1962" max="1962" width="34.140625" bestFit="1" customWidth="1"/>
    <col min="1963" max="1963" width="33.85546875" bestFit="1" customWidth="1"/>
    <col min="1964" max="1964" width="32.85546875" bestFit="1" customWidth="1"/>
    <col min="1965" max="1965" width="30.7109375" bestFit="1" customWidth="1"/>
    <col min="1966" max="1966" width="31.85546875" bestFit="1" customWidth="1"/>
    <col min="1967" max="1967" width="31" bestFit="1" customWidth="1"/>
    <col min="1968" max="1968" width="33.28515625" bestFit="1" customWidth="1"/>
    <col min="1969" max="1969" width="27.85546875" bestFit="1" customWidth="1"/>
    <col min="1970" max="1970" width="40.7109375" bestFit="1" customWidth="1"/>
    <col min="1971" max="1971" width="40.42578125" bestFit="1" customWidth="1"/>
    <col min="1972" max="1972" width="32.5703125" bestFit="1" customWidth="1"/>
    <col min="1973" max="1973" width="32.85546875" bestFit="1" customWidth="1"/>
    <col min="1974" max="1974" width="36.28515625" bestFit="1" customWidth="1"/>
    <col min="1975" max="1976" width="28.7109375" bestFit="1" customWidth="1"/>
    <col min="1977" max="1977" width="33.5703125" bestFit="1" customWidth="1"/>
    <col min="1978" max="1978" width="27.85546875" bestFit="1" customWidth="1"/>
    <col min="1979" max="1979" width="31.28515625" bestFit="1" customWidth="1"/>
    <col min="1980" max="1980" width="24" bestFit="1" customWidth="1"/>
    <col min="1981" max="1981" width="39" bestFit="1" customWidth="1"/>
    <col min="1982" max="1982" width="27.28515625" bestFit="1" customWidth="1"/>
    <col min="1983" max="1983" width="35.5703125" bestFit="1" customWidth="1"/>
    <col min="1984" max="1984" width="30.5703125" bestFit="1" customWidth="1"/>
    <col min="1985" max="1985" width="28.28515625" bestFit="1" customWidth="1"/>
    <col min="1986" max="1986" width="30.7109375" bestFit="1" customWidth="1"/>
    <col min="1987" max="1987" width="25.85546875" bestFit="1" customWidth="1"/>
    <col min="1988" max="1988" width="32.140625" bestFit="1" customWidth="1"/>
    <col min="1989" max="1989" width="30.140625" bestFit="1" customWidth="1"/>
    <col min="1990" max="1990" width="28.42578125" bestFit="1" customWidth="1"/>
    <col min="1991" max="1991" width="23.42578125" bestFit="1" customWidth="1"/>
    <col min="1992" max="1992" width="39.5703125" bestFit="1" customWidth="1"/>
    <col min="1993" max="1993" width="38.42578125" bestFit="1" customWidth="1"/>
    <col min="1994" max="1994" width="29.28515625" bestFit="1" customWidth="1"/>
    <col min="1995" max="1995" width="29.85546875" bestFit="1" customWidth="1"/>
    <col min="1996" max="1996" width="32.85546875" bestFit="1" customWidth="1"/>
    <col min="1997" max="1997" width="33.42578125" bestFit="1" customWidth="1"/>
    <col min="1998" max="1998" width="41.140625" bestFit="1" customWidth="1"/>
    <col min="1999" max="1999" width="32" bestFit="1" customWidth="1"/>
    <col min="2000" max="2000" width="30.140625" bestFit="1" customWidth="1"/>
    <col min="2001" max="2001" width="36.7109375" bestFit="1" customWidth="1"/>
    <col min="2002" max="2002" width="41.140625" bestFit="1" customWidth="1"/>
    <col min="2003" max="2003" width="33.140625" bestFit="1" customWidth="1"/>
    <col min="2004" max="2004" width="29.85546875" bestFit="1" customWidth="1"/>
    <col min="2005" max="2005" width="42.140625" bestFit="1" customWidth="1"/>
    <col min="2006" max="2006" width="43.85546875" bestFit="1" customWidth="1"/>
    <col min="2007" max="2007" width="36.85546875" bestFit="1" customWidth="1"/>
    <col min="2008" max="2008" width="36.5703125" bestFit="1" customWidth="1"/>
    <col min="2009" max="2009" width="31.42578125" bestFit="1" customWidth="1"/>
    <col min="2010" max="2010" width="26.42578125" bestFit="1" customWidth="1"/>
    <col min="2011" max="2011" width="42.5703125" bestFit="1" customWidth="1"/>
    <col min="2012" max="2012" width="28.42578125" bestFit="1" customWidth="1"/>
    <col min="2013" max="2013" width="29.42578125" bestFit="1" customWidth="1"/>
    <col min="2014" max="2014" width="34.85546875" bestFit="1" customWidth="1"/>
    <col min="2015" max="2015" width="35.85546875" bestFit="1" customWidth="1"/>
    <col min="2016" max="2016" width="28.5703125" bestFit="1" customWidth="1"/>
    <col min="2017" max="2017" width="34.140625" bestFit="1" customWidth="1"/>
    <col min="2018" max="2018" width="32.28515625" bestFit="1" customWidth="1"/>
    <col min="2019" max="2019" width="30.7109375" bestFit="1" customWidth="1"/>
    <col min="2020" max="2020" width="37.28515625" bestFit="1" customWidth="1"/>
    <col min="2021" max="2021" width="27.85546875" bestFit="1" customWidth="1"/>
    <col min="2022" max="2022" width="27.7109375" bestFit="1" customWidth="1"/>
    <col min="2023" max="2023" width="32.7109375" bestFit="1" customWidth="1"/>
    <col min="2024" max="2024" width="36.5703125" bestFit="1" customWidth="1"/>
    <col min="2025" max="2025" width="38.7109375" bestFit="1" customWidth="1"/>
    <col min="2026" max="2026" width="37.7109375" bestFit="1" customWidth="1"/>
    <col min="2027" max="2027" width="41.28515625" bestFit="1" customWidth="1"/>
    <col min="2028" max="2028" width="31.7109375" bestFit="1" customWidth="1"/>
    <col min="2029" max="2029" width="33.140625" bestFit="1" customWidth="1"/>
    <col min="2030" max="2030" width="32.5703125" bestFit="1" customWidth="1"/>
    <col min="2031" max="2031" width="37" bestFit="1" customWidth="1"/>
    <col min="2032" max="2032" width="35.42578125" bestFit="1" customWidth="1"/>
    <col min="2033" max="2033" width="26.42578125" bestFit="1" customWidth="1"/>
    <col min="2034" max="2034" width="37.42578125" bestFit="1" customWidth="1"/>
    <col min="2035" max="2035" width="37.28515625" bestFit="1" customWidth="1"/>
    <col min="2036" max="2036" width="28.42578125" bestFit="1" customWidth="1"/>
    <col min="2037" max="2037" width="31.28515625" bestFit="1" customWidth="1"/>
    <col min="2038" max="2038" width="31.7109375" bestFit="1" customWidth="1"/>
    <col min="2039" max="2039" width="29.140625" bestFit="1" customWidth="1"/>
    <col min="2040" max="2040" width="32.7109375" bestFit="1" customWidth="1"/>
    <col min="2041" max="2041" width="35.5703125" bestFit="1" customWidth="1"/>
    <col min="2042" max="2042" width="27.28515625" bestFit="1" customWidth="1"/>
    <col min="2043" max="2043" width="36.7109375" bestFit="1" customWidth="1"/>
    <col min="2044" max="2044" width="40.5703125" bestFit="1" customWidth="1"/>
    <col min="2045" max="2045" width="37.5703125" bestFit="1" customWidth="1"/>
    <col min="2046" max="2046" width="32" bestFit="1" customWidth="1"/>
    <col min="2047" max="2047" width="39.5703125" bestFit="1" customWidth="1"/>
    <col min="2048" max="2048" width="31.140625" bestFit="1" customWidth="1"/>
    <col min="2049" max="2049" width="28.140625" bestFit="1" customWidth="1"/>
    <col min="2050" max="2050" width="25.5703125" bestFit="1" customWidth="1"/>
    <col min="2051" max="2051" width="31.7109375" bestFit="1" customWidth="1"/>
    <col min="2052" max="2052" width="35.140625" bestFit="1" customWidth="1"/>
    <col min="2053" max="2053" width="33" bestFit="1" customWidth="1"/>
    <col min="2054" max="2054" width="49.140625" bestFit="1" customWidth="1"/>
    <col min="2055" max="2055" width="24" bestFit="1" customWidth="1"/>
    <col min="2056" max="2056" width="32.42578125" bestFit="1" customWidth="1"/>
    <col min="2057" max="2057" width="27" bestFit="1" customWidth="1"/>
    <col min="2058" max="2058" width="43.140625" bestFit="1" customWidth="1"/>
    <col min="2059" max="2059" width="33.85546875" bestFit="1" customWidth="1"/>
    <col min="2060" max="2060" width="29" bestFit="1" customWidth="1"/>
    <col min="2061" max="2061" width="40.5703125" bestFit="1" customWidth="1"/>
    <col min="2062" max="2062" width="38.28515625" bestFit="1" customWidth="1"/>
    <col min="2063" max="2063" width="29.140625" bestFit="1" customWidth="1"/>
    <col min="2064" max="2064" width="29.7109375" bestFit="1" customWidth="1"/>
    <col min="2065" max="2065" width="34.28515625" bestFit="1" customWidth="1"/>
    <col min="2066" max="2066" width="31.85546875" bestFit="1" customWidth="1"/>
    <col min="2067" max="2067" width="27.7109375" bestFit="1" customWidth="1"/>
    <col min="2068" max="2068" width="31.42578125" bestFit="1" customWidth="1"/>
    <col min="2069" max="2069" width="31.7109375" bestFit="1" customWidth="1"/>
    <col min="2070" max="2070" width="29.7109375" bestFit="1" customWidth="1"/>
    <col min="2071" max="2071" width="35.140625" bestFit="1" customWidth="1"/>
    <col min="2072" max="2072" width="27.140625" bestFit="1" customWidth="1"/>
    <col min="2073" max="2073" width="35.5703125" bestFit="1" customWidth="1"/>
    <col min="2074" max="2074" width="27" bestFit="1" customWidth="1"/>
    <col min="2075" max="2075" width="20.5703125" bestFit="1" customWidth="1"/>
    <col min="2076" max="2076" width="28.140625" bestFit="1" customWidth="1"/>
    <col min="2077" max="2077" width="41.42578125" bestFit="1" customWidth="1"/>
    <col min="2078" max="2078" width="30.42578125" bestFit="1" customWidth="1"/>
    <col min="2079" max="2079" width="34.5703125" bestFit="1" customWidth="1"/>
    <col min="2080" max="2080" width="28.7109375" bestFit="1" customWidth="1"/>
    <col min="2081" max="2081" width="30" bestFit="1" customWidth="1"/>
    <col min="2082" max="2082" width="26.7109375" bestFit="1" customWidth="1"/>
    <col min="2083" max="2083" width="27.42578125" bestFit="1" customWidth="1"/>
    <col min="2084" max="2084" width="32" bestFit="1" customWidth="1"/>
    <col min="2085" max="2085" width="40.140625" bestFit="1" customWidth="1"/>
    <col min="2086" max="2086" width="41.85546875" bestFit="1" customWidth="1"/>
    <col min="2087" max="2087" width="35" bestFit="1" customWidth="1"/>
    <col min="2088" max="2088" width="38.5703125" bestFit="1" customWidth="1"/>
    <col min="2089" max="2089" width="33.42578125" bestFit="1" customWidth="1"/>
    <col min="2090" max="2090" width="41.140625" bestFit="1" customWidth="1"/>
    <col min="2091" max="2091" width="38" bestFit="1" customWidth="1"/>
    <col min="2092" max="2092" width="42.140625" bestFit="1" customWidth="1"/>
    <col min="2093" max="2093" width="29.140625" bestFit="1" customWidth="1"/>
    <col min="2094" max="2094" width="45.42578125" bestFit="1" customWidth="1"/>
    <col min="2095" max="2095" width="28.7109375" bestFit="1" customWidth="1"/>
    <col min="2096" max="2096" width="38.7109375" bestFit="1" customWidth="1"/>
    <col min="2097" max="2097" width="35.85546875" bestFit="1" customWidth="1"/>
    <col min="2098" max="2098" width="37" bestFit="1" customWidth="1"/>
    <col min="2099" max="2099" width="33.140625" bestFit="1" customWidth="1"/>
    <col min="2100" max="2100" width="38.7109375" bestFit="1" customWidth="1"/>
    <col min="2101" max="2101" width="27.85546875" bestFit="1" customWidth="1"/>
    <col min="2102" max="2102" width="34.7109375" bestFit="1" customWidth="1"/>
    <col min="2103" max="2103" width="34" bestFit="1" customWidth="1"/>
    <col min="2104" max="2104" width="34.5703125" bestFit="1" customWidth="1"/>
    <col min="2105" max="2105" width="32.140625" bestFit="1" customWidth="1"/>
    <col min="2106" max="2106" width="34.85546875" bestFit="1" customWidth="1"/>
    <col min="2107" max="2107" width="29.28515625" bestFit="1" customWidth="1"/>
    <col min="2108" max="2108" width="32.5703125" bestFit="1" customWidth="1"/>
    <col min="2109" max="2109" width="29.7109375" bestFit="1" customWidth="1"/>
    <col min="2110" max="2110" width="31.28515625" bestFit="1" customWidth="1"/>
    <col min="2111" max="2111" width="35.28515625" bestFit="1" customWidth="1"/>
    <col min="2112" max="2113" width="33.85546875" bestFit="1" customWidth="1"/>
    <col min="2114" max="2114" width="38.28515625" bestFit="1" customWidth="1"/>
    <col min="2115" max="2115" width="36.5703125" bestFit="1" customWidth="1"/>
    <col min="2116" max="2116" width="33.5703125" bestFit="1" customWidth="1"/>
    <col min="2117" max="2117" width="19" bestFit="1" customWidth="1"/>
    <col min="2118" max="2118" width="37.28515625" bestFit="1" customWidth="1"/>
    <col min="2119" max="2119" width="40.140625" bestFit="1" customWidth="1"/>
    <col min="2120" max="2120" width="28.5703125" bestFit="1" customWidth="1"/>
    <col min="2121" max="2121" width="36.7109375" bestFit="1" customWidth="1"/>
    <col min="2122" max="2122" width="33.5703125" bestFit="1" customWidth="1"/>
    <col min="2123" max="2123" width="32.42578125" bestFit="1" customWidth="1"/>
    <col min="2124" max="2124" width="30.42578125" bestFit="1" customWidth="1"/>
    <col min="2125" max="2125" width="33.5703125" bestFit="1" customWidth="1"/>
    <col min="2126" max="2126" width="26.85546875" bestFit="1" customWidth="1"/>
    <col min="2127" max="2127" width="27" bestFit="1" customWidth="1"/>
    <col min="2128" max="2128" width="32.5703125" bestFit="1" customWidth="1"/>
    <col min="2129" max="2129" width="25.5703125" bestFit="1" customWidth="1"/>
    <col min="2130" max="2130" width="27.7109375" bestFit="1" customWidth="1"/>
    <col min="2131" max="2131" width="32" bestFit="1" customWidth="1"/>
    <col min="2132" max="2132" width="32.28515625" bestFit="1" customWidth="1"/>
    <col min="2133" max="2133" width="31.42578125" bestFit="1" customWidth="1"/>
    <col min="2134" max="2134" width="26.42578125" bestFit="1" customWidth="1"/>
    <col min="2135" max="2135" width="30" bestFit="1" customWidth="1"/>
    <col min="2136" max="2136" width="28.28515625" bestFit="1" customWidth="1"/>
    <col min="2137" max="2137" width="31.28515625" bestFit="1" customWidth="1"/>
    <col min="2138" max="2138" width="32.28515625" bestFit="1" customWidth="1"/>
    <col min="2139" max="2139" width="26.7109375" bestFit="1" customWidth="1"/>
    <col min="2140" max="2140" width="31.7109375" bestFit="1" customWidth="1"/>
    <col min="2141" max="2141" width="27.5703125" bestFit="1" customWidth="1"/>
    <col min="2142" max="2142" width="28" bestFit="1" customWidth="1"/>
    <col min="2143" max="2143" width="30.85546875" bestFit="1" customWidth="1"/>
    <col min="2144" max="2144" width="36.5703125" bestFit="1" customWidth="1"/>
    <col min="2145" max="2145" width="33.5703125" bestFit="1" customWidth="1"/>
    <col min="2146" max="2146" width="34.28515625" bestFit="1" customWidth="1"/>
    <col min="2147" max="2147" width="33.42578125" bestFit="1" customWidth="1"/>
    <col min="2148" max="2148" width="30.140625" bestFit="1" customWidth="1"/>
    <col min="2149" max="2149" width="25.5703125" bestFit="1" customWidth="1"/>
    <col min="2150" max="2150" width="28.28515625" bestFit="1" customWidth="1"/>
    <col min="2151" max="2151" width="33.28515625" bestFit="1" customWidth="1"/>
    <col min="2152" max="2152" width="28.7109375" bestFit="1" customWidth="1"/>
    <col min="2153" max="2153" width="27.140625" bestFit="1" customWidth="1"/>
    <col min="2154" max="2154" width="24.85546875" bestFit="1" customWidth="1"/>
    <col min="2155" max="2155" width="32.28515625" bestFit="1" customWidth="1"/>
    <col min="2156" max="2156" width="30.7109375" bestFit="1" customWidth="1"/>
    <col min="2157" max="2157" width="27.140625" bestFit="1" customWidth="1"/>
    <col min="2158" max="2158" width="36.85546875" bestFit="1" customWidth="1"/>
    <col min="2159" max="2159" width="30" bestFit="1" customWidth="1"/>
    <col min="2160" max="2160" width="37" bestFit="1" customWidth="1"/>
    <col min="2161" max="2161" width="27.28515625" bestFit="1" customWidth="1"/>
    <col min="2162" max="2162" width="34.42578125" bestFit="1" customWidth="1"/>
    <col min="2163" max="2163" width="34" bestFit="1" customWidth="1"/>
    <col min="2164" max="2164" width="35" bestFit="1" customWidth="1"/>
    <col min="2165" max="2165" width="28" bestFit="1" customWidth="1"/>
    <col min="2166" max="2166" width="28.28515625" bestFit="1" customWidth="1"/>
    <col min="2167" max="2167" width="25.28515625" bestFit="1" customWidth="1"/>
    <col min="2168" max="2168" width="39.7109375" bestFit="1" customWidth="1"/>
    <col min="2169" max="2169" width="31" bestFit="1" customWidth="1"/>
    <col min="2170" max="2170" width="31.42578125" bestFit="1" customWidth="1"/>
    <col min="2171" max="2171" width="31.85546875" bestFit="1" customWidth="1"/>
    <col min="2172" max="2172" width="27.85546875" bestFit="1" customWidth="1"/>
    <col min="2173" max="2173" width="30" bestFit="1" customWidth="1"/>
    <col min="2174" max="2174" width="37.42578125" bestFit="1" customWidth="1"/>
    <col min="2175" max="2176" width="36.42578125" bestFit="1" customWidth="1"/>
    <col min="2177" max="2177" width="36.5703125" bestFit="1" customWidth="1"/>
    <col min="2178" max="2178" width="35.42578125" bestFit="1" customWidth="1"/>
    <col min="2179" max="2179" width="36.42578125" bestFit="1" customWidth="1"/>
    <col min="2180" max="2180" width="35.28515625" bestFit="1" customWidth="1"/>
    <col min="2181" max="2181" width="34.85546875" bestFit="1" customWidth="1"/>
    <col min="2182" max="2182" width="39.5703125" bestFit="1" customWidth="1"/>
    <col min="2183" max="2183" width="32.7109375" bestFit="1" customWidth="1"/>
    <col min="2184" max="2184" width="39.7109375" bestFit="1" customWidth="1"/>
    <col min="2185" max="2185" width="40.140625" bestFit="1" customWidth="1"/>
    <col min="2186" max="2186" width="43.5703125" bestFit="1" customWidth="1"/>
    <col min="2187" max="2187" width="34.5703125" bestFit="1" customWidth="1"/>
    <col min="2188" max="2188" width="44.28515625" bestFit="1" customWidth="1"/>
    <col min="2189" max="2189" width="32" bestFit="1" customWidth="1"/>
    <col min="2190" max="2190" width="32.5703125" bestFit="1" customWidth="1"/>
    <col min="2191" max="2191" width="34.140625" bestFit="1" customWidth="1"/>
    <col min="2192" max="2192" width="39" bestFit="1" customWidth="1"/>
    <col min="2193" max="2193" width="33" bestFit="1" customWidth="1"/>
    <col min="2194" max="2194" width="42.28515625" bestFit="1" customWidth="1"/>
    <col min="2195" max="2195" width="42.5703125" bestFit="1" customWidth="1"/>
    <col min="2196" max="2196" width="37.28515625" bestFit="1" customWidth="1"/>
    <col min="2197" max="2197" width="37.140625" bestFit="1" customWidth="1"/>
    <col min="2198" max="2198" width="38.7109375" bestFit="1" customWidth="1"/>
    <col min="2199" max="2199" width="37.7109375" bestFit="1" customWidth="1"/>
    <col min="2200" max="2200" width="38.28515625" bestFit="1" customWidth="1"/>
    <col min="2201" max="2201" width="36.85546875" bestFit="1" customWidth="1"/>
    <col min="2202" max="2202" width="42.7109375" bestFit="1" customWidth="1"/>
    <col min="2203" max="2203" width="35.42578125" bestFit="1" customWidth="1"/>
    <col min="2204" max="2204" width="50.85546875" bestFit="1" customWidth="1"/>
    <col min="2205" max="2205" width="37.42578125" bestFit="1" customWidth="1"/>
    <col min="2206" max="2206" width="40.5703125" bestFit="1" customWidth="1"/>
    <col min="2207" max="2207" width="40.7109375" bestFit="1" customWidth="1"/>
    <col min="2208" max="2208" width="46.42578125" bestFit="1" customWidth="1"/>
    <col min="2209" max="2209" width="32.85546875" bestFit="1" customWidth="1"/>
    <col min="2210" max="2210" width="22.5703125" bestFit="1" customWidth="1"/>
    <col min="2211" max="2211" width="24.5703125" bestFit="1" customWidth="1"/>
    <col min="2212" max="2212" width="29.7109375" bestFit="1" customWidth="1"/>
    <col min="2213" max="2213" width="31.140625" bestFit="1" customWidth="1"/>
    <col min="2214" max="2214" width="29.140625" bestFit="1" customWidth="1"/>
    <col min="2215" max="2215" width="24.7109375" bestFit="1" customWidth="1"/>
    <col min="2216" max="2216" width="30.140625" bestFit="1" customWidth="1"/>
    <col min="2217" max="2217" width="25.7109375" bestFit="1" customWidth="1"/>
    <col min="2218" max="2218" width="32.42578125" bestFit="1" customWidth="1"/>
    <col min="2219" max="2219" width="29.140625" bestFit="1" customWidth="1"/>
    <col min="2220" max="2220" width="40.5703125" bestFit="1" customWidth="1"/>
    <col min="2221" max="2221" width="40.85546875" bestFit="1" customWidth="1"/>
    <col min="2222" max="2222" width="34.28515625" bestFit="1" customWidth="1"/>
    <col min="2223" max="2223" width="37" bestFit="1" customWidth="1"/>
    <col min="2224" max="2224" width="34.5703125" bestFit="1" customWidth="1"/>
    <col min="2225" max="2225" width="26.5703125" bestFit="1" customWidth="1"/>
    <col min="2226" max="2226" width="32.5703125" bestFit="1" customWidth="1"/>
    <col min="2227" max="2227" width="27.140625" bestFit="1" customWidth="1"/>
    <col min="2228" max="2228" width="32.140625" bestFit="1" customWidth="1"/>
    <col min="2229" max="2229" width="34.5703125" bestFit="1" customWidth="1"/>
    <col min="2230" max="2230" width="36.7109375" bestFit="1" customWidth="1"/>
    <col min="2231" max="2231" width="24.42578125" bestFit="1" customWidth="1"/>
    <col min="2232" max="2232" width="28.7109375" bestFit="1" customWidth="1"/>
    <col min="2233" max="2233" width="31.140625" bestFit="1" customWidth="1"/>
    <col min="2234" max="2234" width="30" bestFit="1" customWidth="1"/>
    <col min="2235" max="2235" width="31.5703125" bestFit="1" customWidth="1"/>
    <col min="2236" max="2236" width="29" bestFit="1" customWidth="1"/>
    <col min="2237" max="2237" width="22.7109375" bestFit="1" customWidth="1"/>
    <col min="2238" max="2238" width="27.85546875" bestFit="1" customWidth="1"/>
    <col min="2239" max="2239" width="30.42578125" bestFit="1" customWidth="1"/>
    <col min="2240" max="2240" width="33.140625" bestFit="1" customWidth="1"/>
    <col min="2241" max="2241" width="31.140625" bestFit="1" customWidth="1"/>
    <col min="2242" max="2242" width="38.28515625" bestFit="1" customWidth="1"/>
    <col min="2243" max="2243" width="28.42578125" bestFit="1" customWidth="1"/>
    <col min="2244" max="2244" width="36" bestFit="1" customWidth="1"/>
    <col min="2245" max="2245" width="26.5703125" bestFit="1" customWidth="1"/>
    <col min="2246" max="2246" width="28.85546875" bestFit="1" customWidth="1"/>
    <col min="2247" max="2247" width="30" bestFit="1" customWidth="1"/>
    <col min="2248" max="2248" width="34.28515625" bestFit="1" customWidth="1"/>
    <col min="2249" max="2249" width="34.7109375" bestFit="1" customWidth="1"/>
    <col min="2250" max="2250" width="23.85546875" bestFit="1" customWidth="1"/>
    <col min="2251" max="2251" width="24.28515625" bestFit="1" customWidth="1"/>
    <col min="2252" max="2252" width="32.85546875" bestFit="1" customWidth="1"/>
    <col min="2253" max="2253" width="36.28515625" bestFit="1" customWidth="1"/>
    <col min="2254" max="2254" width="33.5703125" bestFit="1" customWidth="1"/>
    <col min="2255" max="2255" width="36" bestFit="1" customWidth="1"/>
    <col min="2256" max="2256" width="35.28515625" bestFit="1" customWidth="1"/>
    <col min="2257" max="2257" width="33.85546875" bestFit="1" customWidth="1"/>
    <col min="2258" max="2258" width="37.140625" bestFit="1" customWidth="1"/>
    <col min="2259" max="2259" width="41" bestFit="1" customWidth="1"/>
    <col min="2260" max="2260" width="31.85546875" bestFit="1" customWidth="1"/>
    <col min="2261" max="2261" width="35.5703125" bestFit="1" customWidth="1"/>
    <col min="2262" max="2262" width="36.5703125" bestFit="1" customWidth="1"/>
    <col min="2263" max="2263" width="39.42578125" bestFit="1" customWidth="1"/>
    <col min="2264" max="2264" width="39" bestFit="1" customWidth="1"/>
    <col min="2265" max="2265" width="39.140625" bestFit="1" customWidth="1"/>
    <col min="2266" max="2266" width="38.140625" bestFit="1" customWidth="1"/>
    <col min="2267" max="2267" width="34.28515625" bestFit="1" customWidth="1"/>
    <col min="2268" max="2268" width="39" bestFit="1" customWidth="1"/>
    <col min="2269" max="2269" width="32.140625" bestFit="1" customWidth="1"/>
    <col min="2270" max="2270" width="31.140625" bestFit="1" customWidth="1"/>
    <col min="2271" max="2271" width="36.28515625" bestFit="1" customWidth="1"/>
    <col min="2272" max="2272" width="35.5703125" bestFit="1" customWidth="1"/>
    <col min="2273" max="2273" width="26.85546875" bestFit="1" customWidth="1"/>
    <col min="2274" max="2274" width="33.140625" bestFit="1" customWidth="1"/>
    <col min="2275" max="2275" width="33" bestFit="1" customWidth="1"/>
    <col min="2276" max="2276" width="32.42578125" bestFit="1" customWidth="1"/>
    <col min="2277" max="2277" width="26.140625" bestFit="1" customWidth="1"/>
    <col min="2278" max="2278" width="35" bestFit="1" customWidth="1"/>
    <col min="2279" max="2279" width="35.140625" bestFit="1" customWidth="1"/>
    <col min="2280" max="2280" width="32.140625" bestFit="1" customWidth="1"/>
    <col min="2281" max="2281" width="33.140625" bestFit="1" customWidth="1"/>
    <col min="2282" max="2282" width="43.5703125" bestFit="1" customWidth="1"/>
    <col min="2283" max="2283" width="41.140625" bestFit="1" customWidth="1"/>
    <col min="2284" max="2284" width="41.28515625" bestFit="1" customWidth="1"/>
    <col min="2285" max="2285" width="54.28515625" bestFit="1" customWidth="1"/>
    <col min="2286" max="2286" width="41.5703125" bestFit="1" customWidth="1"/>
    <col min="2287" max="2287" width="41.85546875" bestFit="1" customWidth="1"/>
    <col min="2288" max="2288" width="44.28515625" bestFit="1" customWidth="1"/>
    <col min="2289" max="2289" width="35.5703125" bestFit="1" customWidth="1"/>
    <col min="2290" max="2290" width="40.85546875" bestFit="1" customWidth="1"/>
    <col min="2291" max="2291" width="36.140625" bestFit="1" customWidth="1"/>
    <col min="2292" max="2292" width="41.140625" bestFit="1" customWidth="1"/>
    <col min="2293" max="2293" width="40" bestFit="1" customWidth="1"/>
    <col min="2294" max="2294" width="40.7109375" bestFit="1" customWidth="1"/>
    <col min="2295" max="2295" width="42.5703125" bestFit="1" customWidth="1"/>
    <col min="2296" max="2296" width="39.28515625" bestFit="1" customWidth="1"/>
    <col min="2297" max="2297" width="42.28515625" bestFit="1" customWidth="1"/>
    <col min="2298" max="2298" width="41.85546875" bestFit="1" customWidth="1"/>
    <col min="2299" max="2299" width="46" bestFit="1" customWidth="1"/>
    <col min="2300" max="2300" width="33.28515625" bestFit="1" customWidth="1"/>
    <col min="2301" max="2301" width="35.140625" bestFit="1" customWidth="1"/>
    <col min="2302" max="2302" width="37.140625" bestFit="1" customWidth="1"/>
    <col min="2303" max="2303" width="40" bestFit="1" customWidth="1"/>
    <col min="2304" max="2304" width="28.7109375" bestFit="1" customWidth="1"/>
    <col min="2305" max="2305" width="47.42578125" bestFit="1" customWidth="1"/>
    <col min="2306" max="2306" width="55.140625" bestFit="1" customWidth="1"/>
    <col min="2307" max="2307" width="41.7109375" bestFit="1" customWidth="1"/>
    <col min="2308" max="2308" width="46.7109375" bestFit="1" customWidth="1"/>
    <col min="2309" max="2309" width="31.85546875" bestFit="1" customWidth="1"/>
    <col min="2310" max="2310" width="29.28515625" bestFit="1" customWidth="1"/>
    <col min="2311" max="2311" width="31.28515625" bestFit="1" customWidth="1"/>
    <col min="2312" max="2312" width="40.140625" bestFit="1" customWidth="1"/>
    <col min="2313" max="2313" width="34.85546875" bestFit="1" customWidth="1"/>
    <col min="2314" max="2314" width="31.140625" bestFit="1" customWidth="1"/>
    <col min="2315" max="2315" width="37" bestFit="1" customWidth="1"/>
    <col min="2316" max="2316" width="28.28515625" bestFit="1" customWidth="1"/>
    <col min="2317" max="2317" width="29.85546875" bestFit="1" customWidth="1"/>
    <col min="2318" max="2318" width="33.42578125" bestFit="1" customWidth="1"/>
    <col min="2319" max="2319" width="30.28515625" bestFit="1" customWidth="1"/>
    <col min="2320" max="2320" width="41.28515625" bestFit="1" customWidth="1"/>
    <col min="2321" max="2321" width="39.140625" bestFit="1" customWidth="1"/>
    <col min="2322" max="2322" width="42.7109375" bestFit="1" customWidth="1"/>
    <col min="2323" max="2323" width="26.28515625" bestFit="1" customWidth="1"/>
    <col min="2324" max="2324" width="27.5703125" bestFit="1" customWidth="1"/>
    <col min="2325" max="2325" width="37.140625" bestFit="1" customWidth="1"/>
    <col min="2326" max="2326" width="36.85546875" bestFit="1" customWidth="1"/>
    <col min="2327" max="2327" width="32.42578125" bestFit="1" customWidth="1"/>
    <col min="2328" max="2328" width="29.140625" bestFit="1" customWidth="1"/>
    <col min="2329" max="2329" width="32.85546875" bestFit="1" customWidth="1"/>
    <col min="2330" max="2330" width="36.7109375" bestFit="1" customWidth="1"/>
    <col min="2331" max="2331" width="27.7109375" bestFit="1" customWidth="1"/>
    <col min="2332" max="2332" width="39" bestFit="1" customWidth="1"/>
    <col min="2333" max="2333" width="41.7109375" bestFit="1" customWidth="1"/>
    <col min="2334" max="2334" width="42.28515625" bestFit="1" customWidth="1"/>
    <col min="2335" max="2335" width="31.85546875" bestFit="1" customWidth="1"/>
    <col min="2336" max="2336" width="19.28515625" bestFit="1" customWidth="1"/>
    <col min="2337" max="2337" width="36.7109375" bestFit="1" customWidth="1"/>
    <col min="2338" max="2338" width="30.85546875" bestFit="1" customWidth="1"/>
    <col min="2339" max="2339" width="35.140625" bestFit="1" customWidth="1"/>
    <col min="2340" max="2340" width="33.85546875" bestFit="1" customWidth="1"/>
    <col min="2341" max="2341" width="32.5703125" bestFit="1" customWidth="1"/>
    <col min="2342" max="2342" width="30.85546875" bestFit="1" customWidth="1"/>
    <col min="2343" max="2343" width="29.7109375" bestFit="1" customWidth="1"/>
    <col min="2344" max="2344" width="33.140625" bestFit="1" customWidth="1"/>
    <col min="2345" max="2345" width="30.7109375" bestFit="1" customWidth="1"/>
    <col min="2346" max="2346" width="28.7109375" bestFit="1" customWidth="1"/>
    <col min="2347" max="2347" width="34.85546875" bestFit="1" customWidth="1"/>
    <col min="2348" max="2348" width="28.85546875" bestFit="1" customWidth="1"/>
    <col min="2349" max="2349" width="19.140625" bestFit="1" customWidth="1"/>
    <col min="2350" max="2350" width="26.85546875" bestFit="1" customWidth="1"/>
    <col min="2351" max="2351" width="27.140625" bestFit="1" customWidth="1"/>
    <col min="2352" max="2352" width="23.85546875" bestFit="1" customWidth="1"/>
    <col min="2353" max="2353" width="27" bestFit="1" customWidth="1"/>
    <col min="2354" max="2354" width="21.5703125" bestFit="1" customWidth="1"/>
    <col min="2355" max="2355" width="26.28515625" bestFit="1" customWidth="1"/>
    <col min="2356" max="2356" width="27.5703125" bestFit="1" customWidth="1"/>
    <col min="2357" max="2357" width="27.140625" bestFit="1" customWidth="1"/>
    <col min="2358" max="2358" width="23.5703125" bestFit="1" customWidth="1"/>
    <col min="2359" max="2359" width="27.7109375" bestFit="1" customWidth="1"/>
    <col min="2360" max="2360" width="31.140625" bestFit="1" customWidth="1"/>
    <col min="2361" max="2361" width="30" bestFit="1" customWidth="1"/>
    <col min="2362" max="2362" width="27.5703125" bestFit="1" customWidth="1"/>
    <col min="2363" max="2363" width="24.140625" bestFit="1" customWidth="1"/>
    <col min="2364" max="2364" width="29.28515625" bestFit="1" customWidth="1"/>
    <col min="2365" max="2365" width="44.140625" bestFit="1" customWidth="1"/>
    <col min="2366" max="2366" width="34.42578125" bestFit="1" customWidth="1"/>
    <col min="2367" max="2367" width="35.5703125" bestFit="1" customWidth="1"/>
    <col min="2368" max="2368" width="30.28515625" bestFit="1" customWidth="1"/>
    <col min="2369" max="2369" width="35.140625" bestFit="1" customWidth="1"/>
    <col min="2370" max="2370" width="27" bestFit="1" customWidth="1"/>
    <col min="2371" max="2371" width="28.42578125" bestFit="1" customWidth="1"/>
    <col min="2372" max="2372" width="35.5703125" bestFit="1" customWidth="1"/>
    <col min="2373" max="2373" width="24.7109375" bestFit="1" customWidth="1"/>
    <col min="2374" max="2374" width="26.5703125" bestFit="1" customWidth="1"/>
    <col min="2375" max="2375" width="23.7109375" bestFit="1" customWidth="1"/>
    <col min="2376" max="2376" width="30.7109375" bestFit="1" customWidth="1"/>
    <col min="2377" max="2377" width="29.7109375" bestFit="1" customWidth="1"/>
    <col min="2378" max="2378" width="35.28515625" bestFit="1" customWidth="1"/>
    <col min="2379" max="2379" width="46.7109375" bestFit="1" customWidth="1"/>
    <col min="2380" max="2380" width="31.5703125" bestFit="1" customWidth="1"/>
    <col min="2381" max="2381" width="27.140625" bestFit="1" customWidth="1"/>
    <col min="2382" max="2382" width="28.140625" bestFit="1" customWidth="1"/>
    <col min="2383" max="2383" width="28" bestFit="1" customWidth="1"/>
    <col min="2384" max="2384" width="27" bestFit="1" customWidth="1"/>
    <col min="2385" max="2385" width="27.140625" bestFit="1" customWidth="1"/>
    <col min="2386" max="2386" width="25.7109375" bestFit="1" customWidth="1"/>
    <col min="2387" max="2387" width="24.5703125" bestFit="1" customWidth="1"/>
    <col min="2388" max="2388" width="29.140625" bestFit="1" customWidth="1"/>
    <col min="2389" max="2389" width="31.85546875" bestFit="1" customWidth="1"/>
    <col min="2390" max="2390" width="32.42578125" bestFit="1" customWidth="1"/>
    <col min="2391" max="2391" width="20.85546875" bestFit="1" customWidth="1"/>
    <col min="2392" max="2392" width="32.5703125" bestFit="1" customWidth="1"/>
    <col min="2393" max="2393" width="29.42578125" bestFit="1" customWidth="1"/>
    <col min="2394" max="2394" width="33.5703125" bestFit="1" customWidth="1"/>
    <col min="2395" max="2395" width="25" bestFit="1" customWidth="1"/>
    <col min="2396" max="2396" width="24.140625" bestFit="1" customWidth="1"/>
    <col min="2397" max="2397" width="39.28515625" bestFit="1" customWidth="1"/>
    <col min="2398" max="2398" width="28.140625" bestFit="1" customWidth="1"/>
    <col min="2399" max="2399" width="25" bestFit="1" customWidth="1"/>
    <col min="2400" max="2400" width="29.140625" bestFit="1" customWidth="1"/>
    <col min="2401" max="2401" width="22.28515625" bestFit="1" customWidth="1"/>
    <col min="2402" max="2402" width="32.28515625" bestFit="1" customWidth="1"/>
    <col min="2403" max="2403" width="26.140625" bestFit="1" customWidth="1"/>
    <col min="2404" max="2404" width="27.5703125" bestFit="1" customWidth="1"/>
    <col min="2405" max="2405" width="26.5703125" bestFit="1" customWidth="1"/>
    <col min="2406" max="2406" width="30.140625" bestFit="1" customWidth="1"/>
    <col min="2407" max="2407" width="25.7109375" bestFit="1" customWidth="1"/>
    <col min="2408" max="2408" width="25.85546875" bestFit="1" customWidth="1"/>
    <col min="2409" max="2409" width="31.140625" bestFit="1" customWidth="1"/>
    <col min="2410" max="2410" width="28.5703125" bestFit="1" customWidth="1"/>
    <col min="2411" max="2411" width="25.140625" bestFit="1" customWidth="1"/>
    <col min="2412" max="2412" width="29" bestFit="1" customWidth="1"/>
    <col min="2413" max="2413" width="26.5703125" bestFit="1" customWidth="1"/>
    <col min="2414" max="2414" width="41.7109375" bestFit="1" customWidth="1"/>
    <col min="2415" max="2415" width="41.5703125" bestFit="1" customWidth="1"/>
    <col min="2416" max="2416" width="33" bestFit="1" customWidth="1"/>
    <col min="2417" max="2417" width="29" bestFit="1" customWidth="1"/>
    <col min="2418" max="2418" width="32.28515625" bestFit="1" customWidth="1"/>
    <col min="2419" max="2419" width="41.28515625" bestFit="1" customWidth="1"/>
    <col min="2420" max="2421" width="34.140625" bestFit="1" customWidth="1"/>
    <col min="2422" max="2422" width="36.5703125" bestFit="1" customWidth="1"/>
    <col min="2423" max="2423" width="32.5703125" bestFit="1" customWidth="1"/>
    <col min="2424" max="2424" width="41.28515625" bestFit="1" customWidth="1"/>
    <col min="2425" max="2425" width="27.85546875" bestFit="1" customWidth="1"/>
    <col min="2426" max="2426" width="32.85546875" bestFit="1" customWidth="1"/>
    <col min="2427" max="2427" width="37.140625" bestFit="1" customWidth="1"/>
    <col min="2428" max="2428" width="28.28515625" bestFit="1" customWidth="1"/>
    <col min="2429" max="2429" width="30.85546875" bestFit="1" customWidth="1"/>
    <col min="2430" max="2430" width="28.5703125" bestFit="1" customWidth="1"/>
    <col min="2431" max="2431" width="26.28515625" bestFit="1" customWidth="1"/>
    <col min="2432" max="2432" width="45.85546875" bestFit="1" customWidth="1"/>
    <col min="2433" max="2433" width="27.85546875" bestFit="1" customWidth="1"/>
    <col min="2434" max="2434" width="35.85546875" bestFit="1" customWidth="1"/>
    <col min="2435" max="2435" width="35.42578125" bestFit="1" customWidth="1"/>
    <col min="2436" max="2436" width="29.42578125" bestFit="1" customWidth="1"/>
    <col min="2437" max="2437" width="42.5703125" bestFit="1" customWidth="1"/>
    <col min="2438" max="2438" width="30.28515625" bestFit="1" customWidth="1"/>
    <col min="2439" max="2439" width="35.7109375" bestFit="1" customWidth="1"/>
    <col min="2440" max="2440" width="30.7109375" bestFit="1" customWidth="1"/>
    <col min="2441" max="2441" width="27" bestFit="1" customWidth="1"/>
    <col min="2442" max="2442" width="29.7109375" bestFit="1" customWidth="1"/>
    <col min="2443" max="2443" width="32.7109375" bestFit="1" customWidth="1"/>
    <col min="2444" max="2444" width="27.5703125" bestFit="1" customWidth="1"/>
    <col min="2445" max="2445" width="29.7109375" bestFit="1" customWidth="1"/>
    <col min="2446" max="2446" width="30.140625" bestFit="1" customWidth="1"/>
    <col min="2447" max="2447" width="31.140625" bestFit="1" customWidth="1"/>
    <col min="2448" max="2448" width="24" bestFit="1" customWidth="1"/>
    <col min="2449" max="2449" width="34.7109375" bestFit="1" customWidth="1"/>
    <col min="2450" max="2450" width="28.5703125" bestFit="1" customWidth="1"/>
    <col min="2451" max="2451" width="34.85546875" bestFit="1" customWidth="1"/>
    <col min="2452" max="2452" width="37.5703125" bestFit="1" customWidth="1"/>
    <col min="2453" max="2453" width="32.85546875" bestFit="1" customWidth="1"/>
    <col min="2454" max="2454" width="24.140625" bestFit="1" customWidth="1"/>
    <col min="2455" max="2455" width="27.140625" bestFit="1" customWidth="1"/>
    <col min="2456" max="2456" width="22.140625" bestFit="1" customWidth="1"/>
    <col min="2457" max="2457" width="27.42578125" bestFit="1" customWidth="1"/>
    <col min="2458" max="2458" width="34.85546875" bestFit="1" customWidth="1"/>
    <col min="2459" max="2459" width="26.85546875" bestFit="1" customWidth="1"/>
    <col min="2460" max="2460" width="23.5703125" bestFit="1" customWidth="1"/>
    <col min="2461" max="2461" width="25.140625" bestFit="1" customWidth="1"/>
    <col min="2462" max="2462" width="33.28515625" bestFit="1" customWidth="1"/>
    <col min="2463" max="2463" width="29.85546875" bestFit="1" customWidth="1"/>
    <col min="2464" max="2464" width="35.28515625" bestFit="1" customWidth="1"/>
    <col min="2465" max="2465" width="26.42578125" bestFit="1" customWidth="1"/>
    <col min="2466" max="2466" width="27.140625" bestFit="1" customWidth="1"/>
    <col min="2467" max="2467" width="27" bestFit="1" customWidth="1"/>
    <col min="2468" max="2468" width="47.28515625" bestFit="1" customWidth="1"/>
    <col min="2469" max="2469" width="34" bestFit="1" customWidth="1"/>
    <col min="2470" max="2470" width="43.7109375" bestFit="1" customWidth="1"/>
    <col min="2471" max="2471" width="34.5703125" bestFit="1" customWidth="1"/>
    <col min="2472" max="2472" width="36.140625" bestFit="1" customWidth="1"/>
    <col min="2473" max="2473" width="37.42578125" bestFit="1" customWidth="1"/>
    <col min="2474" max="2475" width="30.140625" bestFit="1" customWidth="1"/>
    <col min="2476" max="2476" width="36" bestFit="1" customWidth="1"/>
    <col min="2477" max="2477" width="30.5703125" bestFit="1" customWidth="1"/>
    <col min="2478" max="2478" width="33.140625" bestFit="1" customWidth="1"/>
    <col min="2479" max="2479" width="32.42578125" bestFit="1" customWidth="1"/>
    <col min="2480" max="2480" width="36.85546875" bestFit="1" customWidth="1"/>
    <col min="2481" max="2481" width="41.42578125" bestFit="1" customWidth="1"/>
    <col min="2482" max="2482" width="31.28515625" bestFit="1" customWidth="1"/>
    <col min="2483" max="2483" width="28.5703125" bestFit="1" customWidth="1"/>
    <col min="2484" max="2484" width="47.85546875" bestFit="1" customWidth="1"/>
    <col min="2485" max="2485" width="29.85546875" bestFit="1" customWidth="1"/>
    <col min="2486" max="2486" width="39.5703125" bestFit="1" customWidth="1"/>
    <col min="2487" max="2487" width="35.28515625" bestFit="1" customWidth="1"/>
    <col min="2488" max="2488" width="36.7109375" bestFit="1" customWidth="1"/>
    <col min="2489" max="2489" width="27.85546875" bestFit="1" customWidth="1"/>
    <col min="2490" max="2490" width="28.85546875" bestFit="1" customWidth="1"/>
    <col min="2491" max="2491" width="35.140625" bestFit="1" customWidth="1"/>
    <col min="2492" max="2492" width="29.28515625" bestFit="1" customWidth="1"/>
    <col min="2493" max="2493" width="36.85546875" bestFit="1" customWidth="1"/>
    <col min="2494" max="2494" width="42.28515625" bestFit="1" customWidth="1"/>
    <col min="2495" max="2495" width="29.28515625" bestFit="1" customWidth="1"/>
    <col min="2496" max="2496" width="35.42578125" bestFit="1" customWidth="1"/>
    <col min="2497" max="2497" width="28" bestFit="1" customWidth="1"/>
    <col min="2498" max="2498" width="37.5703125" bestFit="1" customWidth="1"/>
    <col min="2499" max="2499" width="35.28515625" bestFit="1" customWidth="1"/>
    <col min="2500" max="2500" width="33" bestFit="1" customWidth="1"/>
    <col min="2501" max="2501" width="35.5703125" bestFit="1" customWidth="1"/>
    <col min="2502" max="2502" width="31.85546875" bestFit="1" customWidth="1"/>
    <col min="2503" max="2503" width="34.7109375" bestFit="1" customWidth="1"/>
    <col min="2504" max="2504" width="36.28515625" bestFit="1" customWidth="1"/>
    <col min="2505" max="2505" width="41.7109375" bestFit="1" customWidth="1"/>
    <col min="2506" max="2506" width="25.85546875" bestFit="1" customWidth="1"/>
    <col min="2507" max="2507" width="40.42578125" bestFit="1" customWidth="1"/>
    <col min="2508" max="2508" width="41.5703125" bestFit="1" customWidth="1"/>
    <col min="2509" max="2509" width="26.42578125" bestFit="1" customWidth="1"/>
    <col min="2510" max="2510" width="35" bestFit="1" customWidth="1"/>
    <col min="2511" max="2511" width="25.140625" bestFit="1" customWidth="1"/>
    <col min="2512" max="2512" width="30.7109375" bestFit="1" customWidth="1"/>
    <col min="2513" max="2513" width="32.28515625" bestFit="1" customWidth="1"/>
    <col min="2514" max="2514" width="30.85546875" bestFit="1" customWidth="1"/>
    <col min="2515" max="2515" width="37.5703125" bestFit="1" customWidth="1"/>
    <col min="2516" max="2516" width="30.5703125" bestFit="1" customWidth="1"/>
    <col min="2517" max="2517" width="26.5703125" bestFit="1" customWidth="1"/>
    <col min="2518" max="2518" width="30.5703125" bestFit="1" customWidth="1"/>
    <col min="2519" max="2519" width="30.42578125" bestFit="1" customWidth="1"/>
    <col min="2520" max="2520" width="44.5703125" bestFit="1" customWidth="1"/>
    <col min="2521" max="2521" width="32.5703125" bestFit="1" customWidth="1"/>
    <col min="2522" max="2522" width="31.7109375" bestFit="1" customWidth="1"/>
    <col min="2523" max="2523" width="36.85546875" bestFit="1" customWidth="1"/>
    <col min="2524" max="2524" width="25.5703125" bestFit="1" customWidth="1"/>
    <col min="2525" max="2525" width="26" bestFit="1" customWidth="1"/>
    <col min="2526" max="2526" width="27.7109375" bestFit="1" customWidth="1"/>
    <col min="2527" max="2527" width="35.5703125" bestFit="1" customWidth="1"/>
    <col min="2528" max="2528" width="35" bestFit="1" customWidth="1"/>
    <col min="2529" max="2529" width="28.140625" bestFit="1" customWidth="1"/>
    <col min="2530" max="2530" width="31.5703125" bestFit="1" customWidth="1"/>
    <col min="2531" max="2531" width="45.140625" bestFit="1" customWidth="1"/>
    <col min="2532" max="2532" width="37.7109375" bestFit="1" customWidth="1"/>
    <col min="2533" max="2533" width="29.28515625" bestFit="1" customWidth="1"/>
    <col min="2534" max="2534" width="31.140625" bestFit="1" customWidth="1"/>
    <col min="2535" max="2535" width="25" bestFit="1" customWidth="1"/>
    <col min="2536" max="2536" width="42.5703125" bestFit="1" customWidth="1"/>
    <col min="2537" max="2537" width="28.28515625" bestFit="1" customWidth="1"/>
    <col min="2538" max="2538" width="35.28515625" bestFit="1" customWidth="1"/>
    <col min="2539" max="2539" width="29.140625" bestFit="1" customWidth="1"/>
    <col min="2540" max="2540" width="32.5703125" bestFit="1" customWidth="1"/>
    <col min="2541" max="2541" width="28.7109375" bestFit="1" customWidth="1"/>
    <col min="2542" max="2542" width="38.28515625" bestFit="1" customWidth="1"/>
    <col min="2543" max="2543" width="32.7109375" bestFit="1" customWidth="1"/>
    <col min="2544" max="2544" width="24.7109375" bestFit="1" customWidth="1"/>
    <col min="2545" max="2545" width="30.5703125" bestFit="1" customWidth="1"/>
    <col min="2546" max="2546" width="43.42578125" bestFit="1" customWidth="1"/>
    <col min="2547" max="2547" width="25.28515625" bestFit="1" customWidth="1"/>
    <col min="2548" max="2548" width="22.42578125" bestFit="1" customWidth="1"/>
    <col min="2549" max="2549" width="35.140625" bestFit="1" customWidth="1"/>
    <col min="2550" max="2550" width="24.85546875" bestFit="1" customWidth="1"/>
    <col min="2551" max="2551" width="40.85546875" bestFit="1" customWidth="1"/>
    <col min="2552" max="2552" width="35.5703125" bestFit="1" customWidth="1"/>
    <col min="2553" max="2553" width="37.28515625" bestFit="1" customWidth="1"/>
    <col min="2554" max="2554" width="40.5703125" bestFit="1" customWidth="1"/>
    <col min="2555" max="2555" width="40.7109375" bestFit="1" customWidth="1"/>
    <col min="2556" max="2556" width="35.28515625" bestFit="1" customWidth="1"/>
    <col min="2557" max="2557" width="39.85546875" bestFit="1" customWidth="1"/>
    <col min="2558" max="2558" width="27.5703125" bestFit="1" customWidth="1"/>
    <col min="2559" max="2559" width="34.140625" bestFit="1" customWidth="1"/>
    <col min="2560" max="2560" width="36.28515625" bestFit="1" customWidth="1"/>
    <col min="2561" max="2561" width="34.42578125" bestFit="1" customWidth="1"/>
    <col min="2562" max="2562" width="28.42578125" bestFit="1" customWidth="1"/>
    <col min="2563" max="2563" width="30.5703125" bestFit="1" customWidth="1"/>
    <col min="2564" max="2564" width="34.85546875" bestFit="1" customWidth="1"/>
    <col min="2565" max="2565" width="34.42578125" bestFit="1" customWidth="1"/>
    <col min="2566" max="2566" width="38.42578125" bestFit="1" customWidth="1"/>
    <col min="2567" max="2567" width="35.28515625" bestFit="1" customWidth="1"/>
    <col min="2568" max="2568" width="28.5703125" bestFit="1" customWidth="1"/>
    <col min="2569" max="2569" width="42.7109375" bestFit="1" customWidth="1"/>
    <col min="2570" max="2570" width="40.85546875" bestFit="1" customWidth="1"/>
    <col min="2571" max="2571" width="34.5703125" bestFit="1" customWidth="1"/>
    <col min="2572" max="2572" width="39.5703125" bestFit="1" customWidth="1"/>
    <col min="2573" max="2573" width="35.7109375" bestFit="1" customWidth="1"/>
    <col min="2574" max="2574" width="28.28515625" bestFit="1" customWidth="1"/>
    <col min="2575" max="2575" width="29.85546875" bestFit="1" customWidth="1"/>
    <col min="2576" max="2576" width="36.85546875" bestFit="1" customWidth="1"/>
    <col min="2577" max="2577" width="27.7109375" bestFit="1" customWidth="1"/>
    <col min="2578" max="2578" width="41.7109375" bestFit="1" customWidth="1"/>
    <col min="2579" max="2579" width="37.140625" bestFit="1" customWidth="1"/>
    <col min="2580" max="2580" width="30" bestFit="1" customWidth="1"/>
    <col min="2581" max="2581" width="35.7109375" bestFit="1" customWidth="1"/>
    <col min="2582" max="2582" width="27" bestFit="1" customWidth="1"/>
    <col min="2583" max="2583" width="31.7109375" bestFit="1" customWidth="1"/>
    <col min="2584" max="2584" width="28.28515625" bestFit="1" customWidth="1"/>
    <col min="2585" max="2585" width="27.28515625" bestFit="1" customWidth="1"/>
    <col min="2586" max="2586" width="34.85546875" bestFit="1" customWidth="1"/>
    <col min="2587" max="2587" width="30.7109375" bestFit="1" customWidth="1"/>
    <col min="2588" max="2588" width="33" bestFit="1" customWidth="1"/>
    <col min="2589" max="2589" width="29" bestFit="1" customWidth="1"/>
    <col min="2590" max="2590" width="24.85546875" bestFit="1" customWidth="1"/>
    <col min="2591" max="2591" width="33" bestFit="1" customWidth="1"/>
    <col min="2592" max="2592" width="27.140625" bestFit="1" customWidth="1"/>
    <col min="2593" max="2593" width="32.7109375" bestFit="1" customWidth="1"/>
    <col min="2594" max="2594" width="27.140625" bestFit="1" customWidth="1"/>
    <col min="2595" max="2595" width="26.28515625" bestFit="1" customWidth="1"/>
    <col min="2596" max="2596" width="37" bestFit="1" customWidth="1"/>
    <col min="2597" max="2597" width="34.7109375" bestFit="1" customWidth="1"/>
    <col min="2598" max="2598" width="31" bestFit="1" customWidth="1"/>
    <col min="2599" max="2599" width="33" bestFit="1" customWidth="1"/>
    <col min="2600" max="2600" width="31.140625" bestFit="1" customWidth="1"/>
    <col min="2601" max="2601" width="32.7109375" bestFit="1" customWidth="1"/>
    <col min="2602" max="2602" width="26.85546875" bestFit="1" customWidth="1"/>
    <col min="2603" max="2603" width="35" bestFit="1" customWidth="1"/>
    <col min="2604" max="2604" width="27.5703125" bestFit="1" customWidth="1"/>
    <col min="2605" max="2605" width="29.42578125" bestFit="1" customWidth="1"/>
    <col min="2606" max="2606" width="35.28515625" bestFit="1" customWidth="1"/>
    <col min="2607" max="2607" width="24.85546875" bestFit="1" customWidth="1"/>
    <col min="2608" max="2608" width="30.42578125" bestFit="1" customWidth="1"/>
    <col min="2609" max="2609" width="30.7109375" bestFit="1" customWidth="1"/>
    <col min="2610" max="2610" width="28.42578125" bestFit="1" customWidth="1"/>
    <col min="2611" max="2611" width="35.140625" bestFit="1" customWidth="1"/>
    <col min="2612" max="2612" width="26.28515625" bestFit="1" customWidth="1"/>
    <col min="2613" max="2613" width="29.140625" bestFit="1" customWidth="1"/>
    <col min="2614" max="2614" width="30.85546875" bestFit="1" customWidth="1"/>
    <col min="2615" max="2615" width="41.7109375" bestFit="1" customWidth="1"/>
    <col min="2616" max="2616" width="32.42578125" bestFit="1" customWidth="1"/>
    <col min="2617" max="2617" width="30" bestFit="1" customWidth="1"/>
    <col min="2618" max="2618" width="32" bestFit="1" customWidth="1"/>
    <col min="2619" max="2619" width="30" bestFit="1" customWidth="1"/>
    <col min="2620" max="2620" width="26.5703125" bestFit="1" customWidth="1"/>
    <col min="2621" max="2621" width="31.28515625" bestFit="1" customWidth="1"/>
    <col min="2622" max="2622" width="37" bestFit="1" customWidth="1"/>
    <col min="2623" max="2623" width="33.85546875" bestFit="1" customWidth="1"/>
    <col min="2624" max="2624" width="36.42578125" bestFit="1" customWidth="1"/>
    <col min="2625" max="2625" width="37" bestFit="1" customWidth="1"/>
    <col min="2626" max="2626" width="35.28515625" bestFit="1" customWidth="1"/>
    <col min="2627" max="2627" width="39.85546875" bestFit="1" customWidth="1"/>
    <col min="2628" max="2628" width="37.140625" bestFit="1" customWidth="1"/>
    <col min="2629" max="2629" width="35.7109375" bestFit="1" customWidth="1"/>
    <col min="2630" max="2630" width="39.5703125" bestFit="1" customWidth="1"/>
    <col min="2631" max="2631" width="41.42578125" bestFit="1" customWidth="1"/>
    <col min="2632" max="2632" width="38" bestFit="1" customWidth="1"/>
    <col min="2633" max="2633" width="34.140625" bestFit="1" customWidth="1"/>
    <col min="2634" max="2634" width="31" bestFit="1" customWidth="1"/>
    <col min="2635" max="2635" width="32.28515625" bestFit="1" customWidth="1"/>
    <col min="2636" max="2636" width="43.42578125" bestFit="1" customWidth="1"/>
    <col min="2637" max="2637" width="34.140625" bestFit="1" customWidth="1"/>
    <col min="2638" max="2638" width="33.140625" bestFit="1" customWidth="1"/>
    <col min="2639" max="2639" width="35.7109375" bestFit="1" customWidth="1"/>
    <col min="2640" max="2640" width="35.42578125" bestFit="1" customWidth="1"/>
    <col min="2641" max="2641" width="31.85546875" bestFit="1" customWidth="1"/>
    <col min="2642" max="2642" width="33" bestFit="1" customWidth="1"/>
    <col min="2643" max="2643" width="48.85546875" bestFit="1" customWidth="1"/>
    <col min="2644" max="2644" width="35" bestFit="1" customWidth="1"/>
    <col min="2645" max="2645" width="30.85546875" bestFit="1" customWidth="1"/>
    <col min="2646" max="2646" width="44.7109375" bestFit="1" customWidth="1"/>
    <col min="2647" max="2647" width="31.85546875" bestFit="1" customWidth="1"/>
    <col min="2648" max="2648" width="43.85546875" bestFit="1" customWidth="1"/>
    <col min="2649" max="2649" width="37.42578125" bestFit="1" customWidth="1"/>
    <col min="2650" max="2650" width="36.140625" bestFit="1" customWidth="1"/>
    <col min="2651" max="2651" width="33.140625" bestFit="1" customWidth="1"/>
    <col min="2652" max="2652" width="34.7109375" bestFit="1" customWidth="1"/>
    <col min="2653" max="2653" width="35.42578125" bestFit="1" customWidth="1"/>
    <col min="2654" max="2654" width="35.5703125" bestFit="1" customWidth="1"/>
    <col min="2655" max="2655" width="34.7109375" bestFit="1" customWidth="1"/>
    <col min="2656" max="2656" width="33.5703125" bestFit="1" customWidth="1"/>
    <col min="2657" max="2657" width="22.140625" bestFit="1" customWidth="1"/>
    <col min="2658" max="2658" width="34.5703125" bestFit="1" customWidth="1"/>
    <col min="2659" max="2659" width="33.42578125" bestFit="1" customWidth="1"/>
    <col min="2660" max="2660" width="31.42578125" bestFit="1" customWidth="1"/>
    <col min="2661" max="2661" width="32.85546875" bestFit="1" customWidth="1"/>
    <col min="2662" max="2662" width="20.85546875" bestFit="1" customWidth="1"/>
    <col min="2663" max="2663" width="33" bestFit="1" customWidth="1"/>
    <col min="2664" max="2664" width="24.85546875" bestFit="1" customWidth="1"/>
    <col min="2665" max="2665" width="33.5703125" bestFit="1" customWidth="1"/>
    <col min="2666" max="2666" width="29.85546875" bestFit="1" customWidth="1"/>
    <col min="2667" max="2667" width="27.5703125" bestFit="1" customWidth="1"/>
    <col min="2668" max="2668" width="31.42578125" bestFit="1" customWidth="1"/>
    <col min="2669" max="2669" width="27.28515625" bestFit="1" customWidth="1"/>
    <col min="2670" max="2670" width="40.140625" bestFit="1" customWidth="1"/>
    <col min="2671" max="2671" width="22.85546875" bestFit="1" customWidth="1"/>
    <col min="2672" max="2672" width="27.42578125" bestFit="1" customWidth="1"/>
    <col min="2673" max="2673" width="17.5703125" bestFit="1" customWidth="1"/>
    <col min="2674" max="2674" width="29.85546875" bestFit="1" customWidth="1"/>
    <col min="2675" max="2675" width="22.28515625" bestFit="1" customWidth="1"/>
    <col min="2676" max="2676" width="22.140625" bestFit="1" customWidth="1"/>
    <col min="2677" max="2677" width="21.7109375" bestFit="1" customWidth="1"/>
    <col min="2678" max="2678" width="27.85546875" bestFit="1" customWidth="1"/>
    <col min="2679" max="2679" width="25.85546875" bestFit="1" customWidth="1"/>
    <col min="2680" max="2680" width="42.5703125" bestFit="1" customWidth="1"/>
    <col min="2681" max="2681" width="22.7109375" bestFit="1" customWidth="1"/>
    <col min="2682" max="2683" width="22.140625" bestFit="1" customWidth="1"/>
    <col min="2684" max="2684" width="22.42578125" bestFit="1" customWidth="1"/>
    <col min="2685" max="2685" width="20.140625" bestFit="1" customWidth="1"/>
    <col min="2686" max="2686" width="27.85546875" bestFit="1" customWidth="1"/>
    <col min="2687" max="2687" width="24" bestFit="1" customWidth="1"/>
    <col min="2688" max="2688" width="28" bestFit="1" customWidth="1"/>
    <col min="2689" max="2689" width="30.42578125" bestFit="1" customWidth="1"/>
    <col min="2690" max="2690" width="32.5703125" bestFit="1" customWidth="1"/>
    <col min="2691" max="2691" width="33.42578125" bestFit="1" customWidth="1"/>
    <col min="2692" max="2692" width="45.28515625" bestFit="1" customWidth="1"/>
    <col min="2693" max="2693" width="38.7109375" bestFit="1" customWidth="1"/>
    <col min="2694" max="2694" width="35.42578125" bestFit="1" customWidth="1"/>
    <col min="2695" max="2695" width="38" bestFit="1" customWidth="1"/>
    <col min="2696" max="2696" width="41.85546875" bestFit="1" customWidth="1"/>
    <col min="2697" max="2697" width="44.42578125" bestFit="1" customWidth="1"/>
    <col min="2698" max="2698" width="39.140625" bestFit="1" customWidth="1"/>
    <col min="2699" max="2699" width="30" bestFit="1" customWidth="1"/>
    <col min="2700" max="2700" width="34" bestFit="1" customWidth="1"/>
    <col min="2701" max="2701" width="35" bestFit="1" customWidth="1"/>
    <col min="2702" max="2702" width="34.7109375" bestFit="1" customWidth="1"/>
    <col min="2703" max="2703" width="37.140625" bestFit="1" customWidth="1"/>
    <col min="2704" max="2704" width="35.42578125" bestFit="1" customWidth="1"/>
    <col min="2705" max="2705" width="36.85546875" bestFit="1" customWidth="1"/>
    <col min="2706" max="2706" width="32.5703125" bestFit="1" customWidth="1"/>
    <col min="2707" max="2707" width="30.5703125" bestFit="1" customWidth="1"/>
    <col min="2708" max="2708" width="31.85546875" bestFit="1" customWidth="1"/>
    <col min="2709" max="2709" width="37.28515625" bestFit="1" customWidth="1"/>
    <col min="2710" max="2710" width="31.140625" bestFit="1" customWidth="1"/>
    <col min="2711" max="2711" width="28" bestFit="1" customWidth="1"/>
    <col min="2712" max="2712" width="34.85546875" bestFit="1" customWidth="1"/>
    <col min="2713" max="2713" width="31.7109375" bestFit="1" customWidth="1"/>
    <col min="2714" max="2714" width="32.42578125" bestFit="1" customWidth="1"/>
    <col min="2715" max="2715" width="26.7109375" bestFit="1" customWidth="1"/>
    <col min="2716" max="2716" width="28.7109375" bestFit="1" customWidth="1"/>
    <col min="2717" max="2717" width="34.5703125" bestFit="1" customWidth="1"/>
    <col min="2718" max="2718" width="35.140625" bestFit="1" customWidth="1"/>
    <col min="2719" max="2719" width="35.42578125" bestFit="1" customWidth="1"/>
    <col min="2720" max="2720" width="32" bestFit="1" customWidth="1"/>
    <col min="2721" max="2721" width="34.28515625" bestFit="1" customWidth="1"/>
    <col min="2722" max="2722" width="28.7109375" bestFit="1" customWidth="1"/>
    <col min="2723" max="2723" width="32.7109375" bestFit="1" customWidth="1"/>
    <col min="2724" max="2724" width="27" bestFit="1" customWidth="1"/>
    <col min="2725" max="2725" width="25.85546875" bestFit="1" customWidth="1"/>
    <col min="2726" max="2726" width="33.140625" bestFit="1" customWidth="1"/>
    <col min="2727" max="2727" width="35.42578125" bestFit="1" customWidth="1"/>
    <col min="2728" max="2728" width="30.140625" bestFit="1" customWidth="1"/>
    <col min="2729" max="2729" width="33.5703125" bestFit="1" customWidth="1"/>
    <col min="2730" max="2730" width="33.42578125" bestFit="1" customWidth="1"/>
    <col min="2731" max="2731" width="31.85546875" bestFit="1" customWidth="1"/>
    <col min="2732" max="2732" width="27.7109375" bestFit="1" customWidth="1"/>
    <col min="2733" max="2733" width="24.140625" bestFit="1" customWidth="1"/>
    <col min="2734" max="2734" width="28.7109375" bestFit="1" customWidth="1"/>
    <col min="2735" max="2735" width="33.140625" bestFit="1" customWidth="1"/>
    <col min="2736" max="2736" width="26.42578125" bestFit="1" customWidth="1"/>
    <col min="2737" max="2737" width="23.28515625" bestFit="1" customWidth="1"/>
    <col min="2738" max="2738" width="26.140625" bestFit="1" customWidth="1"/>
    <col min="2739" max="2739" width="32.28515625" bestFit="1" customWidth="1"/>
    <col min="2740" max="2740" width="33.42578125" bestFit="1" customWidth="1"/>
    <col min="2741" max="2741" width="26" bestFit="1" customWidth="1"/>
    <col min="2742" max="2742" width="32.5703125" bestFit="1" customWidth="1"/>
    <col min="2743" max="2743" width="28.28515625" bestFit="1" customWidth="1"/>
    <col min="2744" max="2744" width="31.5703125" bestFit="1" customWidth="1"/>
    <col min="2745" max="2745" width="32.5703125" bestFit="1" customWidth="1"/>
    <col min="2746" max="2746" width="31.42578125" bestFit="1" customWidth="1"/>
    <col min="2747" max="2747" width="27.28515625" bestFit="1" customWidth="1"/>
    <col min="2748" max="2748" width="38.140625" bestFit="1" customWidth="1"/>
    <col min="2749" max="2749" width="35" bestFit="1" customWidth="1"/>
    <col min="2750" max="2750" width="32.85546875" bestFit="1" customWidth="1"/>
    <col min="2751" max="2751" width="28.140625" bestFit="1" customWidth="1"/>
    <col min="2752" max="2752" width="28.7109375" bestFit="1" customWidth="1"/>
    <col min="2753" max="2753" width="32.28515625" bestFit="1" customWidth="1"/>
    <col min="2754" max="2754" width="30.5703125" bestFit="1" customWidth="1"/>
    <col min="2755" max="2755" width="31.5703125" bestFit="1" customWidth="1"/>
    <col min="2756" max="2756" width="31" bestFit="1" customWidth="1"/>
    <col min="2757" max="2757" width="24.85546875" bestFit="1" customWidth="1"/>
    <col min="2758" max="2758" width="27.42578125" bestFit="1" customWidth="1"/>
    <col min="2759" max="2759" width="32.42578125" bestFit="1" customWidth="1"/>
    <col min="2760" max="2760" width="25" bestFit="1" customWidth="1"/>
    <col min="2761" max="2761" width="32.28515625" bestFit="1" customWidth="1"/>
    <col min="2762" max="2762" width="42.140625" bestFit="1" customWidth="1"/>
    <col min="2763" max="2763" width="31.85546875" bestFit="1" customWidth="1"/>
    <col min="2764" max="2764" width="40.5703125" bestFit="1" customWidth="1"/>
    <col min="2765" max="2765" width="33.140625" bestFit="1" customWidth="1"/>
    <col min="2766" max="2766" width="33.85546875" bestFit="1" customWidth="1"/>
    <col min="2767" max="2767" width="24" bestFit="1" customWidth="1"/>
    <col min="2768" max="2768" width="39.42578125" bestFit="1" customWidth="1"/>
    <col min="2769" max="2769" width="25.7109375" bestFit="1" customWidth="1"/>
    <col min="2770" max="2770" width="29" bestFit="1" customWidth="1"/>
    <col min="2771" max="2771" width="31.140625" bestFit="1" customWidth="1"/>
    <col min="2772" max="2772" width="33" bestFit="1" customWidth="1"/>
    <col min="2773" max="2773" width="32.85546875" bestFit="1" customWidth="1"/>
    <col min="2774" max="2774" width="30.85546875" bestFit="1" customWidth="1"/>
    <col min="2775" max="2775" width="27.5703125" bestFit="1" customWidth="1"/>
    <col min="2776" max="2776" width="31" bestFit="1" customWidth="1"/>
    <col min="2777" max="2777" width="33" bestFit="1" customWidth="1"/>
    <col min="2778" max="2778" width="37.140625" bestFit="1" customWidth="1"/>
    <col min="2779" max="2779" width="31.5703125" bestFit="1" customWidth="1"/>
    <col min="2780" max="2780" width="34.85546875" bestFit="1" customWidth="1"/>
    <col min="2781" max="2781" width="37.42578125" bestFit="1" customWidth="1"/>
    <col min="2782" max="2782" width="31.28515625" bestFit="1" customWidth="1"/>
    <col min="2783" max="2783" width="30.5703125" bestFit="1" customWidth="1"/>
    <col min="2784" max="2784" width="36.28515625" bestFit="1" customWidth="1"/>
    <col min="2785" max="2785" width="33.5703125" bestFit="1" customWidth="1"/>
    <col min="2786" max="2786" width="32.28515625" bestFit="1" customWidth="1"/>
    <col min="2787" max="2787" width="29.42578125" bestFit="1" customWidth="1"/>
    <col min="2788" max="2788" width="35.5703125" bestFit="1" customWidth="1"/>
    <col min="2789" max="2789" width="31.5703125" bestFit="1" customWidth="1"/>
    <col min="2790" max="2790" width="40.140625" bestFit="1" customWidth="1"/>
    <col min="2791" max="2791" width="29.7109375" bestFit="1" customWidth="1"/>
    <col min="2792" max="2792" width="30.28515625" bestFit="1" customWidth="1"/>
    <col min="2793" max="2793" width="30" bestFit="1" customWidth="1"/>
    <col min="2794" max="2794" width="35.5703125" bestFit="1" customWidth="1"/>
    <col min="2795" max="2795" width="25.5703125" bestFit="1" customWidth="1"/>
    <col min="2796" max="2796" width="30.140625" bestFit="1" customWidth="1"/>
    <col min="2797" max="2797" width="26.7109375" bestFit="1" customWidth="1"/>
    <col min="2798" max="2798" width="22.5703125" bestFit="1" customWidth="1"/>
    <col min="2799" max="2799" width="23.7109375" bestFit="1" customWidth="1"/>
    <col min="2800" max="2800" width="27.42578125" bestFit="1" customWidth="1"/>
    <col min="2801" max="2801" width="37.7109375" bestFit="1" customWidth="1"/>
    <col min="2802" max="2802" width="22.85546875" bestFit="1" customWidth="1"/>
    <col min="2803" max="2803" width="35.28515625" bestFit="1" customWidth="1"/>
    <col min="2804" max="2804" width="26.42578125" bestFit="1" customWidth="1"/>
    <col min="2805" max="2805" width="40.42578125" bestFit="1" customWidth="1"/>
    <col min="2806" max="2806" width="33.28515625" bestFit="1" customWidth="1"/>
    <col min="2807" max="2807" width="25.85546875" bestFit="1" customWidth="1"/>
    <col min="2808" max="2808" width="26.7109375" bestFit="1" customWidth="1"/>
    <col min="2809" max="2809" width="29.85546875" bestFit="1" customWidth="1"/>
    <col min="2810" max="2810" width="38" bestFit="1" customWidth="1"/>
    <col min="2811" max="2811" width="43.85546875" bestFit="1" customWidth="1"/>
    <col min="2812" max="2812" width="36.42578125" bestFit="1" customWidth="1"/>
    <col min="2813" max="2813" width="25.7109375" bestFit="1" customWidth="1"/>
    <col min="2814" max="2814" width="34.7109375" bestFit="1" customWidth="1"/>
    <col min="2815" max="2815" width="33.85546875" bestFit="1" customWidth="1"/>
    <col min="2816" max="2816" width="30.85546875" bestFit="1" customWidth="1"/>
    <col min="2817" max="2817" width="33.5703125" bestFit="1" customWidth="1"/>
    <col min="2818" max="2818" width="33.140625" bestFit="1" customWidth="1"/>
    <col min="2819" max="2819" width="35.85546875" bestFit="1" customWidth="1"/>
    <col min="2820" max="2820" width="37.140625" bestFit="1" customWidth="1"/>
    <col min="2821" max="2821" width="36.85546875" bestFit="1" customWidth="1"/>
    <col min="2822" max="2822" width="27.5703125" bestFit="1" customWidth="1"/>
    <col min="2823" max="2823" width="33.85546875" bestFit="1" customWidth="1"/>
    <col min="2824" max="2824" width="39.28515625" bestFit="1" customWidth="1"/>
    <col min="2825" max="2825" width="36.42578125" bestFit="1" customWidth="1"/>
    <col min="2826" max="2826" width="34.140625" bestFit="1" customWidth="1"/>
    <col min="2827" max="2827" width="32.28515625" bestFit="1" customWidth="1"/>
    <col min="2828" max="2828" width="28.85546875" bestFit="1" customWidth="1"/>
    <col min="2829" max="2829" width="30.7109375" bestFit="1" customWidth="1"/>
    <col min="2830" max="2830" width="28" bestFit="1" customWidth="1"/>
    <col min="2831" max="2831" width="35.28515625" bestFit="1" customWidth="1"/>
    <col min="2832" max="2832" width="26.85546875" bestFit="1" customWidth="1"/>
    <col min="2833" max="2833" width="30.5703125" bestFit="1" customWidth="1"/>
    <col min="2834" max="2834" width="38.28515625" bestFit="1" customWidth="1"/>
    <col min="2835" max="2835" width="28" bestFit="1" customWidth="1"/>
    <col min="2836" max="2836" width="34.5703125" bestFit="1" customWidth="1"/>
    <col min="2837" max="2837" width="36.140625" bestFit="1" customWidth="1"/>
    <col min="2838" max="2838" width="41.42578125" bestFit="1" customWidth="1"/>
    <col min="2839" max="2839" width="39.140625" bestFit="1" customWidth="1"/>
    <col min="2840" max="2840" width="31.42578125" bestFit="1" customWidth="1"/>
    <col min="2841" max="2841" width="32.42578125" bestFit="1" customWidth="1"/>
    <col min="2842" max="2842" width="35.5703125" bestFit="1" customWidth="1"/>
    <col min="2843" max="2843" width="32.42578125" bestFit="1" customWidth="1"/>
    <col min="2844" max="2844" width="38.140625" bestFit="1" customWidth="1"/>
    <col min="2845" max="2845" width="36.7109375" bestFit="1" customWidth="1"/>
    <col min="2846" max="2846" width="34.5703125" bestFit="1" customWidth="1"/>
    <col min="2847" max="2847" width="32.140625" bestFit="1" customWidth="1"/>
    <col min="2848" max="2848" width="34.28515625" bestFit="1" customWidth="1"/>
    <col min="2849" max="2849" width="36.42578125" bestFit="1" customWidth="1"/>
    <col min="2850" max="2850" width="35" bestFit="1" customWidth="1"/>
    <col min="2851" max="2851" width="28.42578125" bestFit="1" customWidth="1"/>
    <col min="2852" max="2852" width="38.28515625" bestFit="1" customWidth="1"/>
    <col min="2853" max="2853" width="32" bestFit="1" customWidth="1"/>
    <col min="2854" max="2854" width="36" bestFit="1" customWidth="1"/>
    <col min="2855" max="2855" width="41.7109375" bestFit="1" customWidth="1"/>
    <col min="2856" max="2856" width="31.140625" bestFit="1" customWidth="1"/>
    <col min="2857" max="2857" width="40.28515625" bestFit="1" customWidth="1"/>
    <col min="2858" max="2858" width="35.140625" bestFit="1" customWidth="1"/>
    <col min="2859" max="2859" width="33.140625" bestFit="1" customWidth="1"/>
    <col min="2860" max="2860" width="30.42578125" bestFit="1" customWidth="1"/>
    <col min="2861" max="2861" width="38.7109375" bestFit="1" customWidth="1"/>
    <col min="2862" max="2862" width="29.28515625" bestFit="1" customWidth="1"/>
    <col min="2863" max="2863" width="24.85546875" bestFit="1" customWidth="1"/>
    <col min="2864" max="2864" width="31.42578125" bestFit="1" customWidth="1"/>
    <col min="2865" max="2865" width="29" bestFit="1" customWidth="1"/>
    <col min="2866" max="2866" width="32.28515625" bestFit="1" customWidth="1"/>
    <col min="2867" max="2867" width="30.28515625" bestFit="1" customWidth="1"/>
    <col min="2868" max="2868" width="36.140625" bestFit="1" customWidth="1"/>
    <col min="2869" max="2869" width="33.140625" bestFit="1" customWidth="1"/>
    <col min="2870" max="2870" width="36.5703125" bestFit="1" customWidth="1"/>
    <col min="2871" max="2871" width="36" bestFit="1" customWidth="1"/>
    <col min="2872" max="2872" width="41" bestFit="1" customWidth="1"/>
    <col min="2873" max="2873" width="35.28515625" bestFit="1" customWidth="1"/>
    <col min="2874" max="2874" width="28.140625" bestFit="1" customWidth="1"/>
    <col min="2875" max="2875" width="27.5703125" bestFit="1" customWidth="1"/>
    <col min="2876" max="2876" width="37.42578125" bestFit="1" customWidth="1"/>
    <col min="2877" max="2877" width="27.28515625" bestFit="1" customWidth="1"/>
    <col min="2878" max="2878" width="32" bestFit="1" customWidth="1"/>
    <col min="2879" max="2879" width="28.85546875" bestFit="1" customWidth="1"/>
    <col min="2880" max="2880" width="38.28515625" bestFit="1" customWidth="1"/>
    <col min="2881" max="2881" width="33.42578125" bestFit="1" customWidth="1"/>
    <col min="2882" max="2882" width="42.85546875" bestFit="1" customWidth="1"/>
    <col min="2883" max="2883" width="35.28515625" bestFit="1" customWidth="1"/>
    <col min="2884" max="2884" width="40.5703125" bestFit="1" customWidth="1"/>
    <col min="2885" max="2885" width="39.140625" bestFit="1" customWidth="1"/>
    <col min="2886" max="2886" width="33.28515625" bestFit="1" customWidth="1"/>
    <col min="2887" max="2887" width="35.5703125" bestFit="1" customWidth="1"/>
    <col min="2888" max="2888" width="29.140625" bestFit="1" customWidth="1"/>
    <col min="2889" max="2889" width="25.28515625" bestFit="1" customWidth="1"/>
    <col min="2890" max="2890" width="38.5703125" bestFit="1" customWidth="1"/>
    <col min="2891" max="2891" width="38.85546875" bestFit="1" customWidth="1"/>
    <col min="2892" max="2892" width="27.5703125" bestFit="1" customWidth="1"/>
    <col min="2893" max="2893" width="31.42578125" bestFit="1" customWidth="1"/>
    <col min="2894" max="2894" width="29.85546875" bestFit="1" customWidth="1"/>
    <col min="2895" max="2895" width="29.140625" bestFit="1" customWidth="1"/>
    <col min="2896" max="2896" width="34" bestFit="1" customWidth="1"/>
    <col min="2897" max="2897" width="27.85546875" bestFit="1" customWidth="1"/>
    <col min="2898" max="2898" width="23.42578125" bestFit="1" customWidth="1"/>
    <col min="2899" max="2899" width="28.85546875" bestFit="1" customWidth="1"/>
    <col min="2900" max="2900" width="24.7109375" bestFit="1" customWidth="1"/>
    <col min="2901" max="2901" width="27.5703125" bestFit="1" customWidth="1"/>
    <col min="2902" max="2902" width="24.5703125" bestFit="1" customWidth="1"/>
    <col min="2903" max="2903" width="26.28515625" bestFit="1" customWidth="1"/>
    <col min="2904" max="2904" width="25.140625" bestFit="1" customWidth="1"/>
    <col min="2905" max="2905" width="38.5703125" bestFit="1" customWidth="1"/>
    <col min="2906" max="2906" width="33.28515625" bestFit="1" customWidth="1"/>
    <col min="2907" max="2907" width="37.5703125" bestFit="1" customWidth="1"/>
    <col min="2908" max="2908" width="30.5703125" bestFit="1" customWidth="1"/>
    <col min="2909" max="2909" width="42.42578125" bestFit="1" customWidth="1"/>
    <col min="2910" max="2910" width="24.5703125" bestFit="1" customWidth="1"/>
    <col min="2911" max="2911" width="30.5703125" bestFit="1" customWidth="1"/>
    <col min="2912" max="2912" width="31.85546875" bestFit="1" customWidth="1"/>
    <col min="2913" max="2913" width="25.7109375" bestFit="1" customWidth="1"/>
    <col min="2914" max="2914" width="33" bestFit="1" customWidth="1"/>
    <col min="2915" max="2915" width="27.140625" bestFit="1" customWidth="1"/>
    <col min="2916" max="2916" width="34.28515625" bestFit="1" customWidth="1"/>
    <col min="2917" max="2917" width="22.85546875" bestFit="1" customWidth="1"/>
    <col min="2918" max="2918" width="28.140625" bestFit="1" customWidth="1"/>
    <col min="2919" max="2919" width="20.7109375" bestFit="1" customWidth="1"/>
    <col min="2920" max="2920" width="24.140625" bestFit="1" customWidth="1"/>
    <col min="2921" max="2921" width="32.5703125" bestFit="1" customWidth="1"/>
    <col min="2922" max="2922" width="28.5703125" bestFit="1" customWidth="1"/>
    <col min="2923" max="2923" width="27.28515625" bestFit="1" customWidth="1"/>
    <col min="2924" max="2924" width="27.5703125" bestFit="1" customWidth="1"/>
    <col min="2925" max="2925" width="28.28515625" bestFit="1" customWidth="1"/>
    <col min="2926" max="2926" width="40.28515625" bestFit="1" customWidth="1"/>
    <col min="2927" max="2927" width="34.7109375" bestFit="1" customWidth="1"/>
    <col min="2928" max="2928" width="33.5703125" bestFit="1" customWidth="1"/>
    <col min="2929" max="2929" width="26.7109375" bestFit="1" customWidth="1"/>
    <col min="2930" max="2930" width="30.140625" bestFit="1" customWidth="1"/>
    <col min="2931" max="2931" width="23.140625" bestFit="1" customWidth="1"/>
    <col min="2932" max="2932" width="19.85546875" bestFit="1" customWidth="1"/>
    <col min="2933" max="2933" width="20.7109375" bestFit="1" customWidth="1"/>
    <col min="2934" max="2934" width="25.28515625" bestFit="1" customWidth="1"/>
    <col min="2935" max="2935" width="28.140625" bestFit="1" customWidth="1"/>
    <col min="2936" max="2936" width="30.28515625" bestFit="1" customWidth="1"/>
    <col min="2937" max="2937" width="32.7109375" bestFit="1" customWidth="1"/>
    <col min="2938" max="2938" width="26.140625" bestFit="1" customWidth="1"/>
    <col min="2939" max="2939" width="25.7109375" bestFit="1" customWidth="1"/>
    <col min="2940" max="2940" width="29.7109375" bestFit="1" customWidth="1"/>
    <col min="2941" max="2941" width="29" bestFit="1" customWidth="1"/>
    <col min="2942" max="2942" width="26" bestFit="1" customWidth="1"/>
    <col min="2943" max="2943" width="30.7109375" bestFit="1" customWidth="1"/>
    <col min="2944" max="2944" width="36" bestFit="1" customWidth="1"/>
    <col min="2945" max="2945" width="25.140625" bestFit="1" customWidth="1"/>
    <col min="2946" max="2946" width="23" bestFit="1" customWidth="1"/>
    <col min="2947" max="2947" width="33" bestFit="1" customWidth="1"/>
    <col min="2948" max="2948" width="31.7109375" bestFit="1" customWidth="1"/>
    <col min="2949" max="2949" width="31.140625" bestFit="1" customWidth="1"/>
    <col min="2950" max="2950" width="26.28515625" bestFit="1" customWidth="1"/>
    <col min="2951" max="2951" width="29.85546875" bestFit="1" customWidth="1"/>
    <col min="2952" max="2952" width="26.7109375" bestFit="1" customWidth="1"/>
    <col min="2953" max="2953" width="28.7109375" bestFit="1" customWidth="1"/>
    <col min="2954" max="2954" width="30.42578125" bestFit="1" customWidth="1"/>
    <col min="2955" max="2955" width="25.140625" bestFit="1" customWidth="1"/>
    <col min="2956" max="2956" width="30.28515625" bestFit="1" customWidth="1"/>
    <col min="2957" max="2957" width="26.5703125" bestFit="1" customWidth="1"/>
    <col min="2958" max="2958" width="33.140625" bestFit="1" customWidth="1"/>
    <col min="2959" max="2959" width="35" bestFit="1" customWidth="1"/>
    <col min="2960" max="2960" width="28" bestFit="1" customWidth="1"/>
    <col min="2961" max="2961" width="30" bestFit="1" customWidth="1"/>
    <col min="2962" max="2962" width="32.42578125" bestFit="1" customWidth="1"/>
    <col min="2963" max="2963" width="38.42578125" bestFit="1" customWidth="1"/>
    <col min="2964" max="2964" width="31.85546875" bestFit="1" customWidth="1"/>
    <col min="2965" max="2965" width="28.28515625" bestFit="1" customWidth="1"/>
    <col min="2966" max="2966" width="36.140625" bestFit="1" customWidth="1"/>
    <col min="2967" max="2967" width="35.85546875" bestFit="1" customWidth="1"/>
    <col min="2968" max="2968" width="39.5703125" bestFit="1" customWidth="1"/>
    <col min="2969" max="2969" width="39.140625" bestFit="1" customWidth="1"/>
    <col min="2970" max="2970" width="36.85546875" bestFit="1" customWidth="1"/>
    <col min="2971" max="2971" width="32" bestFit="1" customWidth="1"/>
    <col min="2972" max="2972" width="31" bestFit="1" customWidth="1"/>
    <col min="2973" max="2973" width="40.85546875" bestFit="1" customWidth="1"/>
    <col min="2974" max="2974" width="40.42578125" bestFit="1" customWidth="1"/>
    <col min="2975" max="2975" width="29.42578125" bestFit="1" customWidth="1"/>
    <col min="2976" max="2976" width="43.42578125" bestFit="1" customWidth="1"/>
    <col min="2977" max="2977" width="37.5703125" bestFit="1" customWidth="1"/>
    <col min="2978" max="2978" width="35.7109375" bestFit="1" customWidth="1"/>
    <col min="2979" max="2979" width="44" bestFit="1" customWidth="1"/>
    <col min="2980" max="2981" width="34.28515625" bestFit="1" customWidth="1"/>
    <col min="2982" max="2982" width="40.85546875" bestFit="1" customWidth="1"/>
    <col min="2983" max="2983" width="36" bestFit="1" customWidth="1"/>
    <col min="2984" max="2984" width="32" bestFit="1" customWidth="1"/>
    <col min="2985" max="2985" width="31.140625" bestFit="1" customWidth="1"/>
    <col min="2986" max="2986" width="32.7109375" bestFit="1" customWidth="1"/>
    <col min="2987" max="2987" width="40.7109375" bestFit="1" customWidth="1"/>
    <col min="2988" max="2988" width="31.28515625" bestFit="1" customWidth="1"/>
    <col min="2989" max="2989" width="32.28515625" bestFit="1" customWidth="1"/>
    <col min="2990" max="2990" width="30" bestFit="1" customWidth="1"/>
    <col min="2991" max="2991" width="44.5703125" bestFit="1" customWidth="1"/>
    <col min="2992" max="2992" width="32.85546875" bestFit="1" customWidth="1"/>
    <col min="2993" max="2993" width="32" bestFit="1" customWidth="1"/>
    <col min="2994" max="2994" width="38.140625" bestFit="1" customWidth="1"/>
    <col min="2995" max="2995" width="34.42578125" bestFit="1" customWidth="1"/>
    <col min="2996" max="2996" width="44.5703125" bestFit="1" customWidth="1"/>
    <col min="2997" max="2997" width="37.140625" bestFit="1" customWidth="1"/>
    <col min="2998" max="2998" width="11.28515625" bestFit="1" customWidth="1"/>
  </cols>
  <sheetData>
    <row r="3" spans="1:11">
      <c r="A3" s="2" t="s">
        <v>6367</v>
      </c>
      <c r="B3" t="s">
        <v>6369</v>
      </c>
      <c r="D3" s="2" t="s">
        <v>6367</v>
      </c>
      <c r="E3" t="s">
        <v>6369</v>
      </c>
      <c r="G3" s="2" t="s">
        <v>6367</v>
      </c>
      <c r="H3" t="s">
        <v>6369</v>
      </c>
      <c r="J3" s="2" t="s">
        <v>6367</v>
      </c>
      <c r="K3" t="s">
        <v>6371</v>
      </c>
    </row>
    <row r="4" spans="1:11">
      <c r="A4" s="3">
        <v>2000</v>
      </c>
      <c r="B4" s="1">
        <v>114</v>
      </c>
      <c r="D4" s="3" t="s">
        <v>12</v>
      </c>
      <c r="E4" s="1">
        <v>322</v>
      </c>
      <c r="G4" s="3" t="s">
        <v>14</v>
      </c>
      <c r="H4" s="1">
        <v>1528</v>
      </c>
      <c r="J4" s="3" t="s">
        <v>12</v>
      </c>
      <c r="K4" s="1">
        <v>74.990683229813669</v>
      </c>
    </row>
    <row r="5" spans="1:11">
      <c r="A5" s="3">
        <v>2002</v>
      </c>
      <c r="B5" s="1">
        <v>126</v>
      </c>
      <c r="D5" s="3" t="s">
        <v>47</v>
      </c>
      <c r="E5" s="1">
        <v>311</v>
      </c>
      <c r="G5" s="3" t="s">
        <v>33</v>
      </c>
      <c r="H5" s="1">
        <v>1472</v>
      </c>
      <c r="J5" s="3" t="s">
        <v>47</v>
      </c>
      <c r="K5" s="1">
        <v>75.463022508038591</v>
      </c>
    </row>
    <row r="6" spans="1:11">
      <c r="A6" s="3">
        <v>2004</v>
      </c>
      <c r="B6" s="1">
        <v>106</v>
      </c>
      <c r="D6" s="3" t="s">
        <v>48</v>
      </c>
      <c r="E6" s="1">
        <v>250</v>
      </c>
      <c r="G6" s="3" t="s">
        <v>6368</v>
      </c>
      <c r="H6" s="1">
        <v>3000</v>
      </c>
      <c r="J6" s="3" t="s">
        <v>48</v>
      </c>
      <c r="K6" s="1">
        <v>76.248000000000005</v>
      </c>
    </row>
    <row r="7" spans="1:11">
      <c r="A7" s="3">
        <v>2006</v>
      </c>
      <c r="B7" s="1">
        <v>116</v>
      </c>
      <c r="D7" s="3" t="s">
        <v>39</v>
      </c>
      <c r="E7" s="1">
        <v>294</v>
      </c>
      <c r="J7" s="3" t="s">
        <v>39</v>
      </c>
      <c r="K7" s="1">
        <v>75.765306122448976</v>
      </c>
    </row>
    <row r="8" spans="1:11">
      <c r="A8" s="3">
        <v>2008</v>
      </c>
      <c r="B8" s="1">
        <v>115</v>
      </c>
      <c r="D8" s="3" t="s">
        <v>26</v>
      </c>
      <c r="E8" s="1">
        <v>313</v>
      </c>
      <c r="J8" s="3" t="s">
        <v>26</v>
      </c>
      <c r="K8" s="1">
        <v>74.108626198083073</v>
      </c>
    </row>
    <row r="9" spans="1:11">
      <c r="A9" s="3">
        <v>2010</v>
      </c>
      <c r="B9" s="1">
        <v>109</v>
      </c>
      <c r="D9" s="3" t="s">
        <v>20</v>
      </c>
      <c r="E9" s="1">
        <v>290</v>
      </c>
      <c r="G9" s="2" t="s">
        <v>6367</v>
      </c>
      <c r="H9" t="s">
        <v>6369</v>
      </c>
      <c r="J9" s="3" t="s">
        <v>20</v>
      </c>
      <c r="K9" s="1">
        <v>74.451724137931038</v>
      </c>
    </row>
    <row r="10" spans="1:11">
      <c r="A10" s="3">
        <v>2012</v>
      </c>
      <c r="B10" s="1">
        <v>125</v>
      </c>
      <c r="D10" s="3" t="s">
        <v>68</v>
      </c>
      <c r="E10" s="1">
        <v>289</v>
      </c>
      <c r="G10" s="3" t="s">
        <v>24</v>
      </c>
      <c r="H10" s="1">
        <v>958</v>
      </c>
      <c r="J10" s="3" t="s">
        <v>68</v>
      </c>
      <c r="K10" s="1">
        <v>75.252595155709344</v>
      </c>
    </row>
    <row r="11" spans="1:11">
      <c r="A11" s="3">
        <v>2014</v>
      </c>
      <c r="B11" s="1">
        <v>118</v>
      </c>
      <c r="D11" s="3" t="s">
        <v>31</v>
      </c>
      <c r="E11" s="1">
        <v>305</v>
      </c>
      <c r="G11" s="3" t="s">
        <v>37</v>
      </c>
      <c r="H11" s="1">
        <v>1010</v>
      </c>
      <c r="J11" s="3" t="s">
        <v>31</v>
      </c>
      <c r="K11" s="1">
        <v>74.734426229508202</v>
      </c>
    </row>
    <row r="12" spans="1:11">
      <c r="A12" s="3">
        <v>2016</v>
      </c>
      <c r="B12" s="1">
        <v>109</v>
      </c>
      <c r="D12" s="3" t="s">
        <v>65</v>
      </c>
      <c r="E12" s="1">
        <v>322</v>
      </c>
      <c r="G12" s="3" t="s">
        <v>18</v>
      </c>
      <c r="H12" s="1">
        <v>1032</v>
      </c>
      <c r="J12" s="3" t="s">
        <v>65</v>
      </c>
      <c r="K12" s="1">
        <v>75.043478260869563</v>
      </c>
    </row>
    <row r="13" spans="1:11">
      <c r="A13" s="3">
        <v>2018</v>
      </c>
      <c r="B13" s="1">
        <v>119</v>
      </c>
      <c r="D13" s="3" t="s">
        <v>38</v>
      </c>
      <c r="E13" s="1">
        <v>304</v>
      </c>
      <c r="G13" s="3" t="s">
        <v>6368</v>
      </c>
      <c r="H13" s="1">
        <v>3000</v>
      </c>
      <c r="J13" s="3" t="s">
        <v>38</v>
      </c>
      <c r="K13" s="1">
        <v>74.04276315789474</v>
      </c>
    </row>
    <row r="14" spans="1:11">
      <c r="A14" s="3">
        <v>2020</v>
      </c>
      <c r="B14" s="1">
        <v>116</v>
      </c>
      <c r="D14" s="3" t="s">
        <v>6368</v>
      </c>
      <c r="E14" s="1">
        <v>3000</v>
      </c>
      <c r="J14" s="3" t="s">
        <v>6368</v>
      </c>
      <c r="K14" s="1">
        <v>74.984999999999999</v>
      </c>
    </row>
    <row r="15" spans="1:11">
      <c r="A15" s="3">
        <v>2022</v>
      </c>
      <c r="B15" s="1">
        <v>124</v>
      </c>
      <c r="C15" s="14" t="s">
        <v>6375</v>
      </c>
      <c r="D15" s="15"/>
      <c r="G15" s="2" t="s">
        <v>3</v>
      </c>
      <c r="H15" t="s">
        <v>6376</v>
      </c>
    </row>
    <row r="16" spans="1:11">
      <c r="A16" s="3">
        <v>2024</v>
      </c>
      <c r="B16" s="1">
        <v>122</v>
      </c>
      <c r="C16" s="6" t="s">
        <v>6366</v>
      </c>
      <c r="D16" s="7">
        <f>COUNTA(Sheet1!C:C)-1</f>
        <v>3000</v>
      </c>
    </row>
    <row r="17" spans="1:4">
      <c r="A17" s="3" t="s">
        <v>6368</v>
      </c>
      <c r="B17" s="1">
        <v>1519</v>
      </c>
      <c r="C17" s="6" t="s">
        <v>6372</v>
      </c>
      <c r="D17" s="5">
        <f>AVERAGE(Sheet1!H:H)/100</f>
        <v>0.74985000000000002</v>
      </c>
    </row>
    <row r="18" spans="1:4">
      <c r="C18" s="6" t="s">
        <v>6374</v>
      </c>
      <c r="D18" s="8">
        <f>SUM(Sheet1!G:G)</f>
        <v>76286.749999999796</v>
      </c>
    </row>
    <row r="19" spans="1:4">
      <c r="C19" s="6" t="s">
        <v>6373</v>
      </c>
      <c r="D19">
        <f>COUNTIF(Sheet1!N:N,"Excellent")</f>
        <v>670</v>
      </c>
    </row>
    <row r="36" spans="1:8">
      <c r="A36" s="2" t="s">
        <v>6367</v>
      </c>
      <c r="B36" t="s">
        <v>6370</v>
      </c>
      <c r="D36" s="2" t="s">
        <v>6367</v>
      </c>
      <c r="E36" t="s">
        <v>6369</v>
      </c>
      <c r="G36" s="2" t="s">
        <v>6367</v>
      </c>
      <c r="H36" t="s">
        <v>6369</v>
      </c>
    </row>
    <row r="37" spans="1:8">
      <c r="A37" s="3" t="s">
        <v>12</v>
      </c>
      <c r="B37" s="1">
        <v>8261.5899999999983</v>
      </c>
      <c r="D37" s="3" t="s">
        <v>29</v>
      </c>
      <c r="E37" s="1">
        <v>609</v>
      </c>
      <c r="G37" s="3" t="s">
        <v>16</v>
      </c>
      <c r="H37" s="1">
        <v>588</v>
      </c>
    </row>
    <row r="38" spans="1:8">
      <c r="A38" s="3" t="s">
        <v>47</v>
      </c>
      <c r="B38" s="1">
        <v>8008.430000000003</v>
      </c>
      <c r="D38" s="3" t="s">
        <v>17</v>
      </c>
      <c r="E38" s="1">
        <v>562</v>
      </c>
      <c r="G38" s="3" t="s">
        <v>57</v>
      </c>
      <c r="H38" s="1">
        <v>561</v>
      </c>
    </row>
    <row r="39" spans="1:8">
      <c r="A39" s="3" t="s">
        <v>48</v>
      </c>
      <c r="B39" s="1">
        <v>6031.8000000000011</v>
      </c>
      <c r="D39" s="3" t="s">
        <v>61</v>
      </c>
      <c r="E39" s="1">
        <v>581</v>
      </c>
      <c r="G39" s="3" t="s">
        <v>46</v>
      </c>
      <c r="H39" s="1">
        <v>649</v>
      </c>
    </row>
    <row r="40" spans="1:8">
      <c r="A40" s="3" t="s">
        <v>39</v>
      </c>
      <c r="B40" s="1">
        <v>7851.6700000000037</v>
      </c>
      <c r="D40" s="3" t="s">
        <v>23</v>
      </c>
      <c r="E40" s="1">
        <v>598</v>
      </c>
      <c r="G40" s="3" t="s">
        <v>35</v>
      </c>
      <c r="H40" s="1">
        <v>585</v>
      </c>
    </row>
    <row r="41" spans="1:8">
      <c r="A41" s="3" t="s">
        <v>26</v>
      </c>
      <c r="B41" s="1">
        <v>7964.5799999999972</v>
      </c>
      <c r="D41" s="3" t="s">
        <v>36</v>
      </c>
      <c r="E41" s="1">
        <v>650</v>
      </c>
      <c r="G41" s="3" t="s">
        <v>42</v>
      </c>
      <c r="H41" s="1">
        <v>617</v>
      </c>
    </row>
    <row r="42" spans="1:8">
      <c r="A42" s="3" t="s">
        <v>20</v>
      </c>
      <c r="B42" s="1">
        <v>7300.7100000000028</v>
      </c>
      <c r="D42" s="3" t="s">
        <v>6368</v>
      </c>
      <c r="E42" s="1">
        <v>3000</v>
      </c>
      <c r="G42" s="3" t="s">
        <v>6368</v>
      </c>
      <c r="H42" s="1">
        <v>3000</v>
      </c>
    </row>
    <row r="43" spans="1:8">
      <c r="A43" s="3" t="s">
        <v>68</v>
      </c>
      <c r="B43" s="1">
        <v>7423.6700000000019</v>
      </c>
    </row>
    <row r="44" spans="1:8">
      <c r="A44" s="3" t="s">
        <v>31</v>
      </c>
      <c r="B44" s="1">
        <v>7496.1000000000013</v>
      </c>
    </row>
    <row r="45" spans="1:8">
      <c r="A45" s="3" t="s">
        <v>65</v>
      </c>
      <c r="B45" s="1">
        <v>8027.73</v>
      </c>
    </row>
    <row r="46" spans="1:8">
      <c r="A46" s="3" t="s">
        <v>38</v>
      </c>
      <c r="B46" s="1">
        <v>7920.4699999999984</v>
      </c>
    </row>
    <row r="47" spans="1:8">
      <c r="A47" s="3" t="s">
        <v>6368</v>
      </c>
      <c r="B47" s="1">
        <v>76286.75</v>
      </c>
    </row>
  </sheetData>
  <mergeCells count="1"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Sheet1!Global_Space_Exploration_Dataset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rgukt</dc:creator>
  <cp:lastModifiedBy>rgukt</cp:lastModifiedBy>
  <dcterms:created xsi:type="dcterms:W3CDTF">2026-06-24T09:30:17Z</dcterms:created>
  <dcterms:modified xsi:type="dcterms:W3CDTF">2026-06-25T06:21:05Z</dcterms:modified>
</cp:coreProperties>
</file>